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and AI Security Framework " sheetId="1" r:id="rId5"/>
    <sheet state="visible" name="Table of Content" sheetId="2" r:id="rId6"/>
    <sheet state="visible" name="AI Lifecycle Risks" sheetId="3" r:id="rId7"/>
    <sheet state="visible" name="Databricks AI Mitigation Contro" sheetId="4" r:id="rId8"/>
    <sheet state="visible" name="DASF Risk Applicability" sheetId="5" r:id="rId9"/>
    <sheet state="visible" name="DASF Control Applicability" sheetId="6" r:id="rId10"/>
    <sheet state="visible" name="Third-Party Tools" sheetId="7" r:id="rId11"/>
  </sheets>
  <definedNames>
    <definedName hidden="1" localSheetId="4" name="_xlnm._FilterDatabase">'DASF Risk Applicability'!$H$12:$H$74</definedName>
    <definedName hidden="1" localSheetId="5" name="_xlnm._FilterDatabase">'DASF Control Applicability'!$F$12:$F$76</definedName>
  </definedNames>
  <calcPr/>
</workbook>
</file>

<file path=xl/sharedStrings.xml><?xml version="1.0" encoding="utf-8"?>
<sst xmlns="http://schemas.openxmlformats.org/spreadsheetml/2006/main" count="5201" uniqueCount="2516">
  <si>
    <t>Introduction to the Databricks AI Security Framework (DASF)</t>
  </si>
  <si>
    <r>
      <rPr>
        <rFont val="DM Sans"/>
        <color rgb="FF0E101A"/>
        <sz val="14.0"/>
      </rPr>
      <t xml:space="preserve">
The </t>
    </r>
    <r>
      <rPr>
        <rFont val="DM Sans"/>
        <color rgb="FF1155CC"/>
        <sz val="14.0"/>
        <u/>
      </rPr>
      <t>Databricks AI Security Framework (DASF)</t>
    </r>
    <r>
      <rPr>
        <rFont val="DM Sans"/>
        <color rgb="FF0E101A"/>
        <sz val="14.0"/>
      </rPr>
      <t xml:space="preserve"> is a comprehensive security framework designed to address the growing risks and vulnerabilities associated with integrating AI and machine learning technologies in organizations. With AI becoming a pivotal force in driving innovation and productivity, the framework provides a holistic approach to managing security risks throughout the AI lifecycle. It emphasizes the importance of responsible AI deployment, including safeguarding data, ensuring compliance with evolving regulations, and mitigating potential threats at each AI system development and operation stage.</t>
    </r>
  </si>
  <si>
    <t xml:space="preserve">
DASF defines 12 critical components of AI systems, ranging from raw data and data preparation to machine learning models, model management, and AI platform security. It highlights the associated risks and threats while providing detailed, practical guidance on security controls to mitigate them. The framework is grounded in real-world scenarios, emphasizing how attackers can exploit vulnerabilities to compromise AI-driven systems.</t>
  </si>
  <si>
    <t xml:space="preserve">
The framework equips data, AI, and security teams with clear guidelines for securing AI systems, whether they are predictive models, generative AI, or external models integrated into the organization’s workflows. This cross-practice view fosters a structured approach to securing AI environments involving predictive models, generative AI, or external AI models.</t>
  </si>
  <si>
    <t>Purpose of the Compendium Document</t>
  </si>
  <si>
    <r>
      <rPr>
        <rFont val="DM Sans"/>
        <color rgb="FF0E101A"/>
        <sz val="14.0"/>
      </rPr>
      <t xml:space="preserve">
The compendium document is a flexible tool for practitioners to engage with the Databricks AI Security Framework (DASF) by organizing and applying its risks, threats, controls, and mapping to industry-recognized standards. This document is designed to give AI and security teams the ability to categorize and track risks throughout the AI lifecycle while also providing customizable controls to mitigate these risks in various environments.  We’ve also created a companion </t>
    </r>
    <r>
      <rPr>
        <rFont val="DM Sans"/>
        <color rgb="FF1155CC"/>
        <sz val="14.0"/>
        <u/>
      </rPr>
      <t>instructional video</t>
    </r>
    <r>
      <rPr>
        <rFont val="DM Sans"/>
        <color rgb="FF0E101A"/>
        <sz val="14.0"/>
      </rPr>
      <t xml:space="preserve"> that provides a guided walkthrough of the DASF and its compendium. </t>
    </r>
  </si>
  <si>
    <t xml:space="preserve">
Beyond outlining risks, the compendium allows practitioners to tailor the DASF guidelines to fit their organization's AI security needs. By using this document, teams can:</t>
  </si>
  <si>
    <r>
      <t xml:space="preserve">
</t>
    </r>
    <r>
      <rPr>
        <rFont val="DM Sans"/>
        <color rgb="FF0E101A"/>
        <sz val="14.0"/>
      </rPr>
      <t xml:space="preserve"> - </t>
    </r>
    <r>
      <rPr>
        <rFont val="DM Sans"/>
        <b/>
        <color rgb="FF0E101A"/>
        <sz val="14.0"/>
      </rPr>
      <t>Assess and categorize risks</t>
    </r>
    <r>
      <rPr>
        <rFont val="DM Sans"/>
        <color rgb="FF0E101A"/>
        <sz val="14.0"/>
      </rPr>
      <t xml:space="preserve"> across different AI system components, from raw data to machine learning models.
 - </t>
    </r>
    <r>
      <rPr>
        <rFont val="DM Sans"/>
        <b/>
        <color rgb="FF0E101A"/>
        <sz val="14.0"/>
      </rPr>
      <t xml:space="preserve">Map relevant security controls </t>
    </r>
    <r>
      <rPr>
        <rFont val="DM Sans"/>
        <color rgb="FF0E101A"/>
        <sz val="14.0"/>
      </rPr>
      <t xml:space="preserve">to these risks, making it easier to implement targeted mitigations.
 - </t>
    </r>
    <r>
      <rPr>
        <rFont val="DM Sans"/>
        <b/>
        <color rgb="FF0E101A"/>
        <sz val="14.0"/>
      </rPr>
      <t>Adapt controls for specific uses</t>
    </r>
    <r>
      <rPr>
        <rFont val="DM Sans"/>
        <color rgb="FF0E101A"/>
        <sz val="14.0"/>
      </rPr>
      <t xml:space="preserve">, such as regulatory compliance, internal audits, or governance requirements.
 - </t>
    </r>
    <r>
      <rPr>
        <rFont val="DM Sans"/>
        <b/>
        <color rgb="FF0E101A"/>
        <sz val="14.0"/>
      </rPr>
      <t>Track the implementation</t>
    </r>
    <r>
      <rPr>
        <rFont val="DM Sans"/>
        <color rgb="FF0E101A"/>
        <sz val="14.0"/>
      </rPr>
      <t xml:space="preserve"> of security measures, identifying any gaps that require further attention.</t>
    </r>
  </si>
  <si>
    <r>
      <rPr>
        <rFont val="DM Sans"/>
        <color rgb="FF0E101A"/>
        <sz val="14.0"/>
      </rPr>
      <t xml:space="preserve">-  </t>
    </r>
    <r>
      <rPr>
        <rFont val="DM Sans"/>
        <b/>
        <color rgb="FF0E101A"/>
        <sz val="14.0"/>
      </rPr>
      <t xml:space="preserve">Map risks and controls to industry-recognized standards, </t>
    </r>
    <r>
      <rPr>
        <rFont val="DM Sans"/>
        <color rgb="FF0E101A"/>
        <sz val="14.0"/>
      </rPr>
      <t>such as MITRE ATLAS and ATTACK, OWASP LLM and ML top 10, NIST,  ISO, HITRUST, etc.</t>
    </r>
  </si>
  <si>
    <t xml:space="preserve">
Most imporantly, we appreciate your commitment to securing AI systems by utilizing the Databricks AI Security Framework (DASF). By adopting this framework and the accompanying compendium, you are taking important steps to improve security of your organization's AI assets. Please be aware that implementing a specific DASF control does not guarantee compliance with any particular set of regulatory requirements. This document and the accompanying white paper are intended as educational resources and may contain inaccuracies or omissions. We reserve the right to update these materials at any time without prior notice. Readers are advised to consult with cybersecurity professionals and legal experts for guidance on proper implementation and regulatory compliance. Should you have any questions or need further assistance in implementing DASF, please don't hesitate to reach out to us at DASF@Databricks.com.</t>
  </si>
  <si>
    <t xml:space="preserve">            Databricks AI Security Framework (DASF)</t>
  </si>
  <si>
    <t>Table of Content</t>
  </si>
  <si>
    <t>The Databricks AI Security Framework: AI &amp; ML Lifecycle Risks</t>
  </si>
  <si>
    <t>The Databricks AI Security Framework: AI &amp; ML Lifecycle Controls</t>
  </si>
  <si>
    <r>
      <rPr>
        <rFont val="DM Sans"/>
        <color rgb="FF1155CC"/>
        <sz val="18.0"/>
        <u/>
      </rPr>
      <t xml:space="preserve">The Databricks AI Security Framework (DASF) </t>
    </r>
    <r>
      <rPr>
        <rFont val="DM Sans"/>
        <color rgb="FF000000"/>
        <sz val="18.0"/>
      </rPr>
      <t>risk section offers a detailed overview of potential risks and vulnerabilities across the thirteen components of the AI and machine learning lifecycle—from raw data ingestion and processing through model development and deployment to inference and monitoring.
Each risk highlights a specific system component or process that may be vulnerable to threats such as unauthorized access, data poisoning, adversarial attacks, or compliance breaches. Accompanying each identified risk are actionable mitigation controls that organizations can implement to protect their data, models, and AI systems.</t>
    </r>
  </si>
  <si>
    <r>
      <rPr>
        <rFont val="DM Sans"/>
        <color rgb="FF1155CC"/>
        <sz val="18.0"/>
        <u/>
      </rPr>
      <t>The Databricks AI Security Framework</t>
    </r>
    <r>
      <rPr>
        <rFont val="DM Sans"/>
        <color rgb="FF0E101A"/>
        <sz val="18.0"/>
      </rPr>
      <t xml:space="preserve"> (</t>
    </r>
    <r>
      <rPr>
        <rFont val="DM Sans"/>
        <color rgb="FF1155CC"/>
        <sz val="18.0"/>
        <u/>
      </rPr>
      <t>DASF</t>
    </r>
    <r>
      <rPr>
        <rFont val="DM Sans"/>
        <color rgb="FF0E101A"/>
        <sz val="18.0"/>
      </rPr>
      <t>) Controls section outlines comprehensive security measures and capabilities to mitigate the risks associated with AI and machine learning (ML) systems. These controls aim to enhance the security, compliance, and operational integrity of AI/ML deployments by addressing vulnerabilities across data, models, infrastructure, and governance processes. Each control is linked to specific risks and provides actionable steps organizations can implement to safeguard their AI assets.
Each control is described in detail and mapped to corresponding risks, offering organizations a strategic roadmap for maintaining the security and reliability of their AI systems throughout their lifecycle — from data ingestion and model training to deployment and inference.</t>
    </r>
  </si>
  <si>
    <t>AI &amp; ML Lifecycle Risks</t>
  </si>
  <si>
    <t>AI &amp; ML Lifecycle Controls</t>
  </si>
  <si>
    <t>1. Raw Data Risks</t>
  </si>
  <si>
    <t>Access Management and Network Security Controls</t>
  </si>
  <si>
    <t>1.1 Insufficient Access Controls</t>
  </si>
  <si>
    <t>DASF 1: SSO with IdP and MFA</t>
  </si>
  <si>
    <t>1.2 Missing Data Classification</t>
  </si>
  <si>
    <t>DASF 2: Sync Users and Groups</t>
  </si>
  <si>
    <t>1.3 Poor Data Quality</t>
  </si>
  <si>
    <t>DASF 3: Restrict Access Using IP Access Lists</t>
  </si>
  <si>
    <t>1.4 Ineffective Storage and Encryption</t>
  </si>
  <si>
    <t>DASF 4: Restrict Access Using Private Link</t>
  </si>
  <si>
    <t>1.5 Lack of Data Versioning</t>
  </si>
  <si>
    <t>DASF 5: Control Access to Data and Other Objects</t>
  </si>
  <si>
    <t>1.6 Insufficient Data Lineage</t>
  </si>
  <si>
    <t>DASF 57: Use Attribute-Based Access Controls (ABAC)</t>
  </si>
  <si>
    <t>1.7 Lack of Data Trustworthiness</t>
  </si>
  <si>
    <t>DASF 60: Rate Limit Number of Inference Queries</t>
  </si>
  <si>
    <t xml:space="preserve">1.8 Data Legal </t>
  </si>
  <si>
    <t>DASF 67: Federate authentication</t>
  </si>
  <si>
    <t>1.9 Stale Data</t>
  </si>
  <si>
    <t>Data Security and Encryption Controls</t>
  </si>
  <si>
    <t>1.10 Lack of Data Access Logs</t>
  </si>
  <si>
    <t>DASF 6: Classify Data</t>
  </si>
  <si>
    <t>1.11 Compromised 3rd-party Datasets</t>
  </si>
  <si>
    <t>DASF 7: Enforce Data Quality Checks on Batch and Streaming Datasets</t>
  </si>
  <si>
    <t>2. Data Preparation Risks</t>
  </si>
  <si>
    <t>DASF 8: Encrypt Data at Rest</t>
  </si>
  <si>
    <t>2.1 Preprocessing Integrity</t>
  </si>
  <si>
    <t>DASF 9: Encrypt Data in Transit</t>
  </si>
  <si>
    <t>2.2 Feature Manipulation</t>
  </si>
  <si>
    <t>DASF 10: Version Data</t>
  </si>
  <si>
    <t>2.3 Raw Data Criteria</t>
  </si>
  <si>
    <t>DASF 11: Capture and View Data Lineage</t>
  </si>
  <si>
    <t>2.4 Adversarial Partitions</t>
  </si>
  <si>
    <t>DASF 12: Delete Records from Datasets</t>
  </si>
  <si>
    <t>3. Dataset Risks</t>
  </si>
  <si>
    <t>DASF 13: Use Near Real-Time Data</t>
  </si>
  <si>
    <t>3.1 Data Poisoning</t>
  </si>
  <si>
    <t>DASF 14: Audit Actions Performed on Datasets</t>
  </si>
  <si>
    <t>3.2 Ineffective Storage and Encryption</t>
  </si>
  <si>
    <t>DASF 15: Explore Datasets and Identify Problems</t>
  </si>
  <si>
    <t>3.3 Label Flipping</t>
  </si>
  <si>
    <t>DASF 58: Protect Data with Filters and Masking</t>
  </si>
  <si>
    <t>4. Governance Risks</t>
  </si>
  <si>
    <t>DASF 59: Use Clean Rooms</t>
  </si>
  <si>
    <t>4.1 Lack of Traceability and Transparency of Model Assets</t>
  </si>
  <si>
    <t>Model Security and Integrity Controls</t>
  </si>
  <si>
    <t>4.2 Lack of End-to-End ML Lifecycle</t>
  </si>
  <si>
    <t>DASF 16: Secure Model Features</t>
  </si>
  <si>
    <t>5. Algorithm Risks</t>
  </si>
  <si>
    <t>DASF 17: Track and Reproduce the Training Data Used for ML Model Training</t>
  </si>
  <si>
    <t xml:space="preserve">5.1 Lack of Tracking and Reproducibility of Experiments </t>
  </si>
  <si>
    <t>DASF 18: Govern Model Assets</t>
  </si>
  <si>
    <t>5.2 Model Drift</t>
  </si>
  <si>
    <t>DASF 19: Manage End-to-End Machine Learning Lifecycle</t>
  </si>
  <si>
    <t>5.3 Hyperparameters Stealing</t>
  </si>
  <si>
    <t>DASF 20: Track ML Training Runs</t>
  </si>
  <si>
    <t xml:space="preserve">5.4 Malicious Libraries </t>
  </si>
  <si>
    <t>DASF 23: Register, Version, Approve, Promote, Deploy, and Monitor Models</t>
  </si>
  <si>
    <t>6. Evaluation Risks</t>
  </si>
  <si>
    <t>DASF 24: Control Access to Models and Model Assets</t>
  </si>
  <si>
    <t>6.1 Evaluation Data Poisoning</t>
  </si>
  <si>
    <t>DASF 25: Use Retrieval Augmented Generation (RAG) with Large Language Models (LLMs)</t>
  </si>
  <si>
    <t>6.2 Insufficient Evaluation Data</t>
  </si>
  <si>
    <t>DASF 26: Fine-Tune Large Language Models (LLMs)</t>
  </si>
  <si>
    <t xml:space="preserve">6.3 Lack of Interpretability and Explainability </t>
  </si>
  <si>
    <t>DASF 27: Pretrain a Large Language Model (LLM)</t>
  </si>
  <si>
    <t>7. Model Risks</t>
  </si>
  <si>
    <t>DASF 28: Create Model Aliases, Tags, and Annotations</t>
  </si>
  <si>
    <t>7.1 Backdoor Machine Learning / Trojaned Model</t>
  </si>
  <si>
    <t>DASF 30: Encrypt Models</t>
  </si>
  <si>
    <t>7.2 Model Assets Leak</t>
  </si>
  <si>
    <t>DASF 31: Secure Model Serving Endpoints</t>
  </si>
  <si>
    <t>7.3 ML Supply Chain Vulnerabilities</t>
  </si>
  <si>
    <t>DASF 34: Run Models in Multiple Layers of Isolation</t>
  </si>
  <si>
    <t>7.4 Source Code Control Attack</t>
  </si>
  <si>
    <t>DASF 56: Restrict Outbound Connections from Models</t>
  </si>
  <si>
    <t>8. Model Management Risks</t>
  </si>
  <si>
    <t>Monitoring and Governance Controls</t>
  </si>
  <si>
    <t>8.1 Model Attribution</t>
  </si>
  <si>
    <t>DASF 21: Monitor Data and AI Systems from a Single Pane of Glass</t>
  </si>
  <si>
    <t>8.2 Model Theft</t>
  </si>
  <si>
    <t>DASF 35: Track Model Performance</t>
  </si>
  <si>
    <t>8.3 Model Lifecycle Without HITL (Human-in-the-Loop)</t>
  </si>
  <si>
    <t>DASF 36: Set Up Monitoring Alerts</t>
  </si>
  <si>
    <t>8.4 Model Inversion</t>
  </si>
  <si>
    <t>DASF 37: Set Up Inference Tables for Monitoring and Debugging Models</t>
  </si>
  <si>
    <t>9. Model Serving and Inference Risks</t>
  </si>
  <si>
    <t>DASF 39: Platform Security — Incident Response Team</t>
  </si>
  <si>
    <t>9.1 Prompt Injection</t>
  </si>
  <si>
    <t>DASF 40: Platform Security — Internal Access</t>
  </si>
  <si>
    <t>9.2 Model Inversion</t>
  </si>
  <si>
    <t>DASF 55: Monitor Audit Logs</t>
  </si>
  <si>
    <t>9.3 Model Breakout</t>
  </si>
  <si>
    <t>DASF 65: Implement end-to-end AI traceability</t>
  </si>
  <si>
    <t>9.4 Looped Input</t>
  </si>
  <si>
    <t>DASF 66: Use Human-in-the-loop feedback</t>
  </si>
  <si>
    <t>9.5 Infer Training Data Membership</t>
  </si>
  <si>
    <t>Infrastructure and Platform Security Controls</t>
  </si>
  <si>
    <t>9.6 Discover ML Model Ontology</t>
  </si>
  <si>
    <t>DASF 38: Platform Security — Penetration Testing, Red Teaming, Bug Bounty, and Vulnerability Management</t>
  </si>
  <si>
    <t>9.7 Denial of Service (DoS)</t>
  </si>
  <si>
    <t>DASF 41: Platform Security — Secure SDLC</t>
  </si>
  <si>
    <t>9.8 LLM Hallucinations</t>
  </si>
  <si>
    <t>DASF 42: Employ Data-Centric MLOps and LLMOps</t>
  </si>
  <si>
    <t>9.9 Input Resource Control</t>
  </si>
  <si>
    <t>DASF 43: Use Access Control Lists</t>
  </si>
  <si>
    <t>9.10 Accidental Exposure of Unauthorized Data to Models</t>
  </si>
  <si>
    <t>DASF 44: Trigger Actions in Response to a Specific Event</t>
  </si>
  <si>
    <t>9.11 Model Inference API Access</t>
  </si>
  <si>
    <t>DASF 45: Evaluate Models</t>
  </si>
  <si>
    <t>9.12 LLM Jailbreak</t>
  </si>
  <si>
    <t>DASF 46: Store and Retrieve Embeddings Securely</t>
  </si>
  <si>
    <t>9.13 Excessive Agency</t>
  </si>
  <si>
    <t>DASF 48: Use Hardened Runtime for Machine Learning</t>
  </si>
  <si>
    <t>10. Inference Response Risks</t>
  </si>
  <si>
    <t>Compliance and Data Governance</t>
  </si>
  <si>
    <t>10.1 Lack of Audit and Monitoring Inference Quality</t>
  </si>
  <si>
    <t>DASF 50: Platform Compliance</t>
  </si>
  <si>
    <t>10.2 Output Manipulation</t>
  </si>
  <si>
    <t>DASF 51: Share Data and AI Assets Securely</t>
  </si>
  <si>
    <t>10.3 Discover ML Model Ontology</t>
  </si>
  <si>
    <t>DASF 52: Source Code Control</t>
  </si>
  <si>
    <t>10.4 Discover ML Model Family</t>
  </si>
  <si>
    <t>DASF 53: Third-Party Library Control</t>
  </si>
  <si>
    <t>10.5 Black-box Attacks</t>
  </si>
  <si>
    <t>DASF 54: Implement AI Guardrails</t>
  </si>
  <si>
    <t>10.6 Sensitive Data Output from a Model</t>
  </si>
  <si>
    <t>Operational Security and Training Controls</t>
  </si>
  <si>
    <t>11. Operations</t>
  </si>
  <si>
    <t>DASF 29: Build MLOps Workflows</t>
  </si>
  <si>
    <t>11.1 Lack of MLOps — Repeatable Enforced Standards</t>
  </si>
  <si>
    <t>DASF 61: Train Users on AI/ML Security</t>
  </si>
  <si>
    <t>12. Platform</t>
  </si>
  <si>
    <t>DASF 62: Implement Network Segmentation</t>
  </si>
  <si>
    <t>12.1 Lack of Vulnerability Management</t>
  </si>
  <si>
    <t>DASF 63: Update Software</t>
  </si>
  <si>
    <t>12.2 Lack of Penetration Testing, Red Teaming, and Bug Bounty</t>
  </si>
  <si>
    <t>DASF 64: Limit Access from AI Models and Agents</t>
  </si>
  <si>
    <t>12.3 Lack of Incident Response</t>
  </si>
  <si>
    <t>Agentic AI Controls</t>
  </si>
  <si>
    <t>12.4 Unauthorized Privileged Access</t>
  </si>
  <si>
    <t>DASF 68: Use Securely Hosted Managed MCP Servers</t>
  </si>
  <si>
    <t>12.5 Poor Security in the Software Development Lifecycle</t>
  </si>
  <si>
    <t>DASF 69: Securely host Custom MCP Servers</t>
  </si>
  <si>
    <t>12.6 Lack of Compliance</t>
  </si>
  <si>
    <t>DASF 70: Securely connect to External MCP Servers</t>
  </si>
  <si>
    <t>12.7 Initial Access</t>
  </si>
  <si>
    <t>DASF 71: Log and register AI agents</t>
  </si>
  <si>
    <t>13A. Agents — Core</t>
  </si>
  <si>
    <t>DASF 72: Securely store and reuse agent state</t>
  </si>
  <si>
    <t>13.1 Memory Poisoning</t>
  </si>
  <si>
    <t>DASF 73: Register prompts</t>
  </si>
  <si>
    <t>13.2 Tool Misuse</t>
  </si>
  <si>
    <t>13.3 Privilege Compromise</t>
  </si>
  <si>
    <t>13.4 Resource Overload</t>
  </si>
  <si>
    <t>13.5 Cascading Hallucination Attacks</t>
  </si>
  <si>
    <t>13.6 Intent Breaking &amp; Goal Manipulation</t>
  </si>
  <si>
    <t>13.7 Misaligned &amp; Deceptive Behaviors</t>
  </si>
  <si>
    <t>13.8 Repudiation &amp; Untraceability</t>
  </si>
  <si>
    <t>13.9 Identity Spoofing &amp; Impersonation</t>
  </si>
  <si>
    <t>13.10 Overwhelming Human in the Loop</t>
  </si>
  <si>
    <t>13.11 Unexpected RCE and Code Attacks</t>
  </si>
  <si>
    <t>13.12 Agent Communication Poisoning</t>
  </si>
  <si>
    <t>13.13 Rogue Agents in Multi-Agent Systems</t>
  </si>
  <si>
    <t>13.14 Human Attacks on Multi-Agent Systems</t>
  </si>
  <si>
    <t>13.15 Human Manipulation</t>
  </si>
  <si>
    <t>13B. Agents — Tools: MCP Server</t>
  </si>
  <si>
    <t>13.16 Prompt Injection</t>
  </si>
  <si>
    <t>13.17 Confused Deputy</t>
  </si>
  <si>
    <t>13.18 Tool Poisoning</t>
  </si>
  <si>
    <t>13.19 Credential and Token Exposure</t>
  </si>
  <si>
    <t>13.20 Insecure Server Configuration</t>
  </si>
  <si>
    <t>13.21 Supply Chain Attacks</t>
  </si>
  <si>
    <t>13.22 Excessive Permissions and Scope Creep</t>
  </si>
  <si>
    <t>13.23 Data Exfiltration</t>
  </si>
  <si>
    <t>13.24 Context Spoofing and Manipulation</t>
  </si>
  <si>
    <t>13.25 Insecure Communication</t>
  </si>
  <si>
    <t>13C. Agents — Tools: MCP Client</t>
  </si>
  <si>
    <t>13.26 Malicious Server Connection</t>
  </si>
  <si>
    <t>13.27 Insecure Credential Storage</t>
  </si>
  <si>
    <t>13.28 UI/UX Deception</t>
  </si>
  <si>
    <t>13.29 Insufficient Server Validation</t>
  </si>
  <si>
    <t>13.30 Client-Side Data Leakage</t>
  </si>
  <si>
    <t>13.31 Excessive Permission Granting</t>
  </si>
  <si>
    <t>13.32 Client-Side Code Execution</t>
  </si>
  <si>
    <t>13.33 Insecure Communication Handling</t>
  </si>
  <si>
    <t>13.34 Session and State Management Failures</t>
  </si>
  <si>
    <t>13.35 Update and Patch Management</t>
  </si>
  <si>
    <t>Risk ID</t>
  </si>
  <si>
    <t>System Component</t>
  </si>
  <si>
    <t>Risk</t>
  </si>
  <si>
    <t>Risk Description</t>
  </si>
  <si>
    <t>Mitigation Controls IDs New Line</t>
  </si>
  <si>
    <t>Mitigation Controls</t>
  </si>
  <si>
    <t>DASF  Revision</t>
  </si>
  <si>
    <t>Deployment models</t>
  </si>
  <si>
    <t>Risk Impacts</t>
  </si>
  <si>
    <t>Framework Mapping</t>
  </si>
  <si>
    <t>Predictive ML Models</t>
  </si>
  <si>
    <t>RAG - LLMs</t>
  </si>
  <si>
    <t>Fine-tuned LLMs</t>
  </si>
  <si>
    <t>Pre-trained LLMs</t>
  </si>
  <si>
    <t>Foundational LLMs</t>
  </si>
  <si>
    <t>External Models</t>
  </si>
  <si>
    <t>Agentic AI</t>
  </si>
  <si>
    <t>Initial AI Risk Impacts</t>
  </si>
  <si>
    <t>Business Impacts</t>
  </si>
  <si>
    <t>AI Novelty</t>
  </si>
  <si>
    <t>MITRE ATLAS as of Q3 2024</t>
  </si>
  <si>
    <t>MITRE ATTACK as of Q3 2024</t>
  </si>
  <si>
    <t>OWASP LLM Top 10 2025</t>
  </si>
  <si>
    <t>OWASP ML Top 10 v0.3</t>
  </si>
  <si>
    <t xml:space="preserve">OWASP Agentic AI – Threats and Mitigations </t>
  </si>
  <si>
    <t>NIST - 800- 53 - Rev 5</t>
  </si>
  <si>
    <t>NIST 800-53 Controls Mapping Rationale</t>
  </si>
  <si>
    <t>HITRUST</t>
  </si>
  <si>
    <t>ENISA’s Securing ML Algorithms</t>
  </si>
  <si>
    <t>ISO 42001:2023 Controls Objectives and Controls (Annex A)</t>
  </si>
  <si>
    <t>ISO 27001:2022 Information Security Control Reference (Annex A)</t>
  </si>
  <si>
    <t>EU AI Act</t>
  </si>
  <si>
    <t>CSA MCP Security</t>
  </si>
  <si>
    <t>OWASP MCP TOP 10</t>
  </si>
  <si>
    <t>Raw Data 1.1</t>
  </si>
  <si>
    <t>Data operations</t>
  </si>
  <si>
    <t>Raw Data 1.1: Insufficient access controls</t>
  </si>
  <si>
    <t>Effective access management is fundamental to data security, ensuring only authorized individuals or groups can access specific datasets. Such security protocols encompass authentication, authorization and finely tuned access controls tailored to the scope of access required by each user, down to the file or record level. Establishing definitive governance policies for data access is imperative in response to the heightened risks from data breaches and regulations like the General Data Protection Regulation (GDPR) and the California Consumer Privacy Act (CCPA). These policies guard against unauthorized use and are a cornerstone of preserving data integrity and maintaining customer trust.</t>
  </si>
  <si>
    <t>DASF 1
DASF 2
DASF 3
DASF 4
DASF 5
DASF 51
DASF 55
DASF 59
DASF 67</t>
  </si>
  <si>
    <t xml:space="preserve">• DASF 1: SSO with IdP and MFA to authenticate and limit who can access your data and AI platform
• DASF 2: Sync users and groups to inherit your organizational roles to authorize access to data
• DASF 3: Restrict access using IP access lists to limit IP addresses that can authenticate to your data and AI platform
• DASF 4: Restrict access using private link as a strong control that limits the source for inbound requests
• DASF 5: Control access to data and other objects for permissions model across all data assets to protect data and sources 
• DASF 51: Share data and AI assets securely
• DASF 55: Monitor audit logs to track access to data, AI and other resources
• DASF 59: Use clean rooms to collaborate in a secure environment
• DASF 67: Federate authentication
</t>
  </si>
  <si>
    <t>DASF v 1.0</t>
  </si>
  <si>
    <t>Yes</t>
  </si>
  <si>
    <t>No</t>
  </si>
  <si>
    <t>• Unauthorised access to customer data
• Unauthorised access to training data 
• Data Breach
• Regulatory non-compliance
• Loss of Data Integrity</t>
  </si>
  <si>
    <t>• Breach of legal obligations
• Breach of regulatory obligations
• Customer Retention
• Legal fines
• Response costs
• Regulatory Fines and Judgement</t>
  </si>
  <si>
    <t>CyberSec</t>
  </si>
  <si>
    <r>
      <rPr>
        <rFont val="DM Sans"/>
        <color rgb="FF1155CC"/>
        <u/>
      </rPr>
      <t>AML.TA0004</t>
    </r>
    <r>
      <rPr>
        <rFont val="DM Sans"/>
      </rPr>
      <t xml:space="preserve">: Initial Access
</t>
    </r>
    <r>
      <rPr>
        <rFont val="DM Sans"/>
        <color rgb="FF1155CC"/>
        <u/>
      </rPr>
      <t>AML.T0020</t>
    </r>
    <r>
      <rPr>
        <rFont val="DM Sans"/>
      </rPr>
      <t>: Poison Training Data</t>
    </r>
  </si>
  <si>
    <r>
      <rPr>
        <rFont val="DM Sans"/>
        <color rgb="FF1155CC"/>
        <u/>
      </rPr>
      <t>ID: T1486</t>
    </r>
    <r>
      <rPr>
        <rFont val="DM Sans"/>
      </rPr>
      <t xml:space="preserve"> Data Encrypted for Impact
</t>
    </r>
    <r>
      <rPr>
        <rFont val="DM Sans"/>
        <color rgb="FF1155CC"/>
        <u/>
      </rPr>
      <t>ID: T1530</t>
    </r>
    <r>
      <rPr>
        <rFont val="DM Sans"/>
      </rPr>
      <t xml:space="preserve"> Data from Cloud Storage</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</si>
  <si>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LLM06.3</t>
    </r>
    <r>
      <rPr>
        <rFont val="DM Sans"/>
      </rPr>
      <t xml:space="preserve">: Sensitive Information Disclosure
</t>
    </r>
    <r>
      <rPr>
        <rFont val="DM Sans"/>
        <color rgb="FF1155CC"/>
        <u/>
      </rPr>
      <t>LLM08.5, 7</t>
    </r>
    <r>
      <rPr>
        <rFont val="DM Sans"/>
      </rPr>
      <t>: Excessive Agency</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</si>
  <si>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</si>
  <si>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AC-2:Account Management,
AC-3:Access Enforcement,
AC-6:Least Privilege, 
AC-17:Remote Access, 
AC-18:Wireless Access, 
AC-19:Access Control for Mobile Devices, 
IA-2:Identification and Authentication (Organizational Users),
IA-5:Authenticator Management, 
AU-2:Event Logging, 
AU-6:Audit Record Review, Analysis, and Reporting</t>
  </si>
  <si>
    <t>These NIST controls focus on access management, authorization, and least privilege principles, aligning with the access control.</t>
  </si>
  <si>
    <t>no mapping</t>
  </si>
  <si>
    <t>Apply a Role Based Access Control (RBAC) model respecting the least privileged principle.
Ensure ML applications comply with identity management, authentication, and access control policies.</t>
  </si>
  <si>
    <t>A.6.2.6 AI system operation and monitoring
A.6.2.8 AI system recording of event logs</t>
  </si>
  <si>
    <t>A.5.16 Identity management
A.8.5 Secure authentication
A.5.18 Access rights
A.8.20 Networks Security
A.8.21 Security of network services
A.8.22 Segregation of networks
A.5.15 Access control
A.8.2 Privileged access rights
A.8.3 Information access restriction
A.8.4 Access to source code
A.8.15 Logging
A.8.16 Monitoring Activities
A.5.14 Information transfer
A.5.34 Privacy and protection of personal identifiable information (PII)</t>
  </si>
  <si>
    <t>Raw Data 1.2</t>
  </si>
  <si>
    <t xml:space="preserve">Raw Data 1.2: Missing data classification </t>
  </si>
  <si>
    <t>Data classification is critical for data governance, enabling organizations to effectively sort and categorize data by sensitivity, importance and criticality. As data volumes grow exponentially, prioritizing sensitive information protection, risk reduction and data quality becomes imperative. Classification facilitates the implementation of appropriate security measures and governance policies by evaluating data’s risk and value. A robust classification strategy strengthens data governance, mitigates risks, and ensures data integrity and security on a scalable level.</t>
  </si>
  <si>
    <t>DASF 6</t>
  </si>
  <si>
    <t>• DASF 6: Classify data with tags as it is ingested into the platform aligning with the organization’s governance requirements</t>
  </si>
  <si>
    <t>• Data Breach
• Breach of Legal Obligations
• Breach of Regulatory Obligations
• Regulatory non-compliance
• Loss of Data Integrity</t>
  </si>
  <si>
    <t>• Financial Loss
• Customer Retention
• Legal fines
• Regulatory Fines and Judgement</t>
  </si>
  <si>
    <r>
      <rPr>
        <rFont val="DM Sans"/>
        <color rgb="FF1155CC"/>
        <u/>
      </rPr>
      <t>AML.T0043</t>
    </r>
    <r>
      <rPr>
        <rFont val="DM Sans"/>
      </rPr>
      <t xml:space="preserve"> Craft Adversarial Data
</t>
    </r>
    <r>
      <rPr>
        <rFont val="DM Sans"/>
        <color rgb="FF1155CC"/>
        <u/>
      </rPr>
      <t>AML.T0020</t>
    </r>
    <r>
      <rPr>
        <rFont val="DM Sans"/>
      </rPr>
      <t>: Poison Training Data
AML.T0022: Lack of Auditing/Logging</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</si>
  <si>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Sensitive Information Disclosure</t>
    </r>
  </si>
  <si>
    <r>
      <rPr>
        <rFont val="DM Sans"/>
        <color rgb="FF1155CC"/>
        <u/>
      </rPr>
      <t>ML02:2023</t>
    </r>
    <r>
      <rPr>
        <rFont val="DM Sans"/>
      </rPr>
      <t xml:space="preserve"> Data Poisoning Attack</t>
    </r>
  </si>
  <si>
    <t>AC-1:Policy and Procedures to AC-23:Data Mining Protection,
AT-1:Policy and Procedures to AT-6:Training Feedback,
AU-1:Policy and Procedures to AU-10:Non-repudiation,
MP-1:Policy and Procedures to MP-8:Media Downgrading</t>
  </si>
  <si>
    <t>NIST controls related to media marking and protection for ensuring data is properly classified and handled according to its sensitivity.</t>
  </si>
  <si>
    <t xml:space="preserve">Ensure ML applications comply with data security requirements.
Control all data used by the ML model. </t>
  </si>
  <si>
    <t>A.7.4 Quality of data for AI systems</t>
  </si>
  <si>
    <t>A.5.12 Classification of information</t>
  </si>
  <si>
    <t>Raw Data 1.3</t>
  </si>
  <si>
    <t>Raw Data 1.3: Poor data quality</t>
  </si>
  <si>
    <t>Data quality is crucial for reliable data-driven decisions and is a cornerstone of data governance. Malicious actors threaten data integrity, accuracy and consistency, challenging the analytics and decision-making processes that depend on high-quality data, just as a well-intentioned user with poor-quality data can limit the efficacy of an AI system. To safeguard against these threats, organizations must rigorously evaluate key data attributes — accuracy, completeness, freshness and rule compliance. Prioritizing data quality enables organizations to trace data lineage, apply data quality rules and monitor changes, ensuring analytical accuracy and cost-effectiveness.</t>
  </si>
  <si>
    <t>DASF 7
DASF 21
DASF 36</t>
  </si>
  <si>
    <t>• DASF 7: Enforce data quality checks on batch and streaming datasets 
• DASF 21: Monitor data and AI system from a single pane of glass 
• DASF 36: Set up monitoring alerts</t>
  </si>
  <si>
    <t>• Using Untrusted Data to Make Data-Driven Decisions
• Undesired Business Outcomes
• Regulatory non-compliance
• Failure to Achieve Organizational AI Strategy and Goals</t>
  </si>
  <si>
    <t>• Customer Retention
• Regulatory Fines and Judgement</t>
  </si>
  <si>
    <r>
      <rPr>
        <rFont val="DM Sans"/>
        <color rgb="FF1155CC"/>
        <u/>
      </rPr>
      <t>AML.T0020</t>
    </r>
    <r>
      <rPr>
        <rFont val="DM Sans"/>
      </rPr>
      <t xml:space="preserve">: Poison Training Data
</t>
    </r>
    <r>
      <rPr>
        <rFont val="DM Sans"/>
        <color rgb="FF1155CC"/>
        <u/>
      </rPr>
      <t>AML.T0019</t>
    </r>
    <r>
      <rPr>
        <rFont val="DM Sans"/>
      </rPr>
      <t xml:space="preserve">: Published Poisoned
Datasets
</t>
    </r>
    <r>
      <rPr>
        <rFont val="DM Sans"/>
        <color rgb="FF1155CC"/>
        <u/>
      </rPr>
      <t>AML.T0029</t>
    </r>
    <r>
      <rPr>
        <rFont val="DM Sans"/>
      </rPr>
      <t>: Denial of ML Service</t>
    </r>
  </si>
  <si>
    <r>
      <rPr>
        <rFont val="DM Sans"/>
        <color rgb="FF1155CC"/>
        <u/>
      </rPr>
      <t>LLM03.2, 4, 5</t>
    </r>
    <r>
      <rPr>
        <rFont val="DM Sans"/>
      </rPr>
      <t xml:space="preserve">: Training Data Poisoning
</t>
    </r>
    <r>
      <rPr>
        <rFont val="DM Sans"/>
        <color rgb="FF1155CC"/>
        <u/>
      </rPr>
      <t>LLM04</t>
    </r>
    <r>
      <rPr>
        <rFont val="DM Sans"/>
      </rPr>
      <t xml:space="preserve">: Model Denial of Service
</t>
    </r>
    <r>
      <rPr>
        <rFont val="DM Sans"/>
        <color rgb="FF1155CC"/>
        <u/>
      </rPr>
      <t>LLM05.1</t>
    </r>
    <r>
      <rPr>
        <rFont val="DM Sans"/>
      </rPr>
      <t xml:space="preserve">: Supply Chain Vulnerabilities
</t>
    </r>
    <r>
      <rPr>
        <rFont val="DM Sans"/>
        <color rgb="FF1155CC"/>
        <u/>
      </rPr>
      <t>LLM06.3</t>
    </r>
    <r>
      <rPr>
        <rFont val="DM Sans"/>
      </rPr>
      <t xml:space="preserve">: Sensitive Information Disclosure
</t>
    </r>
    <r>
      <rPr>
        <rFont val="DM Sans"/>
        <color rgb="FF1155CC"/>
        <u/>
      </rPr>
      <t>LLM08</t>
    </r>
    <r>
      <rPr>
        <rFont val="DM Sans"/>
      </rPr>
      <t xml:space="preserve">: Excessive Agency
</t>
    </r>
    <r>
      <rPr>
        <rFont val="DM Sans"/>
        <color rgb="FF1155CC"/>
        <u/>
      </rPr>
      <t>LLM10</t>
    </r>
    <r>
      <rPr>
        <rFont val="DM Sans"/>
      </rPr>
      <t>: Model Theft</t>
    </r>
  </si>
  <si>
    <r>
      <rPr>
        <rFont val="DM Sans"/>
        <color rgb="FF1155CC"/>
        <u/>
      </rPr>
      <t>ML08:2023</t>
    </r>
    <r>
      <rPr>
        <rFont val="DM Sans"/>
      </rPr>
      <t xml:space="preserve"> Model Skewing</t>
    </r>
  </si>
  <si>
    <t>SI-2:Flaw Remediation, 
SI-4:System Monitoring, 
SI-7:Software, Firmware, and Information Integrity, 
AU-3:Content of Audit Records, 
AC-6:Least Privilege, 
CM-3:Configuration Change Control, 
CM-4:Impact Analyses</t>
  </si>
  <si>
    <t>Audit records and integrity verification for ensuring data quality and traceability across operations.</t>
  </si>
  <si>
    <t xml:space="preserve">Ensure ML applications comply with data security requirements.
Control all data used by the ML model. 
Use methods to clean the training dataset from suspicious samples. </t>
  </si>
  <si>
    <t xml:space="preserve">A.7.4 Quality of data for AI systems
A.7.6 Data preparation
A.6.2.6 AI system operation and monitoring
A.6.2.8 AI system recording of event logs
</t>
  </si>
  <si>
    <t>Article 10.3: Data and Data Governance</t>
  </si>
  <si>
    <t>Raw Data 1.4</t>
  </si>
  <si>
    <t>Raw Data 1.4: Ineffective storage and encryption</t>
  </si>
  <si>
    <t>Insecure data storage leaves organizations vulnerable to unauthorized access, potentially leading to data breaches with significant legal, financial and reputational consequences. Encrypting data at rest can help to render the data unreadable to unauthorized actors who bypass security measures or attempt large-scale data exfiltration. Additionally, compliance with industry-specific data security regulations often necessitates such measures.</t>
  </si>
  <si>
    <t>DASF 5
DASF 8
DASF 9</t>
  </si>
  <si>
    <t>• DASF 5: Control access to data and other objects for metadata encryption across all data assets
• DASF 8: Encrypt data at rest
• DASF 9: Encrypt data in transit</t>
  </si>
  <si>
    <t>• Unauthorised Access to Customer Data
• Unauthorised Access to Training Data 
• Data Breach
• Model Theft
• Breach of Legal Obligations
• Breach of Regulatory Obligations
• Loss of Data Integrity</t>
  </si>
  <si>
    <t>• Financial Loss
• Customer Retention
• Legal fines
• Regulatory Fines and Judgement
• Loss of Competitive Advantage
• Proprietary Data Loss</t>
  </si>
  <si>
    <r>
      <rPr>
        <rFont val="DM Sans"/>
        <color rgb="FF1155CC"/>
        <u/>
      </rPr>
      <t>AML.T0051</t>
    </r>
    <r>
      <rPr>
        <rFont val="DM Sans"/>
      </rPr>
      <t xml:space="preserve"> LLM Prompt Injection
</t>
    </r>
    <r>
      <rPr>
        <rFont val="DM Sans"/>
        <color rgb="FF1155CC"/>
        <u/>
      </rPr>
      <t>AML.T0020</t>
    </r>
    <r>
      <rPr>
        <rFont val="DM Sans"/>
      </rPr>
      <t xml:space="preserve">: Poison Training Data
</t>
    </r>
    <r>
      <rPr>
        <rFont val="DM Sans"/>
        <color rgb="FF1155CC"/>
        <u/>
      </rPr>
      <t>AML.T0002.000</t>
    </r>
    <r>
      <rPr>
        <rFont val="DM Sans"/>
      </rPr>
      <t>: Acquire Public ML Artifacts: Models</t>
    </r>
  </si>
  <si>
    <r>
      <rPr>
        <rFont val="DM Sans"/>
        <color rgb="FF1155CC"/>
        <u/>
      </rPr>
      <t>ID: T1486</t>
    </r>
    <r>
      <rPr>
        <rFont val="DM Sans"/>
      </rPr>
      <t xml:space="preserve"> Data Encrypted for Impact
</t>
    </r>
    <r>
      <rPr>
        <rFont val="DM Sans"/>
        <color rgb="FF1155CC"/>
        <u/>
      </rPr>
      <t>ID: T1530</t>
    </r>
    <r>
      <rPr>
        <rFont val="DM Sans"/>
      </rPr>
      <t xml:space="preserve"> Data from Cloud Storage</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</si>
  <si>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LLM10.1,4</t>
    </r>
    <r>
      <rPr>
        <rFont val="DM Sans"/>
      </rPr>
      <t>: Model Theft</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</si>
  <si>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</si>
  <si>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 xml:space="preserve">SC-13:Cryptographic Protection, 
SC-28:Protection of Information at Rest </t>
  </si>
  <si>
    <t>These controls cover encryption of data at rest and in transit, addressing insecure storage and encryption risks.</t>
  </si>
  <si>
    <t>Ensure ML applications comply with data security requirements.</t>
  </si>
  <si>
    <t>A.5.15 Access control
A.8.2 Privileged access rights
A.8.3 Information access restriction
A.8.4 Access to source code
A.8.24 Use of cryptography</t>
  </si>
  <si>
    <t>Raw Data 1.5</t>
  </si>
  <si>
    <t xml:space="preserve">Raw Data 1.5: Lack of data versioning </t>
  </si>
  <si>
    <t>When data gets corrupted by a malicious user by introducing a new set of data or by corrupting a data pipeline, you will need to be able to roll back or trace back to the original data.</t>
  </si>
  <si>
    <t>DASF 10</t>
  </si>
  <si>
    <t>• DASF 10: Version data and track change logs on large-scale datasets that are fed to your models</t>
  </si>
  <si>
    <t>• Inability to Recover from an Incident
• Disruption of Business Operations and Service Availability
• Regulatory Non-compliance</t>
  </si>
  <si>
    <t>• Breach of Service Level Agreements
• Customer Retention
• Regulatory Fines and Judgement
• Direct Business Interruption
• Fines from SLA</t>
  </si>
  <si>
    <r>
      <rPr>
        <rFont val="DM Sans"/>
        <color rgb="FF1155CC"/>
        <u/>
      </rPr>
      <t>AML.T0020</t>
    </r>
    <r>
      <rPr>
        <rFont val="DM Sans"/>
      </rPr>
      <t xml:space="preserve">: Poison Training Data
</t>
    </r>
    <r>
      <rPr>
        <rFont val="DM Sans"/>
        <color rgb="FF1155CC"/>
        <u/>
      </rPr>
      <t>AML.T0019</t>
    </r>
    <r>
      <rPr>
        <rFont val="DM Sans"/>
      </rPr>
      <t>: Published Poisoned
Datasets</t>
    </r>
  </si>
  <si>
    <r>
      <rPr>
        <rFont val="DM Sans"/>
        <color rgb="FF1155CC"/>
        <u/>
      </rPr>
      <t>ID: T1565</t>
    </r>
    <r>
      <rPr>
        <rFont val="DM Sans"/>
      </rPr>
      <t xml:space="preserve"> Data Manipulation</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</si>
  <si>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Sensitive Information Disclosure</t>
    </r>
  </si>
  <si>
    <t>CM-2:Baseline Configuration,
CM-3:Configuration Change Control, 
CP:Contingency Planning Family</t>
  </si>
  <si>
    <t>This control relates to ensuring software and data maintain integrity, including versioning control.</t>
  </si>
  <si>
    <t>Ensure ML applications comply with data security requirements.
Control all data used by the ML model.</t>
  </si>
  <si>
    <t>A.4.3 Data resources
A.7.2 Data for development and enhancement of AI system</t>
  </si>
  <si>
    <t>Raw Data 1.6</t>
  </si>
  <si>
    <t>Raw Data 1.6: Insufficient data lineage</t>
  </si>
  <si>
    <t>Because data may come from multiple sources and go through multiple transformations over its lifecycle, understanding data transparency and usage requirements in AI training is important to risk management. Many compliance regulations require organizations to have a clear understanding and traceability of data used for AI. Data lineage helps organizations be compliant and audit-ready, thereby alleviating the operational overhead of manually creating the trails of data flows for audit reporting purposes.</t>
  </si>
  <si>
    <t>DASF 11
DASF 51</t>
  </si>
  <si>
    <t>• DASF 11: Capture and view data lineage
• DASF 51: Share data and AI assets securely</t>
  </si>
  <si>
    <t>• Loss of Data Integrity
• Limited Ability to Meet Regulatory Compliance
• Regulatory non-compliance
• Loss of Data Integrity</t>
  </si>
  <si>
    <r>
      <rPr>
        <rFont val="DM Sans"/>
        <color rgb="FF1155CC"/>
        <u/>
      </rPr>
      <t>AML.T0020</t>
    </r>
    <r>
      <rPr>
        <rFont val="DM Sans"/>
      </rPr>
      <t xml:space="preserve">: Poison Training Data
</t>
    </r>
    <r>
      <rPr>
        <rFont val="DM Sans"/>
        <color rgb="FF1155CC"/>
        <u/>
      </rPr>
      <t>AML.T0019</t>
    </r>
    <r>
      <rPr>
        <rFont val="DM Sans"/>
      </rPr>
      <t xml:space="preserve">: Published Poisoned
Datasets
</t>
    </r>
    <r>
      <rPr>
        <rFont val="DM Sans"/>
        <color rgb="FF1155CC"/>
        <u/>
      </rPr>
      <t>AML.T0010</t>
    </r>
    <r>
      <rPr>
        <rFont val="DM Sans"/>
      </rPr>
      <t>: ML Supply Chain Compromise</t>
    </r>
  </si>
  <si>
    <r>
      <rPr>
        <rFont val="DM Sans"/>
        <color rgb="FF1155CC"/>
        <u/>
      </rPr>
      <t>LLM03.2, 4, 5</t>
    </r>
    <r>
      <rPr>
        <rFont val="DM Sans"/>
      </rPr>
      <t xml:space="preserve">: Training Data Poisoning
</t>
    </r>
    <r>
      <rPr>
        <rFont val="DM Sans"/>
        <color rgb="FF1155CC"/>
        <u/>
      </rPr>
      <t>LLM05.1, 5</t>
    </r>
    <r>
      <rPr>
        <rFont val="DM Sans"/>
      </rPr>
      <t xml:space="preserve">: Supply Chain Vulnerabilities, 
</t>
    </r>
    <r>
      <rPr>
        <rFont val="DM Sans"/>
        <color rgb="FF1155CC"/>
        <u/>
      </rPr>
      <t>LLM06.3</t>
    </r>
    <r>
      <rPr>
        <rFont val="DM Sans"/>
      </rPr>
      <t>: Sensitive Information Disclosure</t>
    </r>
  </si>
  <si>
    <t>AU-3:Content of Audit Records, 
AU-6:Audit Record Review, Analysis, and Reporting, 
AU-12:Audit Record Generation, 
SI-7:Software, Firmware, and Information Integrity, 
CM-3:Configuration Change Control, 
CM-8:System Component Inventory, 
PT-2:Authority to Process Personally Identifiable Information, 
RA-3:Risk Assessment</t>
  </si>
  <si>
    <t>These controls ensure audit mechanisms are in place to track and log actions, which is critical for data lineage.</t>
  </si>
  <si>
    <t>A.4.3 Data resources
A.7.3 Acquisition of data</t>
  </si>
  <si>
    <t>A.5.14 Information transfer</t>
  </si>
  <si>
    <t>Raw Data 1.7</t>
  </si>
  <si>
    <t>Raw Data 1.7: Lack of data trustworthiness</t>
  </si>
  <si>
    <t>Attackers may tamper with or poison raw input data (training data, RAG data, etc). Adversaries may exploit public datasets, which often resemble those used by targeted organizations. To mitigate these threats, organizations should validate data sources, implement integrity checks, and utilize AI and machine learning for anomaly detection.</t>
  </si>
  <si>
    <t>DASF 10
DASF 51
DASF 59</t>
  </si>
  <si>
    <t>• DASF 10: Version data and track change logs on large-scale datasets that are fed to your models
• DASF 51: Share data and AI assets securely 
• DASF 59: Use clean rooms to collaborate in a secure environment</t>
  </si>
  <si>
    <t>• Compromised Integrity of AI System Outputs
• Regulatory non-compliance
• Loss of Data Integrity</t>
  </si>
  <si>
    <r>
      <rPr>
        <rFont val="DM Sans"/>
        <color rgb="FF1155CC"/>
        <u/>
      </rPr>
      <t>AML.T0020</t>
    </r>
    <r>
      <rPr>
        <rFont val="DM Sans"/>
      </rPr>
      <t xml:space="preserve">: Poison Training Data
</t>
    </r>
    <r>
      <rPr>
        <rFont val="DM Sans"/>
        <color rgb="FF1155CC"/>
        <u/>
      </rPr>
      <t>AML.T0019</t>
    </r>
    <r>
      <rPr>
        <rFont val="DM Sans"/>
      </rPr>
      <t xml:space="preserve">: Published Poisoned
Datasets
</t>
    </r>
    <r>
      <rPr>
        <rFont val="DM Sans"/>
        <color rgb="FF1155CC"/>
        <u/>
      </rPr>
      <t>AML.T0010</t>
    </r>
    <r>
      <rPr>
        <rFont val="DM Sans"/>
      </rPr>
      <t>: ML Supply Chain Compromise</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</si>
  <si>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Sensitive Information Disclosure</t>
    </r>
  </si>
  <si>
    <t>SR-2: Supply Chain Risk Management Plan
SR-5: Acquisition Strategies, Tools, and Methods
SR-6: Supplier Assessments and Reviews
SI-4: System Monitoring
SI-7(8): Auditing Capability for Significant Events
AU-6: Audit Record Review, Analysis, and Reporting
AU-9: Protection of Audit Information
RA-5: Vulnerability Monitoring and Scanning
SC-28: Protection of Information at Rest
CP-9: System Backup</t>
  </si>
  <si>
    <t>Data integrity mechanisms ensure data trustworthiness, preventing poisoning and manipulation.</t>
  </si>
  <si>
    <t>Supply chain attacks -&gt; Compromised 3rd-party training datasets</t>
  </si>
  <si>
    <t>Control all data used by the ML model.
Ensure reliable sources are used.
Use methods to clean the training dataset from suspicious samples.
Ensure that models respect differential privacy to a sufficient degree.</t>
  </si>
  <si>
    <t>A.5.14 Information transfer
A.5.34 Privacy and protection of personal identifiable information (PII)</t>
  </si>
  <si>
    <t>Raw Data 1.8</t>
  </si>
  <si>
    <t>Raw Data 1.8: Legality of data</t>
  </si>
  <si>
    <t>Intellectual property concerns of training data and and legal mandates — such as those from GDPR, CCPA and LGPD — necessitate the capability of machine learning systems to “delete” specific data. But you often can’t “untrain” a model; during the training process, input data is encoded into the internal representation of the model, characterized by elements like thresholds and weights, which could become subject to legal constraints. Tracking your training data and retraining your model using clean and ownership-verified datasets is essential for meeting regulatory demands.</t>
  </si>
  <si>
    <t>DASF 12
DASF 27
DASF 29</t>
  </si>
  <si>
    <t>• DASF 12: Delete records from datasets and retrain models to forget data subjects
• DASF 27: Pretrain a large language model (LLM) to only use the data that is allowed with LLMs for inference
• DASF 29: Build MLOps workflows to track models and trace data sources and lineage to retrain models with the updated dataset by following legal constraints</t>
  </si>
  <si>
    <t>• Using Data to Train Models without Legal Ownership of Data
• Using Data to Train Models without Consent from the Data Owner 
• Constrained use of your model
• Regulatory non-compliance
• Loss of Data Integrity</t>
  </si>
  <si>
    <r>
      <rPr>
        <rFont val="DM Sans"/>
        <color rgb="FF1155CC"/>
        <u/>
      </rPr>
      <t>AML.T0057</t>
    </r>
    <r>
      <rPr>
        <rFont val="DM Sans"/>
      </rPr>
      <t>: LLM Data Leakage</t>
    </r>
  </si>
  <si>
    <r>
      <rPr>
        <rFont val="DM Sans"/>
        <color rgb="FF1155CC"/>
        <u/>
      </rPr>
      <t>LLM05.5, 7</t>
    </r>
    <r>
      <rPr>
        <rFont val="DM Sans"/>
      </rPr>
      <t xml:space="preserve">: Supply Chain Vulnerabilities
</t>
    </r>
    <r>
      <rPr>
        <rFont val="DM Sans"/>
        <color rgb="FF1155CC"/>
        <u/>
      </rPr>
      <t>LLM06.3</t>
    </r>
    <r>
      <rPr>
        <rFont val="DM Sans"/>
      </rPr>
      <t xml:space="preserve">: Sensitive Information Disclosure
</t>
    </r>
    <r>
      <rPr>
        <rFont val="DM Sans"/>
        <color rgb="FF1155CC"/>
        <u/>
      </rPr>
      <t>LLM10.4</t>
    </r>
    <r>
      <rPr>
        <rFont val="DM Sans"/>
      </rPr>
      <t xml:space="preserve">: Model Theft
</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</si>
  <si>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ML06:2023</t>
    </r>
    <r>
      <rPr>
        <rFont val="DM Sans"/>
      </rPr>
      <t xml:space="preserve"> AI Supply Chain Attacks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</si>
  <si>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PT-1: Policy and Procedures 
PT-2: Authority to Process Personally Identifiable Information
PT-3: Personally Identifiable Information Processing Purposes 
PT-4: Consent 
PT-5: Privacy Notice 
AC-14: Permitted Actions without Identification or Authentication 
AC-20: Use of External Systems 
SI-12: Information Management and Retention 
IR-8: Incident Response Plan 
PL-5: Privacy Impact Assessment</t>
  </si>
  <si>
    <t>Controls for ensuring compliance with legal mandates like data deletion requirements and protection from unauthorized disclosure.</t>
  </si>
  <si>
    <t>Threats inherent to language models -&gt; Copyright-infringing output</t>
  </si>
  <si>
    <t>Assess the regulations and laws the ML application must comply with.
Ensure ML applications comply with data security requirements.
Ensure ML applications comply with third parties' security requirements.
Ensure ML applications comply with security policies.
Ensure that models respect differential privacy to a sufficient degree.</t>
  </si>
  <si>
    <t>A.2.3 Alignment with other organizational policies
A.3.2 AI roles and responsibilities
A.7.2 Data for development and enhancement of AI system
A.9.3 Objectives for responsible use of AI system
A.4.3 Data resources
A.6.1.2 Objectives for responsible development of AI system
A.6.1.3 Processes for responsible design and development of AI systems
A.6.2.3 Documentation of AI system design and development
A.6.2.5 AI system deployment
A.6.2.6 AI system operation and monitoring</t>
  </si>
  <si>
    <t>A.5.34 Privacy and protection of personal identifiable information (PII)
A.8.10 Information deletion</t>
  </si>
  <si>
    <t>Raw Data 1.9</t>
  </si>
  <si>
    <t>Raw Data 1.9: Stale data</t>
  </si>
  <si>
    <t>When downstream data is not timely or accurate, business processes can be delayed, significantly affecting overall efficiency. Attackers may deliberately target these systems with attacks like denial of service, which can undermine the model’s performance and dependability. It’s crucial to proactively counteract these threats. Data streaming and performance monitoring help protect against such risks, maintaining the input data integrity and ensuring they are delivered promptly to the model.</t>
  </si>
  <si>
    <t>DASF 7
DASF 13</t>
  </si>
  <si>
    <t>• DASF 7: Enforce data quality checks on batch and streaming datasets
• DASF 13: Use near real-time data for fault-tolerant, near real-time data ingestion, processing and machine learning, and AI for streaming data</t>
  </si>
  <si>
    <t>• Unreliable Downstream Systems Performance 
• Unreliable Downstream Systems Reliability
• Regulatory non-compliance
• Loss of AI System Integrity</t>
  </si>
  <si>
    <r>
      <rPr>
        <rFont val="DM Sans"/>
        <color rgb="FF1155CC"/>
        <u/>
      </rPr>
      <t>AML.T0020</t>
    </r>
    <r>
      <rPr>
        <rFont val="DM Sans"/>
      </rPr>
      <t xml:space="preserve">: Poison Training Data
</t>
    </r>
    <r>
      <rPr>
        <rFont val="DM Sans"/>
        <color rgb="FF1155CC"/>
        <u/>
      </rPr>
      <t>AML.T0021</t>
    </r>
    <r>
      <rPr>
        <rFont val="DM Sans"/>
      </rPr>
      <t xml:space="preserve">: Backdoor Attacks
</t>
    </r>
    <r>
      <rPr>
        <rFont val="DM Sans"/>
        <color rgb="FF1155CC"/>
        <u/>
      </rPr>
      <t>AML.T0010</t>
    </r>
    <r>
      <rPr>
        <rFont val="DM Sans"/>
      </rPr>
      <t>: ML Supply Chain Compromise</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</si>
  <si>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Sensitive Information Disclosure</t>
    </r>
  </si>
  <si>
    <r>
      <rPr>
        <rFont val="DM Sans"/>
        <color rgb="FF1155CC"/>
        <u/>
      </rPr>
      <t>ML08:2023</t>
    </r>
    <r>
      <rPr>
        <rFont val="DM Sans"/>
      </rPr>
      <t xml:space="preserve"> Model Skewing</t>
    </r>
  </si>
  <si>
    <t>SI-4: System Monitoring 
SI-7: Software, Firmware, and Information Integrity 
CP-6: Alternate Storage Site 
CP-7: Alternate Processing Site 
CP-9: System Backup 
AU-10: Non-repudiation 
SC-5: Denial-of-Service Protection</t>
  </si>
  <si>
    <t>Focus on monitoring data for accuracy and timeliness, critical to managing stale data issues.</t>
  </si>
  <si>
    <t>Ensure ML applications comply with data security requirements.
Control All Data Used by the ML Model.
Define and Monitor Indicators for Proper Functioning of the Model.
Ensure that the Model is Sufficiently Resilient to the Environment in which it Will Operate.
Implement Processes to Maintain Security Levels of ML Components over Time.</t>
  </si>
  <si>
    <t>A.7.4 Quality of data for AI systems
A.7.6 Data preparation
A.7.2 Data for development and enhancement of AI system</t>
  </si>
  <si>
    <t>Raw Data 1.10</t>
  </si>
  <si>
    <t>Raw Data 1.10: Lack of data access logs</t>
  </si>
  <si>
    <t>Without proper audit mechanisms, an organization may not be fully aware of its risk surface area, leaving it vulnerable to data breaches and regulatory noncompliance. Therefore, a well-designed audit team within a data governance or security governance organization is critical in ensuring data security and compliance with regulations such as GDPR and CCPA. By implementing effective data access auditing strategies, organizations can maintain the trust of their customers and protect their data from unauthorized access or misuse.</t>
  </si>
  <si>
    <t>DASF 14
DASF 55</t>
  </si>
  <si>
    <t xml:space="preserve">• DASF 14: Audit actions performed on datasets 
• DASF 55: Monitor audit logs
</t>
  </si>
  <si>
    <t>• Inability to Detect AI System Compromise
• Inability to Detect a Cyber Attack on AI Systems
• Regulatory non-compliance
• Loss of Data Integrity</t>
  </si>
  <si>
    <r>
      <rPr>
        <rFont val="DM Sans"/>
        <color rgb="FF1155CC"/>
        <u/>
      </rPr>
      <t>AML.T0020</t>
    </r>
    <r>
      <rPr>
        <rFont val="DM Sans"/>
      </rPr>
      <t xml:space="preserve">: Poison Training Data
</t>
    </r>
    <r>
      <rPr>
        <rFont val="DM Sans"/>
        <color rgb="FF1155CC"/>
        <u/>
      </rPr>
      <t>AML.T0010</t>
    </r>
    <r>
      <rPr>
        <rFont val="DM Sans"/>
      </rPr>
      <t>: ML Supply Chain Compromise</t>
    </r>
  </si>
  <si>
    <r>
      <rPr>
        <rFont val="DM Sans"/>
        <color rgb="FF1155CC"/>
        <u/>
      </rPr>
      <t>LLM05.5, 7</t>
    </r>
    <r>
      <rPr>
        <rFont val="DM Sans"/>
      </rPr>
      <t>: Supply Chain Vulnerabilitie</t>
    </r>
  </si>
  <si>
    <r>
      <rPr>
        <rFont val="DM Sans"/>
        <color rgb="FF1155CC"/>
        <u/>
      </rPr>
      <t>ML02:2023</t>
    </r>
    <r>
      <rPr>
        <rFont val="DM Sans"/>
      </rPr>
      <t xml:space="preserve"> Data Poisoning Attack
</t>
    </r>
    <r>
      <rPr>
        <rFont val="DM Sans"/>
        <color rgb="FF1155CC"/>
        <u/>
      </rPr>
      <t>ML08:2023</t>
    </r>
    <r>
      <rPr>
        <rFont val="DM Sans"/>
      </rPr>
      <t xml:space="preserve"> Model Skewing
ML09:2023 Output Integrity Attack</t>
    </r>
  </si>
  <si>
    <t>AU-2: Audit Event Collection
AU-3: Content of Audit Records
AU-4: Audit Log Storage Capacity
AU-5: Response to Audit Processing Failures
AU-6: Audit Record Review, Analysis, and Reporting
AU-7: Audit Reduction and Report Generation
AU-9: Protection of Audit Information
AU-11: Audit Record Retention</t>
  </si>
  <si>
    <t>These controls establish audit mechanisms and monitoring, critical for logging access to data.</t>
  </si>
  <si>
    <t>Include ML Applications in Asset Management Processes.
Ensure ML Applications Comply with Data Security Requirements.
Ensure ML Applications Comply with Identity Management, Authentication, and Access Control Policies.</t>
  </si>
  <si>
    <t>A.6.2.8 AI system recording of event logs
A.6.2.6 AI system operation and monitoring</t>
  </si>
  <si>
    <t>A.8.15 Logging
A.8.16 Monitoring Activities</t>
  </si>
  <si>
    <t>Article 12.3: Record-Keeping</t>
  </si>
  <si>
    <t>Raw Data 1.11</t>
  </si>
  <si>
    <t>Raw Data 1.11: Compromised 3rd-party datasets</t>
  </si>
  <si>
    <t>Adversaries may poison training data and publish it to public locations or manipulate source datasets known to be used in the AI system. The poisoned dataset may be a novel dataset or a poisoned variant of an existing open source dataset. This data may be introduced to a victim system via supply chain compromise.</t>
  </si>
  <si>
    <t>DASF 5
DASF 7
DASF 11
DASF 17</t>
  </si>
  <si>
    <t>• DASF 5: Control access to data and other objects for permissions model across all data assets to protect data and sources 
• DASF 7: Enforce data quality checks on batch and streaming datasets for data sanity checks, and automatically detect anomalies before they make it to the datasets
• DASF 11: Capture and view data lineage to capture the lineage all the way to the original raw data sources
• DASF 17: Track and reproduce the training data used for ML model training and identify ML models and runs derived from a particular dataset</t>
  </si>
  <si>
    <t>DASF v 2.0</t>
  </si>
  <si>
    <t>• Unintended Training
• Compromised Integrity of AI System Outputs
• Unreliable Downstream Systems Reliability
• Regulatory non-compliance
• Loss of data integrity</t>
  </si>
  <si>
    <t>AI Sec</t>
  </si>
  <si>
    <r>
      <rPr>
        <rFont val="DM Sans"/>
        <color rgb="FF1155CC"/>
        <u/>
      </rPr>
      <t xml:space="preserve">AML.T0019 </t>
    </r>
    <r>
      <rPr>
        <rFont val="DM Sans"/>
      </rPr>
      <t xml:space="preserve"> Publish Poisoned Datasets
</t>
    </r>
    <r>
      <rPr>
        <rFont val="DM Sans"/>
        <color rgb="FF1155CC"/>
        <u/>
      </rPr>
      <t>AML.T0010</t>
    </r>
    <r>
      <rPr>
        <rFont val="DM Sans"/>
      </rPr>
      <t>: ML Supply Chain Compromise</t>
    </r>
  </si>
  <si>
    <r>
      <rPr>
        <rFont val="DM Sans"/>
        <color rgb="FF1155CC"/>
        <u/>
      </rPr>
      <t>ID: T1565</t>
    </r>
    <r>
      <rPr>
        <rFont val="DM Sans"/>
      </rPr>
      <t xml:space="preserve"> Data Manipulation</t>
    </r>
  </si>
  <si>
    <r>
      <rPr>
        <rFont val="DM Sans"/>
        <color rgb="FF1155CC"/>
        <u/>
      </rPr>
      <t>LLM03</t>
    </r>
    <r>
      <rPr>
        <rFont val="DM Sans"/>
      </rPr>
      <t xml:space="preserve">: Training Data Poisoning
</t>
    </r>
    <r>
      <rPr>
        <rFont val="DM Sans"/>
        <color rgb="FF1155CC"/>
        <u/>
      </rPr>
      <t>LLM05</t>
    </r>
    <r>
      <rPr>
        <rFont val="DM Sans"/>
      </rPr>
      <t>: Supply Chain Vulnerabilities</t>
    </r>
  </si>
  <si>
    <r>
      <rPr>
        <rFont val="DM Sans"/>
        <color rgb="FF1155CC"/>
        <u/>
      </rPr>
      <t>ML02:2023</t>
    </r>
    <r>
      <rPr>
        <rFont val="DM Sans"/>
      </rPr>
      <t xml:space="preserve"> Data Poisoning Attack
</t>
    </r>
    <r>
      <rPr>
        <rFont val="DM Sans"/>
        <color rgb="FF1155CC"/>
        <u/>
      </rPr>
      <t>ML06:2023</t>
    </r>
    <r>
      <rPr>
        <rFont val="DM Sans"/>
      </rPr>
      <t xml:space="preserve"> AI Supply Chain Attacks
</t>
    </r>
    <r>
      <rPr>
        <rFont val="DM Sans"/>
        <color rgb="FF1155CC"/>
        <u/>
      </rPr>
      <t>ML08:2023</t>
    </r>
    <r>
      <rPr>
        <rFont val="DM Sans"/>
      </rPr>
      <t xml:space="preserve"> Model Skewing</t>
    </r>
  </si>
  <si>
    <t>SI-4: System Monitoring,
SI-7: Software, Firmware, and Information Integrity,
SR-2: Supply Chain Risk Management Plan,
SR-4: Provenance,
SR-6: Supplier Assessments and Reviews,
SA-8: Security and Privacy Engineering Principles,
SA-11: Developer Testing and Evaluation</t>
  </si>
  <si>
    <t>Compromised 3rd-party training datasets</t>
  </si>
  <si>
    <t>Ensure Reliable Sources Are Used.
Control All Data Used by the ML Model.
Conduct a Risk Analysis of the ML Application.
Ensure ML Applications Comply with Third Parties' Security Requirements.
Check the Vulnerabilities of the Components Used So That They Have an Appropriate Security Level.</t>
  </si>
  <si>
    <t>A.7.4 Quality of data for AI systems 
A.7.6 Data preparation
A.4.3 Data resources
A.7.3 Acquisition of data
A.7 Data for AI systems
A.7.2 Data for development and enhancement of AI system
A.7.5 Data provenance</t>
  </si>
  <si>
    <t>A.5.15 Access control
A.8.2 Privileged access rights
A.8.3 Information access restriction
A.8.4 Access to source code</t>
  </si>
  <si>
    <t>Data Prep 2.1</t>
  </si>
  <si>
    <t>Data Prep 2.1: Preprocessing integrity</t>
  </si>
  <si>
    <t>Preprocessing includes numerical transformations, data aggregation, text or image data encoding, and new feature creation, followed by combining data by joining tables or merging datasets. Data preparation involves cleaning and formatting tasks such as handling missing values, ensuring correct formats and removing unnecessary columns.
Insiders or external actors can introduce errors or manipulate data during preprocessing or from the information repository itself.</t>
  </si>
  <si>
    <t>DASF 1
DASF 2
DASF 3
DASF 4
DASF 5
DASF 7
DASF 11
DASF 15
DASF 16
DASF 42
DASF 52
DASF 55
DASF 67</t>
  </si>
  <si>
    <t>• DASF 1: SSO with IdP and MFA to limit who can access your data and AI platform
• DASF 2: Sync users and groups to inherit your organizational roles to access data
• DASF 3: Restrict access using IP access lists to limit IP addresses that can authenticate to your data and AI platform
• DASF 4: Restrict access using private link as a strong control that limits the source for inbound requests
• DASF 5: Control access to data and other objects for permissions model across all data assets to protect data and sources 
• DASF 7: Enforce data quality checks on batch and streaming datasets for data sanity checks and automatically detect anomalies before they make it to the datasets
• DASF 11: Capture and view data lineage to capture the lineage all the way to the original raw data sources
• DASF 15: Explore datasets and identify problems
• DASF 16: Secure model features to reduce the risk of malicious actors manipulating the features that feed into ML training
• DASF 42: Data-centric MLOps and LLMOps promote models as code
• DASF 52: Source Code Control 
• DASF 55: Monitor audit logs
• DASF 67: Federate authentication</t>
  </si>
  <si>
    <t>• Errors in Data During Preprocessing
• Manipulation of Data During Preprocessing
• Compromised Integrity of AI System Outputs
• Regulatory non-compliance
• Loss of data integrity</t>
  </si>
  <si>
    <r>
      <rPr>
        <rFont val="DM Sans"/>
        <color rgb="FF1155CC"/>
        <u/>
      </rPr>
      <t>ID: T1565</t>
    </r>
    <r>
      <rPr>
        <rFont val="DM Sans"/>
      </rPr>
      <t xml:space="preserve"> Data Manipulation</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</si>
  <si>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</si>
  <si>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SI-7:System and Information Integrity family
AC:Access Control family
SC- 28:Protection of Information at Rest, 
SA-3:System Development Life Cycle , 
SA-4:Acquisition Process, 
PE-2:Physical Access Authorizations, 
PE-3:Physical Access Control, 
AU-2:Event Logging, 
AU-6:Audit Record Review, Analysis, and Reporting, 
SR-4:Provenance, 
SR-6:Supplier Assessments and Reviews</t>
  </si>
  <si>
    <t>Ensures the integrity of data preprocessing through integrity controls and secure handling of features and models.</t>
  </si>
  <si>
    <t xml:space="preserve">A.4.3 Data resources
A.7.3 Acquisition of data
A.7.4 Quality of data for AI systems
A.7.6 Data preparation
A.6.2 AI system life cycle
A.6.2.2 AI system requirements and specification
A.6.2.3 Documentation of AI system design and development
A.6.2.4 AI system verification and validation
A.6.2.5 AI system deployment
A.6.2.6 AI system operation and monitoring
A.6.2.8 AI system recording of event logs
A.7 Data for AI systems
A.7.2 Data for development and enhancement of AI system
A.7.5 Data provenance
A.4.4 Tooling resources
</t>
  </si>
  <si>
    <t>A.5.16 Identity management
A.8.5 Secure authentication
A.5.18 Access rights
A.8.20 Networks Security
A.8.21 Security of network services
A.8.22 Segregation of networks
A.5.15 Access control
A.8.2 Privileged access rights
A.8.3 Information access restriction
A.8.4 Access to source code
A.8.25 Secure development life cycle
A.8.15 Logging
A.8.16 Monitoring Activities</t>
  </si>
  <si>
    <t>Data Prep 2.2</t>
  </si>
  <si>
    <t>Data Prep 2.2: Feature manipulation</t>
  </si>
  <si>
    <t>In almost all cases, raw data requires preprocessing and transformation before it is used to build a model. This process, known as feature engineering, involves converting raw data into structured features, the building blocks of the model. Feature engineering is critical to quality and effectiveness of the model. However, how data are annotated into features can introduce the risk of incorporating attacker biases into an AI/ML system. This can compromise the integrity and accuracy of the model and is a significant security concern for models used in critical decision-making (e.g., financial forecasting, fraud detection).</t>
  </si>
  <si>
    <t>DASF 1
DASF 2
DASF 3
DASF 4
DASF 16
DASF 42
DASF 67</t>
  </si>
  <si>
    <t>• DASF 1: SSO with IdP and MFA to limit who can access your data and AI platform
• DASF 2: Sync users and groups to inherit your organizational roles to access data
• DASF 3: Restrict access using IP access lists to limit IP addresses that can authenticate to your data and AI platform
• DASF 4: Restrict access using private link as a strong control that limits the source for inbound requests
• DASF 16: Secure model features to prevent and track unauthorized updates to features and for lineage or traceability
• DASF 42: Data-centric MLOps and LLMOps promote models as code
• DASF 67: Federate authentication</t>
  </si>
  <si>
    <t>• Compromised Fairness in AI System Outputs
• Bias in AI System Outputs
• Untrusted Data used by Decision-making Models
• Regulatory non-compliance
• Loss of data integrity</t>
  </si>
  <si>
    <r>
      <rPr>
        <rFont val="DM Sans"/>
        <color rgb="FF1155CC"/>
        <u/>
      </rPr>
      <t>AML.TA0011</t>
    </r>
    <r>
      <rPr>
        <rFont val="DM Sans"/>
      </rPr>
      <t>: Impact, disrupt availability or compromise integrity by manipulating business and operational processes</t>
    </r>
  </si>
  <si>
    <r>
      <rPr>
        <rFont val="DM Sans"/>
        <color rgb="FF1155CC"/>
        <u/>
      </rPr>
      <t>ID: T1565</t>
    </r>
    <r>
      <rPr>
        <rFont val="DM Sans"/>
      </rPr>
      <t xml:space="preserve"> Data Manipulation</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</si>
  <si>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</si>
  <si>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AC-3:Access Enforcement, 
AC-6:Least Privilege, 
CM-3:Configuration Change Control, 
CM-4:Impact Analyses, 
AU-9:Protection of Audit Information, 
SI-7:Software, Firmware, and Information Integrity</t>
  </si>
  <si>
    <t>Controls ensuring data and feature integrity during preprocessing and feature engineering.</t>
  </si>
  <si>
    <t>Poisoning attacks -&gt; Data poisoning</t>
  </si>
  <si>
    <t>A.6.2 AI system life cycle
A.6.2.2 AI system requirements and specification
A.6.2.3 Documentation of AI system design and development
A.6.2.4 AI system verification and validation
A.6.2.5 AI system deployment
A.6.2.6 AI system operation and monitoring
A.6.2.8 AI system recording of event logs
A.7 Data for AI systems
A.7.2 Data for development and enhancement of AI system
A.7.3 Acquisition of data
A.7.4 Quality of data for AI systems
A.7.5 Data provenance
A.7.6 Data preparation</t>
  </si>
  <si>
    <t>A.5.16 Identity management
A.8.5 Secure authentication
A.5.18 Access rights
A.8.20 Networks Security
A.8.21 Security of network services
A.8.22 Segregation of networks
A.8.3 Information access restriction
A.8.2 Privileged access rights</t>
  </si>
  <si>
    <t>Data Prep 2.3</t>
  </si>
  <si>
    <t>Data Prep 2.3: Raw data criteria</t>
  </si>
  <si>
    <t>An attacker who understands raw data selection criteria may be able to introduce malicious input that compromises system integrity or functionality later in the model lifecycle. Exploitation of this knowledge allows the attacker to bypass established security measures and manipulate the system’s output or behavior. Implementing stringent security measures to safeguard against such manipulations is essential for maintaining the integrity and reliability of ML systems.</t>
  </si>
  <si>
    <t>DASF 1
DASF 2
DASF 3
DASF 4
DASF 43
DASF 42
DASF 67</t>
  </si>
  <si>
    <t>• DASF 1: SSO with IdP and MFA to limit who can access your data and AI platform
• DASF 2: Sync users and groups to inherit your organizational roles to access data
• DASF 3: Restrict access using IP access lists to restrict the IP addresses that can authenticate to Databricks 
• DASF 4: Restrict access using private link as strong controls that limit the source for inbound requests
• DASF 43: Use access control lists to control access to data, data streams and notebooks
• DASF 42: Data-centric MLOps and LLMOps unit and integration testing
• DASF 67: Federate authentication</t>
  </si>
  <si>
    <t>• Bypass of AI System Security Measures
• Manipulation of Model Behaviour
• Regulatory non-compliance
• Loss of data integrity</t>
  </si>
  <si>
    <r>
      <rPr>
        <rFont val="DM Sans"/>
        <color rgb="FF1155CC"/>
        <u/>
      </rPr>
      <t>AML.TA0011</t>
    </r>
    <r>
      <rPr>
        <rFont val="DM Sans"/>
      </rPr>
      <t>: Impact, disrupt availability or compromise integrity by manipulating business and operational processes</t>
    </r>
  </si>
  <si>
    <r>
      <rPr>
        <rFont val="DM Sans"/>
        <color rgb="FF1155CC"/>
        <u/>
      </rPr>
      <t>LLM03</t>
    </r>
    <r>
      <rPr>
        <rFont val="DM Sans"/>
      </rPr>
      <t xml:space="preserve">: Training Data Poisoning
</t>
    </r>
    <r>
      <rPr>
        <rFont val="DM Sans"/>
        <color rgb="FF1155CC"/>
        <u/>
      </rPr>
      <t>LLM05</t>
    </r>
    <r>
      <rPr>
        <rFont val="DM Sans"/>
      </rPr>
      <t xml:space="preserve">: Supply Chain Vulnerabilities
</t>
    </r>
    <r>
      <rPr>
        <rFont val="DM Sans"/>
        <color rgb="FF1155CC"/>
        <u/>
      </rPr>
      <t>LLM10</t>
    </r>
    <r>
      <rPr>
        <rFont val="DM Sans"/>
      </rPr>
      <t>: Model Theft</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</si>
  <si>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</si>
  <si>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AC-2:Account Management, 
AC-3:Access Enforcement, 
AC-6:Least Privilege, 
SC-7:Boundary Protection, 
SC-8:Transmission Confidentiality and Integrity, 
SC-28:Protection of Information at Rest, 
MP:Media Protection Family, 
SI-7:Software, Firmware, and Information Integrity, 
SI-9:Information Input Restrictions, 
SI-10:Information Input Validation</t>
  </si>
  <si>
    <t>Ensures input data validation and filtering to mitigate risks of data manipulation during preprocessing.</t>
  </si>
  <si>
    <t>Control All Data Used by the ML Model.
Use methods to clean the training dataset from suspicious samples.
Add some adversarial examples to the training dataset.
Enlarge the training dataset.
Define and monitor indicators for proper functioning of the model.
Implement tools to detect if a data point is an adversarial example or not.
Apply a RBAC model, respecting the least privilege principle.
Ensure ML projects follow the global process for integrating security into projects.
Integrate ML specificities to awareness strategy and ensure all ML stakeholders are receiving it.
Implement processes to maintain security levels of ML components over time.</t>
  </si>
  <si>
    <t>A.5.16 Identity management
A.8.5 Secure authentication
A.5.18 Access rights
A.8.20 Networks Security
A.8.21 Security of network services
A.8.22 Segregation of networks
A.8.3 Information access restriction
A.8.2 Privileged access rights
A.5.15 Access control</t>
  </si>
  <si>
    <t>Data Prep 2.4</t>
  </si>
  <si>
    <t>Data Prep 2.4: Adversarial partitions</t>
  </si>
  <si>
    <t>If an attacker can influence the partitioning of datasets used in training and evaluation, they can effectively exercise indirect control over the ML system by making them vulnerable to adversarial attacks, where carefully crafted inputs lead to incorrect outputs. These attacks can exploit the space partitioning capabilities of machine learning models, such as tree ensembles and neural networks, leading to misclassifications even in high-confidence scenarios. This form of “model control” can lead to biased or compromised outcomes. Therefore, it is crucial that datasets accurately reflect the intended operational reality of the ML system. Implementing stringent security measures to safeguard against such manipulations is essential for maintaining the integrity and reliability of ML systems.</t>
  </si>
  <si>
    <t>DASF 1
DASF 2
DASF 3
DASF 4
DASF 17
DASF 42
DASF 67</t>
  </si>
  <si>
    <t>• DASF 1: SSO with IdP and MFA to limit who can access your data and AI platform
• DASF 2: Sync users and groups to inherit your organizational roles to access data
• DASF 3: Restrict access using IP access lists to restrict the IP addresses that can authenticate to Databricks 
• DASF 4: Restrict access using private link as strong controls that limit the source for inbound requests
• DASF 17: Track and reproduce the training data used for ML model training to track and reproduce the training data partitions and the human owner accountable for ML model training, as well as identify ML models and runs derived from a particular dataset
• DASF 42: Data-centric MLOps and LLMOps for unit and integration testing
• DASF 67: Federate authentication</t>
  </si>
  <si>
    <t>• Unauthorised Influence of Training Data Partitions
• Attacker Model Control
• Biased or Compromised AI System Outputs
• Regulatory non-compliance
• Loss of data integrity</t>
  </si>
  <si>
    <r>
      <rPr>
        <rFont val="DM Sans"/>
        <color rgb="FF1155CC"/>
        <u/>
      </rPr>
      <t>AML.TA0011</t>
    </r>
    <r>
      <rPr>
        <rFont val="DM Sans"/>
      </rPr>
      <t>: Impact, disrupt availability or compromise integrity by manipulating business and operational processes</t>
    </r>
  </si>
  <si>
    <r>
      <rPr>
        <rFont val="DM Sans"/>
        <color rgb="FF1155CC"/>
        <u/>
      </rPr>
      <t>ID: T1565</t>
    </r>
    <r>
      <rPr>
        <rFont val="DM Sans"/>
      </rPr>
      <t xml:space="preserve"> Data Manipulation</t>
    </r>
  </si>
  <si>
    <r>
      <rPr>
        <rFont val="DM Sans"/>
        <color rgb="FF1155CC"/>
        <u/>
      </rPr>
      <t>LLM03</t>
    </r>
    <r>
      <rPr>
        <rFont val="DM Sans"/>
      </rPr>
      <t>: Training Data Poisoning</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</si>
  <si>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</si>
  <si>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AC-2:Account Management, 
AC-3:Access Enforcement, 
AC-6:Least Privilege, 
SI-6:Security and Privacy Function Verification, 
SI-7:Software, Firmware, and Information Integrity, 
SI-19:De-identification, 
CM-3:Configuration Change Control, 
CM-6:Configuration Settings, 
SC-28:Protection of Information at Rest</t>
  </si>
  <si>
    <t>Ensures partitioning security to prevent adversaries from manipulating ML model partitions.</t>
  </si>
  <si>
    <t>Control All Data Used by the ML Model.
Use methods to clean the training dataset from suspicious samples.
Add some adversarial examples to the training dataset.
Define and monitor indicators for proper functioning of the model.
Implement tools to detect if a data point is an adversarial example or not .
Apply a RBAC model, respecting the least privilege principle.
Ensure ML projects follow the global process for integrating security into projects.
Integrate ML specificities to awareness strategy and ensure all ML stakeholders are receiving it.</t>
  </si>
  <si>
    <t xml:space="preserve">A.6.2 AI system life cycle
A.6.2.2 AI system requirements and specification
A.6.2.3 Documentation of AI system design and development
A.6.2.4 AI system verification and validation
A.6.2.5 AI system deployment
A.6.2.6 AI system operation and monitoring
A.6.2.8 AI system recording of event logs
A.7 Data for AI systems
A.7.2 Data for development and enhancement of AI system
A.7.3 Acquisition of data
A.7.4 Quality of data for AI systems
A.7.5 Data provenance
A.7.6 Data preparation
A.4.3 Data resources
A.7 Data for AI systems
A.7.4 Quality of data for AI systems
</t>
  </si>
  <si>
    <t xml:space="preserve">A.5.16 Identity management
A.8.5 Secure authentication
A.5.18 Access rights
A.8.20 Networks Security
A.8.21 Security of network services
A.8.22 Segregation of networks
</t>
  </si>
  <si>
    <t>Datasets 3.1</t>
  </si>
  <si>
    <t>Datasets 3.1: Data poisoning</t>
  </si>
  <si>
    <r>
      <rPr>
        <rFont val="DM Sans"/>
      </rPr>
      <t xml:space="preserve">Attackers can compromise an ML system by contaminating its training data to manipulate its output at the inference stage. All three initial components of a typical ML system — </t>
    </r>
    <r>
      <rPr>
        <rFont val="DM Sans"/>
        <color rgb="FF1155CC"/>
        <u/>
      </rPr>
      <t>raw data</t>
    </r>
    <r>
      <rPr>
        <rFont val="DM Sans"/>
      </rPr>
      <t xml:space="preserve">, </t>
    </r>
    <r>
      <rPr>
        <rFont val="DM Sans"/>
        <color rgb="FF1155CC"/>
        <u/>
      </rPr>
      <t>data preparation</t>
    </r>
    <r>
      <rPr>
        <rFont val="DM Sans"/>
      </rPr>
      <t xml:space="preserve"> and datasets — are susceptible to poisoning attacks. Intentionally manipulated data, possibly coordinated across these components, derail the ML training process and create an unreliable model. Practitioners must assess the potential extent of training data an attacker might control internally and externally and the resultant risks.</t>
    </r>
  </si>
  <si>
    <t>DASF 1
DASF 2
DASF 3
DASF 4
DASF 5
DASF 7
DASF 11
DASF 14
DASF 16
DASF 17
DASF 51
DASF 55
DASF 65
DASF 67</t>
  </si>
  <si>
    <t>• DASF 1: SSO with IdP and MFA to limit who can access your data and AI platform
• DASF 2: Sync users and groups to inherit your organizational roles to access data
• DASF 3: Restrict access using IP access lists to restrict the IP addresses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7: Enforce data quality checks on batch and streaming datasets for data sanity checks, and automatically detect anomalies before they make it to the datasets
• DASF 11: Capture and view data lineage to capture the lineage all the way to the original raw data sources
• DASF 14: Audit actions performed on datasets
• DASF 16: Secure model features
• DASF 17: Track and reproduce the training data used for ML model training and identify ML models and runs derived from a particular dataset
• DASF 51: Share data and AI assets securely
• DASF 55: Monitor audit logs to track access to data, AI and other resources
• DASF 65: Implement end-to-end AI traceability
• DASF 67: Federate authentication</t>
  </si>
  <si>
    <t>• Manipulation of Model Outputs or AI System Outputs
• Regulatory non-compliance
• Loss of data integrity</t>
  </si>
  <si>
    <r>
      <rPr>
        <rFont val="DM Sans"/>
        <color rgb="FF1155CC"/>
        <u/>
      </rPr>
      <t>AML.T0043</t>
    </r>
    <r>
      <rPr>
        <rFont val="DM Sans"/>
      </rPr>
      <t xml:space="preserve">: Craft Adversarial Data
</t>
    </r>
    <r>
      <rPr>
        <rFont val="DM Sans"/>
        <color rgb="FF1155CC"/>
        <u/>
      </rPr>
      <t>AML.T0002.000</t>
    </r>
    <r>
      <rPr>
        <rFont val="DM Sans"/>
      </rPr>
      <t xml:space="preserve">: Aquire Datasets
</t>
    </r>
    <r>
      <rPr>
        <rFont val="DM Sans"/>
        <color rgb="FF1155CC"/>
        <u/>
      </rPr>
      <t>AML.T0019</t>
    </r>
    <r>
      <rPr>
        <rFont val="DM Sans"/>
      </rPr>
      <t>: Publish Poisoned Datasets</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</si>
  <si>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LLM10.1,4</t>
    </r>
    <r>
      <rPr>
        <rFont val="DM Sans"/>
      </rPr>
      <t>: Model Theft</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</si>
  <si>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</si>
  <si>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SI-4:System Monitoring, 
SI-7:Software, Firmware, and Information Integrity, 
SR-4:Provenance, 
SR-6:Supplier Assessments and Reviews, 
CM-3:Configuration Change Control, 
AC-3:Access Enforcement, 
AC-6:Least Privilege, 
PL-8:Security and Privacy Architectures, 
SC-28:Protection of Information at Rest</t>
  </si>
  <si>
    <t>Data integrity controls, ensuring protection against poisoning attacks through least privilege and integrity checks.</t>
  </si>
  <si>
    <t>Control all data used by the ML model.
Use methods to clean the training dataset from suspicious samples.
Ensure reliable sources are used.
Enlarge the training dataset.
Integrate poisoning control after the "model evaluation" phase.
Define and monitor indicators for proper functioning of the model.
Integrate ML specificities to awareness strategy and ensure all ML stakeholders are receiving it.</t>
  </si>
  <si>
    <t>A.4.3 Data resources
A.7.3 Acquisition of data
A.6.2.8 AI system recording of event logs
A.6.2.6 AI system operation and monitoring</t>
  </si>
  <si>
    <t>A.5.16 Identity management
A.8.5 Secure authentication
A.5.18 Access rights
A.8.20 Networks Security
A.8.21 Security of network services
A.8.22 Segregation of networks
A.8.3 Information access restriction
A.8.2 Privileged access rights
A.5.15 Access control
A.8.15 Logging
A.5.14 Information transfer
A.8.16 Monitoring Activities</t>
  </si>
  <si>
    <t>Datasets 3.2</t>
  </si>
  <si>
    <t>Datasets 3.2: Ineffective storage and encryption</t>
  </si>
  <si>
    <t>Data stored and managed insecurely pose significant risks, especially for ML systems. It’s crucial to consider who has access to training datasets and the reasons behind this access. While access controls are a vital mitigation strategy, their effectiveness is limited with public data sources, where traditional security measures may not apply. Therefore, it’s essential to ask: What are the implications if an attacker gains access and control over your data sources? Understanding and preparing for this scenario is critical for safeguarding the integrity of ML systems.</t>
  </si>
  <si>
    <t>• Attacker Gaining Control of Training Data Sources
• Compromised AI System Integrity
• Data Breach
• Regulatory non-compliance
• Loss of data integrity</t>
  </si>
  <si>
    <t>• Financial Loss
• Response Costs
• Customer Retention
• Legal fines
• Regulatory Fines and Judgement</t>
  </si>
  <si>
    <r>
      <rPr>
        <rFont val="DM Sans"/>
        <color rgb="FF1155CC"/>
        <u/>
      </rPr>
      <t>AML.T0051</t>
    </r>
    <r>
      <rPr>
        <rFont val="DM Sans"/>
      </rPr>
      <t xml:space="preserve">: LLM Prompt Injection
</t>
    </r>
    <r>
      <rPr>
        <rFont val="DM Sans"/>
        <color rgb="FF1155CC"/>
        <u/>
      </rPr>
      <t>AML.T0043</t>
    </r>
    <r>
      <rPr>
        <rFont val="DM Sans"/>
      </rPr>
      <t xml:space="preserve">: Craft Adversarial Data
</t>
    </r>
    <r>
      <rPr>
        <rFont val="DM Sans"/>
        <color rgb="FF1155CC"/>
        <u/>
      </rPr>
      <t>AML.T0053</t>
    </r>
    <r>
      <rPr>
        <rFont val="DM Sans"/>
      </rPr>
      <t>: LLM Plugin Compromise</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</si>
  <si>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LLM10.1,4</t>
    </r>
    <r>
      <rPr>
        <rFont val="DM Sans"/>
      </rPr>
      <t>: Model Theft</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</si>
  <si>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</si>
  <si>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SC-8:Transmission Confidentiality and Integrity, 
SC-12:Cryptographic Key Establishment and Management, 
SC-28:Protection of Information at Rest, 
AU-9:Protection of Audit Information, 
SI-4:System Monitoring, 
CM:Configuration Management Family, 
PE:Physical and Environmental Protection Family</t>
  </si>
  <si>
    <t>Encryption controls for protecting stored data and ensuring secure access.</t>
  </si>
  <si>
    <t>Apply a RBAC model, respecting the least privileged principle.
Ensure ML applications comply with data security requirements.
Ensure appropriate protection is deployed for test environments.</t>
  </si>
  <si>
    <t>Article 5.4: Prohibited AI Practices</t>
  </si>
  <si>
    <t>Datasets 3.3</t>
  </si>
  <si>
    <t>Datasets 3.3: Label flipping</t>
  </si>
  <si>
    <t>Label-flipping attacks are a distinctive type of data poisoning where the attacker manipulates the labels of a fraction of the training data. In these attacks, the attacker changes the labels of specific training points, which can mislead the ML model during training. Even with constrained capabilities, these attacks have been shown to significantly degrade the system’s performance, demonstrating their potential to compromise the accuracy and reliability of ML models.</t>
  </si>
  <si>
    <t>• Degraded AI system Performance
• Degraded AI System Reliability
• Degraded AI System Accuracy
• Regulatory non-compliance
• Loss of data integrity</t>
  </si>
  <si>
    <t>• Financial Loss
• Customer Retention
• Legal fines
• Regulatory Fines and Judgement
• Business Interruption Costs</t>
  </si>
  <si>
    <r>
      <rPr>
        <rFont val="DM Sans"/>
        <color rgb="FF1155CC"/>
        <u/>
      </rPr>
      <t>AML.TA0011</t>
    </r>
    <r>
      <rPr>
        <rFont val="DM Sans"/>
      </rPr>
      <t>: Impact, disrupt availability or compromise integrity by manipulating business and operational processes</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</si>
  <si>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</si>
  <si>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AC-3:Access Enforcement, 
AC-6:Least Privilege, 
AU-2:Event Logging, 
AU-6:Audit Record Review, Analysis, and Reporting, 
SI-4:System Monitoring,
SI-7:Software, Firmware, and Information Integrity, 
CM-2:Baseline Configuration, 
CM-6:Configuration Settings</t>
  </si>
  <si>
    <t>Integrity control mechanisms to protect against manipulation of labels in datasets.</t>
  </si>
  <si>
    <t>Control all data used by the ML model.
Ensure reliable sources are used.
Use methods to clean the training dataset from suspicious samples.
Integrate poisoning control after the "model evaluation" phase.
Apply a RBAC model, respecting the least privileged principle.
Integrate ML specificities to awareness strategy and ensure all ML stakeholders are receiving it.</t>
  </si>
  <si>
    <t>Governance 4.1</t>
  </si>
  <si>
    <t>Governance 4.1: Lack of traceability and transparency of model assets</t>
  </si>
  <si>
    <t>The absence of traceability in data, model assets and models and the lack of accountable human oversight pose significant risks in machine learning systems. This lack of traceability can:
Undermine the supportability and adoption of these systems, as it hampers the ability to maintain and update them effectively 
Impact trust and transparency, which are essential for users to understand and rely on the system’s decisions
Limit the organization’s ability to meet regulatory, compliance and legal obligations, as these often require clear documentation and tracking of data and model-related processes</t>
  </si>
  <si>
    <t>DASF 5
DASF 7
DASF 11
DASF 16
DASF 17
DASF 18
DASF 55
DASF 65</t>
  </si>
  <si>
    <t>• DASF 5: Control access to data and other objects for permissions model across all data assets to protect data and sources 
• DASF 7: Enforce data quality checks on batch and streaming datasets for data sanity checks, and automatically detect anomalies before they make it to the datasets
• DASF 11: Capture and view data lineage to capture the lineage all the way to the original raw data sources
• DASF 16: Secure model features
• DASF 17: Track and reproduce the training data used for ML model training and identify ML models and runs derived from a particular dataset
• DASF 18: Govern model assets for traceability
• DASF 55: Monitor audit logs
• DASF 65: Implement end-to-end AI traceability</t>
  </si>
  <si>
    <t>• Loss of Model Supportability
• Loss of AI System Adoption
• Limited Ability to Meet Regulatory Compliance
• Regulatory non-compliance
• Loss of data integrity</t>
  </si>
  <si>
    <t>• Financial Loss
• Customer Retention
• Regulatory Fines and Judgement</t>
  </si>
  <si>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LLM10.1,4</t>
    </r>
    <r>
      <rPr>
        <rFont val="DM Sans"/>
      </rPr>
      <t>: Model Theft</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</si>
  <si>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</si>
  <si>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CM-2:Baseline Configuration, 
CM-3:Configuration Change Control, 
CM-8:System Component Inventory, 
AU-2:Event Logging, 
AU-3:Content of Audit Records, 
AU-6:Audit Record Review, Analysis, and Reporting, 
SI-7:Software, Firmware, and Information Integrity, 
SR-4:Provenance</t>
  </si>
  <si>
    <t>Controls that ensure traceability and transparency for model and data assets, supporting governance needs.</t>
  </si>
  <si>
    <t>Ensure ML projects follow the global process for integrating security into projects.
Apply documentation requirements to AI projects.
Include ML applications into asset management processes.
Build explainable models.
Conduct a risk analysis of the ML application.</t>
  </si>
  <si>
    <t>A.7.4 Quality of data for AI systems
A.7.6 Data preparation
A.4.3 Data resources
A.7 Data for AI systems
A.7.2 Data for development and enhancement of AI system
A.7.3 Acquisition of data
A.7.5 Data provenance
A.4.4 Tooling resources
A.6.2.6 AI system operation and monitoring
A.6.2.8 AI system recording of event logs</t>
  </si>
  <si>
    <t>A.5.15 Access control
A.8.2 Privileged access rights
A.8.3 Information access restriction
A.8.4 Access to source code
A.8.2 Privileged access rights
A.8.15 Logging
A.8.16 Monitoring Activities</t>
  </si>
  <si>
    <t>Governance 4.2</t>
  </si>
  <si>
    <t>Governance 4.2: Lack of end-to-end ML lifecycle</t>
  </si>
  <si>
    <t>Continuously measure, track and analyze key metrics, such as performance, accuracy and user engagement, to ensure the AI system’s reliability. Demonstrating consistent performance builds trustworthiness among users, customers and regulators.</t>
  </si>
  <si>
    <t>DASF 19
DASF 21
DASF 42</t>
  </si>
  <si>
    <t>• DASF 19: Manage end-to-end machine learning lifecycle for measuring, versioning, tracking model artifacts, metrics and results 
• DASF 21: Monitor data and AI system from a single pane of glass
• DASF 42: Data-centric MLOps and LLMOps unit and integration testing</t>
  </si>
  <si>
    <t>• Inability to Demonstrate Performance
• Inability to Demonstrate Trustworthiness
• Regulatory non-compliance</t>
  </si>
  <si>
    <r>
      <rPr>
        <rFont val="DM Sans"/>
        <color rgb="FF1155CC"/>
        <u/>
      </rPr>
      <t>LLM03</t>
    </r>
    <r>
      <rPr>
        <rFont val="DM Sans"/>
      </rPr>
      <t xml:space="preserve">: Training Data Poisoning
</t>
    </r>
    <r>
      <rPr>
        <rFont val="DM Sans"/>
        <color rgb="FF1155CC"/>
        <u/>
      </rPr>
      <t>LLM05</t>
    </r>
    <r>
      <rPr>
        <rFont val="DM Sans"/>
      </rPr>
      <t xml:space="preserve">: Supply Chain Vulnerabilities
</t>
    </r>
    <r>
      <rPr>
        <rFont val="DM Sans"/>
        <color rgb="FF1155CC"/>
        <u/>
      </rPr>
      <t>LLM10</t>
    </r>
    <r>
      <rPr>
        <rFont val="DM Sans"/>
      </rPr>
      <t>: Model Theft</t>
    </r>
  </si>
  <si>
    <r>
      <rPr>
        <rFont val="DM Sans"/>
        <color rgb="FF1155CC"/>
        <u/>
      </rPr>
      <t>ML08:2023</t>
    </r>
    <r>
      <rPr>
        <rFont val="DM Sans"/>
      </rPr>
      <t xml:space="preserve"> Model Skewing</t>
    </r>
  </si>
  <si>
    <t>CA-7:Continuous Monitoring, 
AU-2:Event Logging, 
AU-6:Audit Record Review, Analysis, and Reporting, 
AU-11:Audit Record Retention, 
SI-7:Software, Firmware, and Information Integrity, 
SI-10:Information Input Validation, 
CM-2:Baseline Configuration, 
CM-3:Configuration Change Control</t>
  </si>
  <si>
    <t>Ensures integrity and auditing across the ML lifecycle for consistent, transparent management.</t>
  </si>
  <si>
    <t>Ensure ML projects follow the global process for integrating security into projects.
Include ML applications into asset management processes.
Conduct a risk analysis of the ML application.
Integrate ML applications into the overall cyber-resilience strategy.
Implement processes to maintain security levels of ML components over time.</t>
  </si>
  <si>
    <t xml:space="preserve">A.6.1.2 Objectives for responsible development of AI system
A.4.3 Data resources
A.7.2 Data for development and enhancement of AI system
A.7.4 Quality of data for AI systems
A.6.2.6 AI system operation and monitoring
A.6.2.8 AI system recording of event logs
A.6.2 AI system life cycle
A.6.2.2 AI system requirements and specification
A.6.2.3 Documentation of AI system design and development
A.6.2.4 AI system verification and validation
A.6.2.5 AI system deployment
A.7 Data for AI systems
A.7.2 Data for development and enhancement of AI system
A.7.3 Acquisition of data
A.7.5 Data provenance
A.7.6 Data preparation
</t>
  </si>
  <si>
    <t>Algorithms 5.1</t>
  </si>
  <si>
    <t>Model operations</t>
  </si>
  <si>
    <t>Algorithms 5.1: Lack of tracking and reproducibility of experiments</t>
  </si>
  <si>
    <t>ML development is often poorly documented and tracked, and results that cannot be reproduced may lead to overconfidence in an ML system’s performance. Common issues include: 
Critical details missing from a model’s description 
Results that are fragile, producing dramatically different results on a different GPU (even one that is supposed to be spec-identical) 
Extensive tweaks to the authors’ system until it outperforms the untweaked “baseline,” resulting in asserted improvements that aren’t borne out in practice (particularly common in academic work)
Additionally, adversaries may gain initial access to a system by compromising the unique portions of the ML supply chain. This could include the model itself, training data or its annotations, parts of the ML software stack, or even GPU hardware. In some instances, the attacker will need secondary access to fully carry out an attack using compromised supply chain components.</t>
  </si>
  <si>
    <t xml:space="preserve">DASF 20
DASF 42
DASF 55
</t>
  </si>
  <si>
    <t xml:space="preserve">• DASF 20: Track ML training runs for documenting, measuring, versioning and tracking model artifacts including algorithms, training environment, hyperparameters, metrics and results
• DASF 42: Data-centric MLOps and LLMOps promote models as code and automate ML tasks for cross-environment reproducibility
• DASF 55: Monitor audit logs to track access to data, AI and other resources
</t>
  </si>
  <si>
    <t>• Overconfidence in ML Systems
• Fragile and Differening Results when ML Systems are run on different GPU Hardware
• Regulatory non-compliance</t>
  </si>
  <si>
    <t>• Financial Loss
• Response Costs
• Customer Retention
• Regulatory Fines and Judgement</t>
  </si>
  <si>
    <r>
      <rPr>
        <rFont val="DM Sans"/>
        <color rgb="FF1155CC"/>
        <u/>
      </rPr>
      <t>LLM03</t>
    </r>
    <r>
      <rPr>
        <rFont val="DM Sans"/>
      </rPr>
      <t xml:space="preserve">: Training Data Poisoning
</t>
    </r>
    <r>
      <rPr>
        <rFont val="DM Sans"/>
        <color rgb="FF1155CC"/>
        <u/>
      </rPr>
      <t>LLM05</t>
    </r>
    <r>
      <rPr>
        <rFont val="DM Sans"/>
      </rPr>
      <t xml:space="preserve">: Supply Chain Vulnerabilities
</t>
    </r>
    <r>
      <rPr>
        <rFont val="DM Sans"/>
        <color rgb="FF1155CC"/>
        <u/>
      </rPr>
      <t>LLM10</t>
    </r>
    <r>
      <rPr>
        <rFont val="DM Sans"/>
      </rPr>
      <t>: Model Theft</t>
    </r>
  </si>
  <si>
    <t>ML08:2023 Model Skewing	
ML09:2023 Output Integrity Attack</t>
  </si>
  <si>
    <t xml:space="preserve">CM-2:Baseline Configuration, 
CM-3:Configuration Change Control
SI-7:Software, Firmware, and Information Integrity, 
SI-10:Information Input Validation, 
AU-2:Event Logging, 
AU-6:Audit Record Review, Analysis, and Reporting, </t>
  </si>
  <si>
    <t>Controls ensuring reproducibility through integrity mechanisms for data, model experiments, and tracking results.</t>
  </si>
  <si>
    <t>Ensure ML projects follow the global process for integrating security into projects.
Apply documentation requirements to AI projects.
Include ML applications into asset management processes.</t>
  </si>
  <si>
    <t>A.6.2.4 AI system verification and validation
A.6.2 AI system life cycle
A.6.2.2 AI system requirements and specification
A.6.2.3 Documentation of AI system design and development
A.6.2.4 AI system verification and validation
A.6.2.5 AI system deployment
A.6.2.6 AI system operation and monitoring
A.6.2.8 AI system recording of event logs
A.7 Data for AI systems
A.7.2 Data for development and enhancement of AI system
A.7.3 Acquisition of data
A.7.4 Quality of data for AI systems
A.7.5 Data provenance
A.7.6 Data preparation
A.6.2.6 AI system operation and monitoring
A.6.2.8 AI system recording of event logs</t>
  </si>
  <si>
    <t>Algorithms 5.2</t>
  </si>
  <si>
    <t>Algorithms 5.2: Model drift</t>
  </si>
  <si>
    <t>Model drift in machine learning systems can occur due to changes in feature data or target dependencies. This drift can be broadly classified into three scenarios:
Concept drift: where the statistical properties of the target variable change over time
Data drift: involving changes in the distribution of input data
Upstream data changes: occur due to alterations in data collection or processing methods before the data reaches the model
Clever attackers can exploit these scenarios to evade an ML system for adversarial purposes.</t>
  </si>
  <si>
    <t>DASF 16
DASF 17
DASF 21
DASF 65</t>
  </si>
  <si>
    <t>• DASF 16: Secure model features to track changes to features
• DASF 17: Track training data with MLflow and Delta Lake to track upstream data changes 
• DASF 21: Monitor data and AI system from a single pane of glass for changes and take action when changes occur. Have a feedback loop from a monitoring system and refresh models over time to help avoid model staleness.
• DASF 65: Implement end-to-end AI traceability</t>
  </si>
  <si>
    <t>• Inconsistent or Unexpected Model Predictions
• Poor Performance and Reliability of Predictions
• Erosion of Customer Trust
• Adversarial Data Drift
• Regulatory non-compliance</t>
  </si>
  <si>
    <r>
      <rPr>
        <rFont val="DM Sans"/>
        <color rgb="FF1155CC"/>
        <u/>
      </rPr>
      <t>ML02:2023</t>
    </r>
    <r>
      <rPr>
        <rFont val="DM Sans"/>
      </rPr>
      <t xml:space="preserve"> Data Poisoning Attack
</t>
    </r>
    <r>
      <rPr>
        <rFont val="DM Sans"/>
        <color rgb="FF1155CC"/>
        <u/>
      </rPr>
      <t>ML07:2023</t>
    </r>
    <r>
      <rPr>
        <rFont val="DM Sans"/>
      </rPr>
      <t xml:space="preserve"> Transfer Learning Attack</t>
    </r>
  </si>
  <si>
    <t>Focus on monitoring systems for ongoing changes, which supports detecting model drift.</t>
  </si>
  <si>
    <t>Define and monitor indicators for proper functioning of the model.
Control all data used by the ML model.
Ensure reliable sources are used.
Ensure that the model is sufficiently resilient to the environment in which it will operate.
Implement processes to maintain security levels of ML components over time.</t>
  </si>
  <si>
    <t>A.4.3 Data resources
A.7 Data for AI systems
A.7.2 Data for development and enhancement of AI system
A.7.3 Acquisition of data
A.7.4 Quality of data for AI systems
A.7.5 Data provenance
A.6.2.6 AI system operation and monitoring
A.6.2.8 AI system recording of event logs</t>
  </si>
  <si>
    <t>A.8.3 Information access restriction
A.8.2 Privileged access rights</t>
  </si>
  <si>
    <t>Article 72: Post-Market Monitoring by Providers and Post-Market Monitoring Plan for High-Risk AI Systems</t>
  </si>
  <si>
    <t>Algorithms 5.3</t>
  </si>
  <si>
    <t>Algorithms 5.3: Hyperparameters stealing</t>
  </si>
  <si>
    <t>Hyperparameters in machine learning are often deemed confidential due to their commercial value and role in proprietary learning processes. If attackers gain access to these hyperparameters, they may steal or manipulate them — altering, concealing or even adding hyperparameters. Such unauthorized interventions can harm the ML system, compromising performance and reliability or revealing sensitive algorithmic strategies.</t>
  </si>
  <si>
    <t>DASF 20
DASF 42
DASF 43</t>
  </si>
  <si>
    <t xml:space="preserve">• DASF 20: Track ML training runs in the model development process, including parameter settings, securely
• DASF 42: Data-centric MLOps and LLMOps employing separate model lifecycle stages by UC schema
• DASF 43: Use access control lists via workspace access controls </t>
  </si>
  <si>
    <t>• Breach of Confidential Proprietary Information or Trade Secrets
• Failure to Achieve Organizational AI Strategy and Goals</t>
  </si>
  <si>
    <t>• Financial Loss
• Response Costs
• Loss of Competitive Advantage
• Proprietary Data Loss Liability</t>
  </si>
  <si>
    <r>
      <rPr>
        <rFont val="DM Sans"/>
        <color rgb="FF1155CC"/>
        <u/>
      </rPr>
      <t>LLM03</t>
    </r>
    <r>
      <rPr>
        <rFont val="DM Sans"/>
      </rPr>
      <t xml:space="preserve">: Training Data Poisoning
</t>
    </r>
    <r>
      <rPr>
        <rFont val="DM Sans"/>
        <color rgb="FF1155CC"/>
        <u/>
      </rPr>
      <t>LLM05</t>
    </r>
    <r>
      <rPr>
        <rFont val="DM Sans"/>
      </rPr>
      <t xml:space="preserve">: Supply Chain Vulnerabilities
</t>
    </r>
    <r>
      <rPr>
        <rFont val="DM Sans"/>
        <color rgb="FF1155CC"/>
        <u/>
      </rPr>
      <t>LLM10</t>
    </r>
    <r>
      <rPr>
        <rFont val="DM Sans"/>
      </rPr>
      <t>: Model Theft</t>
    </r>
  </si>
  <si>
    <r>
      <rPr>
        <rFont val="DM Sans"/>
        <color rgb="FF1155CC"/>
        <u/>
      </rPr>
      <t>ML08:2023</t>
    </r>
    <r>
      <rPr>
        <rFont val="DM Sans"/>
      </rPr>
      <t xml:space="preserve"> Model Skewing</t>
    </r>
  </si>
  <si>
    <t>AC-3:Access Enforcement, 
AC-6:Least Privilege, 
CM-2:Baseline Configuration, 
CM-7:Least Functionality, 
SI-4:System Monitoring, 
SI-7:Software, Firmware, and Information Integrity</t>
  </si>
  <si>
    <t>Ensures protection and encryption of sensitive model data, including hyperparameters.</t>
  </si>
  <si>
    <t>Poisoning attacks -&gt; Model poisoning</t>
  </si>
  <si>
    <t>Reduce the available information about the model.
Reduce the information given by the model.</t>
  </si>
  <si>
    <t>A.6.2.4 AI system verification and validation
"A.6.2 AI system life cycle
A.6.2.2 AI system requirements and specification
A.6.2.3 Documentation of AI system design and development
A.6.2.4 AI system verification and validation
A.6.2.5 AI system deployment
A.6.2.6 AI system operation and monitoring
A.6.2.8 AI system recording of event logs
A.7 Data for AI systems
A.7.2 Data for development and enhancement of AI system
A.7.3 Acquisition of data
A.7.4 Quality of data for AI systems
A.7.5 Data provenance
A.7.6 Data preparation"</t>
  </si>
  <si>
    <t>A.5.15 Access control
A.8.3 Information access restriction</t>
  </si>
  <si>
    <t>Algorithms 5.4</t>
  </si>
  <si>
    <t>Algorithms 5.4: Malicious libraries</t>
  </si>
  <si>
    <r>
      <t xml:space="preserve">Attackers can upload malicious libraries to public repositories that have the potential to compromise systems, data and models. Administrators should manage and restrict the installation and usage of third-party libraries, safeguarding systems, pipelines and data. This risk may also manifest in </t>
    </r>
    <r>
      <rPr>
        <rFont val="DM Sans"/>
        <color rgb="FF1155CC"/>
        <u/>
      </rPr>
      <t>2.2 Data Prep</t>
    </r>
    <r>
      <rPr>
        <rFont val="DM Sans"/>
      </rPr>
      <t xml:space="preserve"> in exploratory data analysis (EDA).</t>
    </r>
  </si>
  <si>
    <t>DASF 53</t>
  </si>
  <si>
    <t>• DASF 53: Third-party library control to limit the potential for malicious third-party libraries and code to be used on mission-critical workloads</t>
  </si>
  <si>
    <t>• Supply Chain Attack
• Cyber Security Incident
• Loss of AI System Availability
• Regulatory Non-compliance</t>
  </si>
  <si>
    <t>• Financial Loss
• Legal Fines
• Response Costs
• Customer Retention
• Regulatory Fines and Judgement</t>
  </si>
  <si>
    <r>
      <rPr>
        <rFont val="DM Sans"/>
        <color rgb="FF1155CC"/>
        <u/>
      </rPr>
      <t>AML.T0017.000</t>
    </r>
    <r>
      <rPr>
        <rFont val="DM Sans"/>
      </rPr>
      <t xml:space="preserve"> Adversarial ML Attacks</t>
    </r>
  </si>
  <si>
    <t>SR-3:Supply Chain Controls and Processes, 
CM-2:Baseline Configuration, 
CM-10:Software Usage Restrictions, 
SI-3:Malicious Code Protection, 
SI-4:System Monitoring</t>
  </si>
  <si>
    <t>Controls managing software integrity, preventing introduction of malicious libraries in ML processes.</t>
  </si>
  <si>
    <t xml:space="preserve">Supply chain attacks -&gt; Compromised 3rd-party models or code
</t>
  </si>
  <si>
    <t>Check the vulnerabilities of the components used so that they have an appropriate security level.
Ensure ML projects follow the global process for integrating security into projects.</t>
  </si>
  <si>
    <t>A.4.4 Tooling resources
A.6.2.3 Documentation of AI system design and development</t>
  </si>
  <si>
    <t>A.8.25 Secure development life cycle</t>
  </si>
  <si>
    <t>Article 15.5: Accuracy, Robustness and Cybersecurity</t>
  </si>
  <si>
    <t>Evaluation 6.1</t>
  </si>
  <si>
    <t>Evaluation 6.1: Evaluation data poisoning</t>
  </si>
  <si>
    <t>Upstream attacks against data, where the data is tampered with before it is used for machine learning, significantly complicate the training and evaluation of ML models. Poisoning of the evaluation data impacts the model validation and testing process. These attacks can corrupt or alter the data in a way that skews the training process, leading to unreliable models.</t>
  </si>
  <si>
    <t>DASF 1
DASF 2
DASF 3
DASF 4
DASF 5
DASF 7
DASF 11
DASF 42
DASF 44
DASF 45
DASF 49
DASF 67</t>
  </si>
  <si>
    <t>• DASF 1: SSO with IdP and MFA to limit who can access your data and AI platform
• DASF 2: Sync users and groups to inherit your organizational roles to access data
• DASF 3: Restrict access using IP access lists to restrict the IP addresses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7: Enforce data quality checks on batch and streaming datasets for data sanity checks, and automatically detect anomalies before they make it to the datasets
• DASF 11: Capture and view data lineage to capture the lineage all the way to the original raw data sources
• DASF 42: Data-centric MLOps and LLMOps unit and integration testing
• DASF 44: Trigger actions in response to a specific event via automated jobs to notify human-in-the-loop (HITL) 
• DASF 45: Evaluate models to capture performance insights for language models
• DASF 49: Automate LLM evaluation
• DASF 67: Federate authentication</t>
  </si>
  <si>
    <t>• Unreliable Model Training Processes and Outcomes
• Loss of AI System Integrity
• Failure to Achieve Organizational AI Strategy and Goals</t>
  </si>
  <si>
    <t>• Financial Loss
• Response Costs
• Model Retraining Costs</t>
  </si>
  <si>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LLM10.1,4</t>
    </r>
    <r>
      <rPr>
        <rFont val="DM Sans"/>
      </rPr>
      <t>: Model Theft</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</si>
  <si>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</si>
  <si>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MP-2:Media Access, 
MP-4:Media Storage, 
SC-28:Protection of Information at Rest, 
SI-7:Software, Firmware, and Information Integrity, 
SI-10:Information Input Validation</t>
  </si>
  <si>
    <t>Integrity mechanisms protect against evaluation data tampering, ensuring model reliability.</t>
  </si>
  <si>
    <t>Ensure ML applications comply with data security requirements.
Ensure reliable sources are used.
Define and monitor indicators for proper functioning of the model.</t>
  </si>
  <si>
    <t>A.4.3 Data resources
A.6.2 AI system life cycle
A.6.2.2 AI system requirements and specification
A.6.2.3 Documentation of AI system design and development
A.6.2.4 AI system verification and validation
A.6.2.5 AI system deployment
A.6.2.6 AI system operation and monitoring
A.6.2.8 AI system recording of event logs
A.7 Data for AI systems
A.7.2 Data for development and enhancement of AI system
A.7.3 Acquisition of data
A.7.4 Quality of data for AI systems
A.7.5 Data provenance
A.7.6 Data preparation
A.6.2.6 AI system operation and monitoring
A.6.1.2 Objectives for responsible development of AI system
A.6.1.3 Processes for responsible AI system design and development
A.6.2.4 AI system verification and validation
A.9.3 Objectives for responsible use of AI system</t>
  </si>
  <si>
    <t>A.5.16 Identity management
A.8.5 Secure authentication
A.5.18 Access rights
A.8.20 Networks Security
A.8.21 Security of network services
A.8.22 Segregation of networks
A.5.15 Access control
A.8.2 Privileged access rights
A.8.3 Information access restriction
A.8.4 Access to source code
A.8.16 Monitoring Activities</t>
  </si>
  <si>
    <t>Evaluation 6.2</t>
  </si>
  <si>
    <t>Evaluation 6.2: Insufficient evaluation data</t>
  </si>
  <si>
    <t>Evaluation datasets can also be too small or too similar to the training data to be useful. Poor evaluation data can lead to biases, hallucinations and toxic output. It is difficult to effectively evaluate large language models (LLMs), as these models rarely have an objective ground truth labeled. Consequently, organizations frequently struggle to determine the trustworthiness of these models in critical, unsupervised use cases, given the uncertainties in their evaluation.</t>
  </si>
  <si>
    <t>DASF 22
DASF 25
DASF 47
DASF 45</t>
  </si>
  <si>
    <t>• DASF 22: Build models with all representative, accurate and relevant data sources to evaluate on clean and sufficient data
• DASF 25: Use retrieval augmented generation (RAG) with large language models (LLMs)
• DASF 47: Compare LLM outputs on set prompts to assess LLM project with an interactive prompt interface
• DASF 45: Evaluate models to capture performance insights for language models</t>
  </si>
  <si>
    <t>• Reduced Organisation Trust in Model Effectiveness and Performance
• Introduced Biases
• Introduced Hallucinations
• Introduced Toxic Outputs
• Regulatory Non-compliance
• Failure to Achieve Organizational AI Strategy and Goals</t>
  </si>
  <si>
    <t>• Financial Loss
• Legal Fines
• Customer Retention
• Regulatory Fines and Judgement</t>
  </si>
  <si>
    <r>
      <rPr>
        <rFont val="DM Sans"/>
        <color rgb="FF1155CC"/>
        <u/>
      </rPr>
      <t>LLM03</t>
    </r>
    <r>
      <rPr>
        <rFont val="DM Sans"/>
      </rPr>
      <t xml:space="preserve">: Training Data Poisoning
</t>
    </r>
    <r>
      <rPr>
        <rFont val="DM Sans"/>
        <color rgb="FF1155CC"/>
        <u/>
      </rPr>
      <t>LLM05</t>
    </r>
    <r>
      <rPr>
        <rFont val="DM Sans"/>
      </rPr>
      <t>: Supply Chain Vulnerabilitie</t>
    </r>
  </si>
  <si>
    <t>Ensures monitoring and auditability of evaluation data, with a focus on model trustworthiness.</t>
  </si>
  <si>
    <t>Ensure ML applications comply with data security requirements.
Control all data used by the ML model.
Use methods to clean the training dataset from suspicious samples.
Conduct a risk analysis of the ML application</t>
  </si>
  <si>
    <t xml:space="preserve">A.6.2.4 AI system verification and validation
A.7 Data for AI systems
A.7.2 Data for development and enhancement of AI system
A.7.3 Acquisition of data
A.7.4 Quality of data for AI systems
A.7.5 Data provenance
A.7.6 Data preparation
A.9 Use of AI systems
A.9.2 Processes for responsible use of AI systems
A.9.3 Objectives for responsible use of AI system
A.9.4 Intended use of the AI system
A.4.3 Data resources
A.6.2.4 AI system verification and validation
A.6.1.2 Objectives for responsible development of AI system
A.6.1.3 Processes for responsible AI system design and development
</t>
  </si>
  <si>
    <t>Evaluation 6.3</t>
  </si>
  <si>
    <t>Evaluation 6.3: Lack of Interpretability and Explainability</t>
  </si>
  <si>
    <r>
      <rPr>
        <rFont val="Arial"/>
        <color rgb="FF000000"/>
      </rPr>
      <t xml:space="preserve">A lack of interpretability and explainability poses a unique challenge due to the scale and complexity of frontier or GenAI LLMs. The degree to which we can understand the internal workings of a model and trace its decision-making process refers to interpretability. The ability to provide a human-understandable explanation of a model's outputs or decision-making process refers to explainability. Both interpretability and explainability are required to develop trustworthiness in AI systems and are also required to assist with understanding and mitigating security risks such as Prompt Injection, Model Inversion, Misuse, Data Breach, Data Poisoning, Adversarial Attacks, Security Auditing and Regulatory Compliance.
References: 
</t>
    </r>
    <r>
      <rPr>
        <rFont val="Arial"/>
        <color rgb="FF000000"/>
      </rPr>
      <t>Mechanistic Interpretability for AI Safety -- A Review</t>
    </r>
    <r>
      <rPr>
        <rFont val="Arial"/>
        <color rgb="FF000000"/>
      </rPr>
      <t xml:space="preserve">
</t>
    </r>
    <r>
      <rPr>
        <rFont val="Arial"/>
        <color rgb="FF000000"/>
      </rPr>
      <t>Toward Transparent AI: A Survey on Interpreting the Inner Structures of Deep Neural Networks</t>
    </r>
  </si>
  <si>
    <t>DASF 35
DASF 37
DASF 42
DASF 45
DASF 65</t>
  </si>
  <si>
    <t>• DASF 35: Track model performance to evaluate quality
• DASF 37: Set up inference tables for monitoring and debugging prompts
• DASF 42: Data-centric MLOps and LLMOps promote models as code
• DASF 45: Evaluate models to capture performance insights for language models
• DASF 65: Implement end-to-end AI traceability
Additional controls for consideration:
 - Continuous benchmark testing of features throughout the model lifecycle in prediction accuracy, traceability and decision understanding. LIME, SHAP, DEEPLIFT and dashboards of factors influencing decisions.
 - Isolate functionality using a modular architecture. 
 - Implement Explainable AI tools and techniques that can generate human-understandable explanations for model outputs.
 - Model Cards, or a data sheet that provides information on data training sets, known biases, evaluation tests, intended uses, and unintended uses. From the perspective of how the AI Developer trained the model or how my organization has modified the model if my organization has fine-tuned that model.
 - Red Teaming and Adversarial Machine Learning
 - Human in the loop or Human at the helm.
Please see DASF 2.0 section "Resources and Further Reading" for a collection of third-party tools.</t>
  </si>
  <si>
    <t>• Lack of Reasoning for Model Outputs and Decisions
• Compromise of AI Systems
• Subsequent Downstream System Impact or Compromise</t>
  </si>
  <si>
    <t>• Regulatory Non-compliance
• Legal Fines
• Response Costs
• Customer Retention</t>
  </si>
  <si>
    <t>Build explainable models.</t>
  </si>
  <si>
    <t xml:space="preserve">A.6.2.4 AI system verification and validation
A.6.2.6 AI system operation and monitoring
A.6.2.8 AI system recording of event logs
A.6.2 AI system life cycle
A.6.2.2 AI system requirements and specification
A.6.2.3 Documentation of AI system design and development
A.6.2.4 AI system verification and validation
A.6.2.5 AI system deployment
A.6.2.6 AI system operation and monitoring
A.6.2.8 AI system recording of event logs
A.7 Data for AI systems
A.7.2 Data for development and enhancement of AI system
A.7.3 Acquisition of data
A.7.4 Quality of data for AI systems
A.7.5 Data provenance
A.7.6 Data preparation
A.6.1.2 Objectives for responsible development of AI system
A.6.1.3 Processes for responsible AI system design and development
</t>
  </si>
  <si>
    <t>Article 10.5: Data and Data Governance</t>
  </si>
  <si>
    <t>Model 7.1</t>
  </si>
  <si>
    <t>Model 7.1: Backdoor machine learning / Trojaned model</t>
  </si>
  <si>
    <t>There are inherent risks when using public ML/LLM models or outsourcing their training, akin to the dangers associated with executable (.exe) files. A malicious third party handling the training process could tamper with the data or deliver a “Trojan model” that intentionally misclassifies specific inputs. Additionally, open source models may contain hidden malicious code that can exfiltrate sensitive data upon deployment. These risks are pertinent in both external models and outsourced model development scenarios, necessitating scrutiny and verification of models before use.</t>
  </si>
  <si>
    <t>DASF 1
DASF 5
DASF 19
DASF 23
DASF 34
DASF 42
DASF 43
DASF 55
DASF 56
DASF 67</t>
  </si>
  <si>
    <t xml:space="preserve">• DASF 1: SSO with IdP and MFA to limit who can access your data and AI platform
• DASF 5: Control access to data and other objects 
• DASF 19: Manage end-to-end machine learning lifecycle
• DASF 23: Register, version, approve, promote and deploy models and scan models for malicious code when using third-party models or libraries
• DASF 34: Run models in multiple layers of isolation. Models are considered untrusted code: deploy models and custom LLMs with multiple layers of isolation. 
• DASF 42: Data-centric MLOps and LLMOps promote models as code using CI/CD.
Scan third-party models continuously to identify hidden cybersecurity risks and threats such as malware, vulnerabilities and integrity issues to detect possible signs of malicious activity, including malware, tampering and backdoors. See resources section for third-party tools.
• DASF 43: Use access control lists to limit who can bring models and limit the use of public models
• DASF 55: Monitor audit logs
• DASF 56: Restrict outbound connections from models to prevent attacks to exfiltrate data, inference requests and responses
• DASF 67: Federate authentication
Additional controls to consider: 
Please see the companion compendium document for a collection of third-party tools.
</t>
  </si>
  <si>
    <t>• Unknown Compromises within AI System Models
• Uncontrolled AI System Models
• Hidden Malicious Code within AI System Models
• Breach of Sensitive Information
• Regulatory Non-compliance
• Failure to Achieve Organizational AI Strategy and Goals</t>
  </si>
  <si>
    <r>
      <rPr>
        <rFont val="DM Sans"/>
        <color rgb="FF1155CC"/>
        <u/>
      </rPr>
      <t>AML.TA0006</t>
    </r>
    <r>
      <rPr>
        <rFont val="DM Sans"/>
      </rPr>
      <t xml:space="preserve">: Persistence
</t>
    </r>
    <r>
      <rPr>
        <rFont val="DM Sans"/>
        <color rgb="FF1155CC"/>
        <u/>
      </rPr>
      <t>AML.T0016.000</t>
    </r>
    <r>
      <rPr>
        <rFont val="DM Sans"/>
      </rPr>
      <t xml:space="preserve">: Adversarial ML Attack Implementations
</t>
    </r>
    <r>
      <rPr>
        <rFont val="DM Sans"/>
        <color rgb="FF1155CC"/>
        <u/>
      </rPr>
      <t>AML.T0018</t>
    </r>
    <r>
      <rPr>
        <rFont val="DM Sans"/>
      </rPr>
      <t>: Backdoor ML Model</t>
    </r>
  </si>
  <si>
    <r>
      <rPr>
        <rFont val="DM Sans"/>
        <color rgb="FF1155CC"/>
        <u/>
      </rPr>
      <t>ID: T1587.001</t>
    </r>
    <r>
      <rPr>
        <rFont val="DM Sans"/>
      </rPr>
      <t xml:space="preserve"> Develop Capabilities: Malware</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</si>
  <si>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LLM05</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LLM10.1,4</t>
    </r>
    <r>
      <rPr>
        <rFont val="DM Sans"/>
      </rPr>
      <t>: Model Theft</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</si>
  <si>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</si>
  <si>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CM-7:Least Functionality, 
CM-11:User-Installed Software, 
SA-10:Developer Configuration Management, 
SA-11:Developer Testing and Evaluation, 
SC-28:Protection of Information at Rest, 
SC-39:Process Isolation, 
CA-7:Continuous Monitoring, 
SI-4:System Monitoring</t>
  </si>
  <si>
    <t>Controls protecting against trojaned models through security and data integrity mechanisms.</t>
  </si>
  <si>
    <t>Enlarge the training dataset.
Apply a RBAC model, respecting the least privilege principle
Ensure ML applications comply with data security requirements.
Control all data used by the ML model.
Ensure reliable sources are used.
Use methods to clean the training dataset from suspicious samples.
Integrate poisoning control after the "model evaluation" phase.
Integrate ML specificities to awareness strategy and ensure all ML stakeholders are receiving it.</t>
  </si>
  <si>
    <t>A.6.1.2 Objectives for responsible development of AI system
A.6.2.6 AI system operation and monitoring
A.6.2.8 AI system recording of event logs
A.4.3 Data resources
A.7.2 Data for development and enhancement of AI system
A.7.4 Quality of data for AI systems
A.6.2.5 AI system deployment
A.6.2.7 AI system technical documentation
A.6.2 AI system life cycle
A.6.2.2 AI system requirements and specification
A.6.2.3 Documentation of AI system design and development
A.6.2.4 AI system verification and validation
A.7 Data for AI systems
A.7.2 Data for development and enhancement of AI system
A.7.3 Acquisition of data
A.7.4 Quality of data for AI systems
A.7.5 Data provenance
A.7.6 Data preparation</t>
  </si>
  <si>
    <t>A.5.16 Identity management
A.8.5 Secure authentication
A.5.15 Access control
A.8.2 Privileged access rights
A.8.3 Information access restriction
A.8.4 Access to source code
A.8.22 Segregation of networks
A.8.15 Logging
A.8.20 Networks Security
A.8.23 Web filtering
A.8.16 Monitoring Activities</t>
  </si>
  <si>
    <t>Model 7.2</t>
  </si>
  <si>
    <t>Model 7.2: Model assets leak</t>
  </si>
  <si>
    <t>Adversaries may target ML artifacts for exfiltration or as a basis for staging ML attacks. These artifacts encompass models, datasets and metadata generated during interactions with a model. Additionally, insiders risk leaking critical model assets like notebooks, features, model files, plots and metrics. Such leaks can expose trade secrets and sensitive organizational information, underlining the need for stringent security measures to protect these valuable assets.</t>
  </si>
  <si>
    <t>DASF 1
DASF 2
DASF 3
DASF 4
DASF 5
DASF 24
DASF 33
DASF 42
DASF 55
DASF 67</t>
  </si>
  <si>
    <t>•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 DASF 33: Manage credentials securely to prevent credentials of data sources used for model training from leaking through models
• DASF 42: Data-centric MLOps and LLMOps to maintain separate model lifecycle stages
• DASF 55: Monitor audit logs to track access to data, AI and other resources
• DASF 67: Federate authentication</t>
  </si>
  <si>
    <t>• Subsequence Compromise of AI Systems
• Regulatory Non-compliance
• Failure to Achieve Organizational AI Strategy and Goals</t>
  </si>
  <si>
    <r>
      <rPr>
        <rFont val="DM Sans"/>
        <color rgb="FF1155CC"/>
        <u/>
      </rPr>
      <t>AML.TA0010</t>
    </r>
    <r>
      <rPr>
        <rFont val="DM Sans"/>
      </rPr>
      <t xml:space="preserve">: Exfiltration
</t>
    </r>
    <r>
      <rPr>
        <rFont val="DM Sans"/>
        <color rgb="FF1155CC"/>
        <u/>
      </rPr>
      <t>AML.T0007</t>
    </r>
    <r>
      <rPr>
        <rFont val="DM Sans"/>
      </rPr>
      <t xml:space="preserve">: Discover ML Artifacts
</t>
    </r>
    <r>
      <rPr>
        <rFont val="DM Sans"/>
        <color rgb="FF1155CC"/>
        <u/>
      </rPr>
      <t>AML.T0035</t>
    </r>
    <r>
      <rPr>
        <rFont val="DM Sans"/>
      </rPr>
      <t>: ML Artifact Collection</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</si>
  <si>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LLM05</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LLM10.1,4</t>
    </r>
    <r>
      <rPr>
        <rFont val="DM Sans"/>
      </rPr>
      <t>: Model Theft</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</si>
  <si>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</si>
  <si>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MP-2:Media Access, 
MP-4:Media Storage, 
SC-28:Protection of Information at Rest, 
AC-3:Access Enforcement, 
AC-6:Least Privilege,  
AU-2:Event Logging, 
AU-6:Audit Record Review, Analysis, and Reporting, 
SI-4:System Monitoring, 
PS-6:Access Agreements</t>
  </si>
  <si>
    <t>Access and least privilege controls to protect sensitive model assets from unauthorized access or leaks.</t>
  </si>
  <si>
    <t>Input-based attacks -&gt; Model extraction and theft</t>
  </si>
  <si>
    <t>Apply a RBAC Model, Respecting the Least Privilege Principle.
Ensure ML Applications Comply with Data Security Requirements.
Ensure Appropriate Protection is Deployed for Test Environments.
Conduct a Risk Analysis of the ML Application.
Control All Data Used by the ML Model.
Reduce the Information Given by the Model.
Reduce the Available Information About the Model.
Use Federated Learning to Minimize the Risk of Data Breaches.</t>
  </si>
  <si>
    <t>A.4.2 Resource documentation
A.4.3 Data resources
A.6.2.6 AI system operation and monitoring
A.4.4 Tooling resources
A.6.2.6 AI system operation and monitoring
A.6.2.8 AI system recording of event logs</t>
  </si>
  <si>
    <t>A.5.16 Identity management
A.8.5 Secure authentication
A.5.18 Access rights
A.8.20 Networks Security
A.8.21 Security of network services
A.8.22 Segregation of networks
A.5.15 Access control
A.8.2 Privileged access rights
A.8.3 Information access restriction
A.8.4 Access to source code
A.8.20 Networks security
A.8.24 Use of cryptography</t>
  </si>
  <si>
    <t>Model 7.3</t>
  </si>
  <si>
    <t>Model 7.3: ML Supply chain vulnerabilities</t>
  </si>
  <si>
    <t>Due to the extensive data, skills and computational resources required to train machine learning algorithms, it’s common practice to reuse and slightly modify models developed by large corporations. For example, ResNet, a popular image recognition model from Microsoft, is often adapted for customer-specific tasks. These models are curated in a Model Zoo (Caffe hosts popular image recognition models) or hosted by third-party ML SaaS (OpenAI LLMs are an example). In this attack, the adversary attacks the models hosted in Caffe, thereby poisoning the well for anyone else. Adversaries can also host specialized models that will receive less scrutiny, akin to watering hole attacks.</t>
  </si>
  <si>
    <t>DASF 22
DASF 27
DASF 42
DASF 45
DASF 48
DASF 53
DASF 56</t>
  </si>
  <si>
    <t xml:space="preserve">• DASF 22: Build models with all representative, accurate and relevant data sources to minimize third-party dependencies for models and data where possible
• DASF 27: Pretrain a large language model (LLM) on your own IP
• DASF 42: Data-centric MLOps and LLMOps promote models as code using CI/CD. 
Scan third-party models continuously to identify hidden cybersecurity risks and threats such as malware, vulnerabilities and integrity issues to detect possible signs of malicious activity, including malware, tampering and backdoors. See resources section for third-party tools. 
• DASF 45: Evaluate models and validate (aka, stress testing) to verify reported function and disclosed weaknesses in the models
• DASF 48: Use hardened runtime for machine learning 
• DASF 53: Third-party library control
• DASF 56: Restrict outbound connections from models to prevent attacks to exfiltrate data, inference requests and responses
Additional controls to consider: 
Please see the companion compendium document for a collection of third-party tools.
</t>
  </si>
  <si>
    <t>• Compromise of AI System
• Uncontrolled AI System Models
• Regulatory Non-compliance
• Failure to Achieve Organizational AI Strategy and Goals</t>
  </si>
  <si>
    <t>• Financial Loss
• Response Costs
• Legal Fines
• Customer Retention
• Regulatory Fines and Judgement</t>
  </si>
  <si>
    <r>
      <rPr>
        <rFont val="DM Sans"/>
        <color rgb="FF1155CC"/>
        <u/>
      </rPr>
      <t>AML.TA0003</t>
    </r>
    <r>
      <rPr>
        <rFont val="DM Sans"/>
      </rPr>
      <t xml:space="preserve">: Resource Development - creating, purchasing, or compromising/stealing resources
</t>
    </r>
    <r>
      <rPr>
        <rFont val="DM Sans"/>
        <color rgb="FF1155CC"/>
        <u/>
      </rPr>
      <t>AML.T0002</t>
    </r>
    <r>
      <rPr>
        <rFont val="DM Sans"/>
      </rPr>
      <t xml:space="preserve">: Acquire Public ML Artifacts
</t>
    </r>
    <r>
      <rPr>
        <rFont val="DM Sans"/>
        <color rgb="FF1155CC"/>
        <u/>
      </rPr>
      <t>AML.T0017.000</t>
    </r>
    <r>
      <rPr>
        <rFont val="DM Sans"/>
      </rPr>
      <t xml:space="preserve">: Adversarial ML Attacks
</t>
    </r>
    <r>
      <rPr>
        <rFont val="DM Sans"/>
        <color rgb="FF1155CC"/>
        <u/>
      </rPr>
      <t>AML.T0010</t>
    </r>
    <r>
      <rPr>
        <rFont val="DM Sans"/>
      </rPr>
      <t xml:space="preserve">: ML Supply Chain Compromise
</t>
    </r>
    <r>
      <rPr>
        <rFont val="DM Sans"/>
        <color rgb="FF1155CC"/>
        <u/>
      </rPr>
      <t>AML.T0010.003</t>
    </r>
    <r>
      <rPr>
        <rFont val="DM Sans"/>
      </rPr>
      <t xml:space="preserve">: ML Supply Chain Model Compromise
</t>
    </r>
    <r>
      <rPr>
        <rFont val="DM Sans"/>
        <color rgb="FF1155CC"/>
        <u/>
      </rPr>
      <t>AML.T0011.000</t>
    </r>
    <r>
      <rPr>
        <rFont val="DM Sans"/>
      </rPr>
      <t>: Unsafe ML Artifacts</t>
    </r>
  </si>
  <si>
    <r>
      <rPr>
        <rFont val="DM Sans"/>
        <color rgb="FF1155CC"/>
        <u/>
      </rPr>
      <t>ID: T1554</t>
    </r>
    <r>
      <rPr>
        <rFont val="DM Sans"/>
      </rPr>
      <t xml:space="preserve"> Compromise Host Software Binary
</t>
    </r>
    <r>
      <rPr>
        <rFont val="DM Sans"/>
        <color rgb="FF1155CC"/>
        <u/>
      </rPr>
      <t>ID: T1195</t>
    </r>
    <r>
      <rPr>
        <rFont val="DM Sans"/>
      </rPr>
      <t xml:space="preserve"> Supply Chain Compromise</t>
    </r>
  </si>
  <si>
    <r>
      <rPr>
        <rFont val="DM Sans"/>
        <color rgb="FF1155CC"/>
        <u/>
      </rPr>
      <t>LLM01</t>
    </r>
    <r>
      <rPr>
        <rFont val="DM Sans"/>
      </rPr>
      <t xml:space="preserve">: Prompt Injection
</t>
    </r>
    <r>
      <rPr>
        <rFont val="DM Sans"/>
        <color rgb="FF1155CC"/>
        <u/>
      </rPr>
      <t>LLM03</t>
    </r>
    <r>
      <rPr>
        <rFont val="DM Sans"/>
      </rPr>
      <t xml:space="preserve">: Training Data Poisoning
</t>
    </r>
    <r>
      <rPr>
        <rFont val="DM Sans"/>
        <color rgb="FF1155CC"/>
        <u/>
      </rPr>
      <t>LLM05</t>
    </r>
    <r>
      <rPr>
        <rFont val="DM Sans"/>
      </rPr>
      <t xml:space="preserve">: Supply Chain Vulnerabilities
</t>
    </r>
    <r>
      <rPr>
        <rFont val="DM Sans"/>
        <color rgb="FF1155CC"/>
        <u/>
      </rPr>
      <t>LLM06.3</t>
    </r>
    <r>
      <rPr>
        <rFont val="DM Sans"/>
      </rPr>
      <t xml:space="preserve">: Sensitive Information Disclosure
</t>
    </r>
    <r>
      <rPr>
        <rFont val="DM Sans"/>
        <color rgb="FF1155CC"/>
        <u/>
      </rPr>
      <t>LLM10</t>
    </r>
    <r>
      <rPr>
        <rFont val="DM Sans"/>
      </rPr>
      <t>: Model Theft</t>
    </r>
  </si>
  <si>
    <r>
      <rPr>
        <rFont val="DM Sans"/>
        <color rgb="FF1155CC"/>
        <u/>
      </rPr>
      <t>ML08:2023</t>
    </r>
    <r>
      <rPr>
        <rFont val="DM Sans"/>
      </rPr>
      <t xml:space="preserve"> Model Skewing</t>
    </r>
  </si>
  <si>
    <t>SR-2:Supply Chain Risk Management Plan, 
SR-3:Supply Chain Controls and Processes, 
SR-6:Supplier Assessments and Reviews, 
SR-10:Inspection of Systems or Components, 
SR-11:Component Authenticity, 
SA-4:Acquisition Process, 
SA-8:Security and Privacy Engineering Principles, 
RA-3:Risk Assessment</t>
  </si>
  <si>
    <t>Protects against risks in the supply chain through boundary protection and integrity monitoring.</t>
  </si>
  <si>
    <t>Supply chain attacks -&gt; Compromised 3rd-party models or code</t>
  </si>
  <si>
    <t>Ensure ML Applications Comply with Security Policies.
Ensure ML Applications Comply with Third Parties' Security Requirements.
Include ML Applications in Asset Management Processes.
Check the Vulnerabilities of the Components Used so that they Have an Appropriate Security Level.
Conduct a Risk Analysis of the ML Application.
Ensure ML Projects Follow the Global Process for Integrating Security into Projects.
Implement Processes to Maintain Security Levels of ML Components over Time.
Reduce the Available Information About the Model.</t>
  </si>
  <si>
    <t>A.6.2.4 AI system verification and validation
A.7 Data for AI systems
A.7.2 Data for development and enhancement of AI system
A.7.3 Acquisition of data
A.7.4 Quality of data for AI systems
A.7.5 Data provenance
A.7.6 Data preparation
A.9 Use of AI systems
A.9.2 Processes for responsible use of AI systems
A.9.3 Objectives for responsible use of AI system
A.9.4 Intended use of the AI system
A.4.3 Data resources
A.6.1.2 Objectives for responsible development of AI system
A.6.1.3 Processes for responsible design and development of AI systems
A.6.2.3 Documentation of AI system design and development
A.6.2 AI system life cycle
A.6.2.2 AI system requirements and specification
A.6.2.5 AI system deployment
A.6.2.6 AI system operation and monitoring
A.6.2.8 AI system recording of event logs
A.4.4 Tooling resources</t>
  </si>
  <si>
    <t xml:space="preserve">A.8.9 Configuration management
A.8.25 Secure development life cycle
A.8.15 Logging
A.8.16 Monitoring Activities
</t>
  </si>
  <si>
    <t>Model 7.4</t>
  </si>
  <si>
    <t>Model 7.4: Source code control attack</t>
  </si>
  <si>
    <t>The attacker might modify the source code used in the ML algorithm, such as the random number generator or any third-party libraries, which are often open source.</t>
  </si>
  <si>
    <t>DASF 52
DASF 53
DASF 56</t>
  </si>
  <si>
    <t>• DASF 52: Source code control to control and audit your knowledge object integrity
• DASF 53: Third-party library control for third-party library integrity
• DASF 56: Restrict outbound connections from models to prevent attacks to exfiltrate data, inference requests and responses</t>
  </si>
  <si>
    <t>• Subsequence Compromise of AI Systems
• Loss of AI System Integrity
• Reduced Organisation Trust in Model Effectiveness and Performance
• Regulatory Non-compliance
• Failure to Achieve Organizational AI Strategy and Goals</t>
  </si>
  <si>
    <r>
      <rPr>
        <rFont val="DM Sans"/>
        <color rgb="FF1155CC"/>
        <u/>
      </rPr>
      <t>AML.T0016.001</t>
    </r>
    <r>
      <rPr>
        <rFont val="DM Sans"/>
      </rPr>
      <t>: Software Tools</t>
    </r>
  </si>
  <si>
    <r>
      <rPr>
        <rFont val="DM Sans"/>
        <color rgb="FF1155CC"/>
        <u/>
      </rPr>
      <t>ID: T1554</t>
    </r>
    <r>
      <rPr>
        <rFont val="DM Sans"/>
      </rPr>
      <t xml:space="preserve"> Compromise Host Software Binary
</t>
    </r>
    <r>
      <rPr>
        <rFont val="DM Sans"/>
        <color rgb="FF1155CC"/>
        <u/>
      </rPr>
      <t>ID: T1195</t>
    </r>
    <r>
      <rPr>
        <rFont val="DM Sans"/>
      </rPr>
      <t xml:space="preserve"> Supply Chain Compromise</t>
    </r>
  </si>
  <si>
    <r>
      <rPr>
        <rFont val="DM Sans"/>
        <color rgb="FF1155CC"/>
        <u/>
      </rPr>
      <t>LLM01</t>
    </r>
    <r>
      <rPr>
        <rFont val="DM Sans"/>
      </rPr>
      <t xml:space="preserve">: Prompt Injection
</t>
    </r>
    <r>
      <rPr>
        <rFont val="DM Sans"/>
        <color rgb="FF1155CC"/>
        <u/>
      </rPr>
      <t>LLM03.4, 5</t>
    </r>
    <r>
      <rPr>
        <rFont val="DM Sans"/>
      </rPr>
      <t xml:space="preserve">: Training Data Poisoning
</t>
    </r>
    <r>
      <rPr>
        <rFont val="DM Sans"/>
        <color rgb="FF1155CC"/>
        <u/>
      </rPr>
      <t>LLM06.3</t>
    </r>
    <r>
      <rPr>
        <rFont val="DM Sans"/>
      </rPr>
      <t xml:space="preserve">: Sensitive Information Disclosure
</t>
    </r>
    <r>
      <rPr>
        <rFont val="DM Sans"/>
        <color rgb="FF1155CC"/>
        <u/>
      </rPr>
      <t>LLM10.2</t>
    </r>
    <r>
      <rPr>
        <rFont val="DM Sans"/>
      </rPr>
      <t xml:space="preserve">: Model Theft </t>
    </r>
  </si>
  <si>
    <t>Secure SDLC practices to ensure source code integrity and mitigate vulnerabilities.</t>
  </si>
  <si>
    <t>Apply a RBAC Model, Respecting the Least Privilege Principle.
Ensure ML Projects Follow the Global Process for Integrating Security into Projects.
Check the Vulnerabilities of the Components Used so that they Have an Appropriate Security Level.
Conduct a Risk Analysis of the ML Application.</t>
  </si>
  <si>
    <t>A.8.25 Secure development life cycle
A.8.20 Networks Security
A.8.23 Web filtering</t>
  </si>
  <si>
    <t>Model Management 8.1</t>
  </si>
  <si>
    <r>
      <rPr>
        <rFont val="DM Sans"/>
        <color rgb="FF000000"/>
        <u/>
      </rPr>
      <t>Model operations</t>
    </r>
  </si>
  <si>
    <t>Model Management 8.1: Model attribution</t>
  </si>
  <si>
    <t>Inadequate governance in machine learning, including a lack of robust access controls, unclear model classification and insufficient documentation, can lead to the improper use or sharing of models. This risk is particularly acute when transferring models outside their designed purpose. To mitigate these risks, groups that post models must provide precise descriptions of their intended use and document how they address potential risks.</t>
  </si>
  <si>
    <t>DASF 5
DASF 28
DASF 29
DASF 51</t>
  </si>
  <si>
    <t>• DASF 5: Control access to data and other objects for permissions model across all data assets to protect data and sources 
• DASF 28: Create model aliases, tags and annotations for documenting and discovering models
• DASF 29: Build MLOps workflows with human-in-the-loop (HITL) , model stage management and approvals
• DASF 51: Share data and AI assets securely</t>
  </si>
  <si>
    <t>• Unauthorised Sharing of Models
• Unintended Use of Models
• Inappropriate Use of Models
• Regulatory Non-compliance</t>
  </si>
  <si>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LLM05.5, 7</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LLM10.1,4</t>
    </r>
    <r>
      <rPr>
        <rFont val="DM Sans"/>
      </rPr>
      <t>: Model Theft</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</si>
  <si>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ML06:2023</t>
    </r>
    <r>
      <rPr>
        <rFont val="DM Sans"/>
      </rPr>
      <t xml:space="preserve"> AI Supply Chain Attacks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</si>
  <si>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AC-2:Account Management, 
AC-6:Least Privilege, 
AC-17:Remote Access, 
CM-2:Baseline Configuration, 
CM-7:Least Functionality, 
RA-3:Risk Assessment, 
RA-5:Vulnerability Monitoring and Scanning, 
SA-4:Acquisition Process, 
SA-8:Security and Privacy Engineering Principles,  
AT:Awareness and Training Family, 
CM-8:System Component Inventory</t>
  </si>
  <si>
    <t>Ensures auditability and attribution of models through access controls and logging.</t>
  </si>
  <si>
    <t>Apply a RBAC Model, Respecting the Least Privilege Principle.
Ensure ML Applications Comply with Security Policies.
Ensure ML Applications Comply with Third Parties’ Security Requirements.
Assess the Regulations and Laws the ML Application Must Comply With.
Reduce the Available Information About the Model.
Reduce the Information Given by the Model.
Ensure Appropriate Protection is Deployed for Test Environments.</t>
  </si>
  <si>
    <t>A.4.2 Resource documentation
A.4.3 Data resources
A.6.2.6 AI system operation and monitoring
A.6.2.5 AI system deployment</t>
  </si>
  <si>
    <t>A.5.15 Access control
A.8.2 Privileged access rights
A.8.3 Information access restriction
A.8.4 Access to source code
A.5.14 Information transfer</t>
  </si>
  <si>
    <t>Model Management 8.2</t>
  </si>
  <si>
    <r>
      <rPr>
        <rFont val="DM Sans"/>
        <color rgb="FF000000"/>
        <u/>
      </rPr>
      <t>Model operations</t>
    </r>
  </si>
  <si>
    <t>Model Management 8.2: Model theft</t>
  </si>
  <si>
    <t>Training machine learning systems, particularly large language models, involves considerable investment. A significant risk is the potential theft of a system’s knowledge through direct observation of their input and output observations, akin to reverse engineering. This can lead to unauthorized access, copying or exfiltration of proprietary models, resulting in economic losses, eroded competitive advantage and exposure of sensitive information.
This attack can be as simple as attackers making legitimate queries and analyzing the responses to recreate a model. Once replicated, the model can be inverted, enabling the attackers to extract feature information or infer details about the training data.</t>
  </si>
  <si>
    <t>DASF 1
DASF 2
DASF 3
DASF 4
DASF 5
DASF 24
DASF 30
DASF 31
DASF 51
DASF 32
DASF 33
DASF 59
DASF 55
DASF 67</t>
  </si>
  <si>
    <t xml:space="preserve">•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 DASF 30: Encrypt models
• DASF 31: Secure model serving endpoints to prevent access and compute theft
• DASF 51: Share data and AI assets securely
• DASF 32: Streamline the usage and management of various large language model (LLM) providers and rate-limit APIs
• DASF 33: Manage credentials securely to prevent credentials of data sources used for model training from leaking through models
• DASF 59: Use clean rooms to collaborate in a secure environment
• DASF 55: Monitor audit logs
• DASF 67: Federate authentication
</t>
  </si>
  <si>
    <t>• Financial Loss
• Response Costs
• Loss of Competitive Advantage</t>
  </si>
  <si>
    <r>
      <rPr>
        <rFont val="DM Sans"/>
        <color rgb="FF1155CC"/>
        <u/>
      </rPr>
      <t>AML.TA0000</t>
    </r>
    <r>
      <rPr>
        <rFont val="DM Sans"/>
      </rPr>
      <t xml:space="preserve">: ML Model Access
</t>
    </r>
    <r>
      <rPr>
        <rFont val="DM Sans"/>
        <color rgb="FF1155CC"/>
        <u/>
      </rPr>
      <t>AML.T0002.001</t>
    </r>
    <r>
      <rPr>
        <rFont val="DM Sans"/>
      </rPr>
      <t xml:space="preserve">: Acquire Public ML Artifacts: Models
</t>
    </r>
    <r>
      <rPr>
        <rFont val="DM Sans"/>
        <color rgb="FF1155CC"/>
        <u/>
      </rPr>
      <t>AML.T0044</t>
    </r>
    <r>
      <rPr>
        <rFont val="DM Sans"/>
      </rPr>
      <t xml:space="preserve">: Full ML Model Access
</t>
    </r>
    <r>
      <rPr>
        <rFont val="DM Sans"/>
        <color rgb="FF1155CC"/>
        <u/>
      </rPr>
      <t>AML.T0048.004</t>
    </r>
    <r>
      <rPr>
        <rFont val="DM Sans"/>
      </rPr>
      <t>: ML Intellectual Property Theft</t>
    </r>
  </si>
  <si>
    <r>
      <rPr>
        <rFont val="DM Sans"/>
        <color rgb="FF1155CC"/>
        <u/>
      </rPr>
      <t>ID: T1134.001</t>
    </r>
    <r>
      <rPr>
        <rFont val="DM Sans"/>
      </rPr>
      <t xml:space="preserve"> Token Impersonation/Theft 
</t>
    </r>
    <r>
      <rPr>
        <rFont val="DM Sans"/>
        <color rgb="FF1155CC"/>
        <u/>
      </rPr>
      <t>ID: T1087</t>
    </r>
    <r>
      <rPr>
        <rFont val="DM Sans"/>
      </rPr>
      <t xml:space="preserve"> Account Discovery
</t>
    </r>
    <r>
      <rPr>
        <rFont val="DM Sans"/>
        <color rgb="FF1155CC"/>
        <u/>
      </rPr>
      <t>ID: T1098</t>
    </r>
    <r>
      <rPr>
        <rFont val="DM Sans"/>
      </rPr>
      <t xml:space="preserve"> Account Manipulation
</t>
    </r>
    <r>
      <rPr>
        <rFont val="DM Sans"/>
        <color rgb="FF1155CC"/>
        <u/>
      </rPr>
      <t>ID: T1110</t>
    </r>
    <r>
      <rPr>
        <rFont val="DM Sans"/>
      </rPr>
      <t xml:space="preserve"> Brute Force
</t>
    </r>
    <r>
      <rPr>
        <rFont val="DM Sans"/>
        <color rgb="FF1155CC"/>
        <u/>
      </rPr>
      <t>ID: T1528</t>
    </r>
    <r>
      <rPr>
        <rFont val="DM Sans"/>
      </rPr>
      <t xml:space="preserve"> Steal Application Access Token</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</si>
  <si>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LLM10.2</t>
    </r>
    <r>
      <rPr>
        <rFont val="DM Sans"/>
      </rPr>
      <t xml:space="preserve">: Model Theft </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</si>
  <si>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</si>
  <si>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AC-2:Account Management, 
AC-6:Least Privilege,  
AU-9:Protection of Audit Information, 
SI-15:Information Output Filtering, 
SI-19:De-identification, 
PL-8:Security and Privacy Architectures, 
SA-8:Security and Privacy Engineering Principles</t>
  </si>
  <si>
    <t>Protects against model theft through secure access control and encryption.</t>
  </si>
  <si>
    <t>Apply a RBAC Model, Respecting the Least Privilege Principle.
Ensure ML Applications Comply with Identity Management, Authentication, and Access Control Policies.
Ensure ML Applications Comply with Security Policies.
Ensure ML Applications Comply with Third Parties’ Security Requirements.
Reduce the Available Information About the Model.
Ensure Appropriate Protection is Deployed for Test Environments.
Use Federated Learning to Minimize the Risk of Data Breaches.</t>
  </si>
  <si>
    <t>A.4.4 Tooling resources
A.6.2.6 AI system operation and monitoring
A.6.2.8 AI system recording of event logs</t>
  </si>
  <si>
    <t>A.5.16 Identity management
A.8.5 Secure authentication
A.5.18 Access rights
A.8.20 Networks Security
A.8.21 Security of network services
A.8.22 Segregation of networks
A.5.15 Access control
A.8.2 Privileged access rights
A.8.3 Information access restriction
A.8.4 Access to source code
A.8.20 Networks security
A.8.24 Use of cryptography
A.5.14 Information transfer
A.8.5 Secure Authentication
A.5.34 Privacy and protection of personal identifiable information (PII)
A.8.15 Logging
A.8.16 Monitoring Activities</t>
  </si>
  <si>
    <t>Model Management 8.3</t>
  </si>
  <si>
    <r>
      <rPr>
        <rFont val="DM Sans"/>
        <color rgb="FF000000"/>
        <u/>
      </rPr>
      <t>Model operations</t>
    </r>
  </si>
  <si>
    <t>Model Management 8.3: Model lifecycle without HITL (human-in-the-loop)</t>
  </si>
  <si>
    <t>Lack of sufficient controls in a machine learning and systems development lifecycle can result in the unintended deployment of incorrect or unapproved models to production. Implementing model lifecycle tracking within an MLOps framework is advisable to mitigate this risk. This approach should include human oversight, ensuring permissions, version control and proper approvals are in place before models are promoted to production. Such measures are crucial for maintaining ML system integrity, reliability and security.</t>
  </si>
  <si>
    <t>DASF 5
DASF 24
DASF 28
DASF 29
DASF 42
DASF 66</t>
  </si>
  <si>
    <t xml:space="preserve">• DASF 5: Control access to data and other objects for permissions model across all data assets to protect data and sources 
• DASF 24: Control access to models and model assets 
• DASF 28: Create model aliases, tags and annotations
• DASF 29: Build MLOps workflows with human-in-the-loop (HILP) with permissions, versions and approvals to promote models to production
• DASF 42: Data-centric MLOps and LLMOps promote models as code using CI/CD
• DASF 66: Use Human-in-the-loop feedback
Additional controls to consider: 
Please see the companion compendium document for a collection of third-party tools
</t>
  </si>
  <si>
    <t>• Unintended Model Outputs
• Reduced Organisation Trust in Model Effectiveness and Performance
• Regulatory Non-compliance
• Failure to Achieve Organizational AI Strategy and Goals</t>
  </si>
  <si>
    <t>• Financial Loss
• Regulatory Fines and Judgement
• Legal Fines
• Customer Retention</t>
  </si>
  <si>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LLM05.5</t>
    </r>
    <r>
      <rPr>
        <rFont val="DM Sans"/>
      </rPr>
      <t xml:space="preserve">, 7: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LLM10.1,4</t>
    </r>
    <r>
      <rPr>
        <rFont val="DM Sans"/>
      </rPr>
      <t>: Model Theft</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</si>
  <si>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ML06:2023</t>
    </r>
    <r>
      <rPr>
        <rFont val="DM Sans"/>
      </rPr>
      <t xml:space="preserve"> AI Supply Chain Attacks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</si>
  <si>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SI-7:Software, Firmware, and Information Integrity, 
SI-10:Information Input Validation, 
RA-3:Risk Assessment, 
CM-3:Configuration Change Control, 
AC-6:Least Privilege, 
SI-4:System Monitoring, 
CA-7:Continuous Monitoring, 
SA-3:System Development Life Cycle, 
SA-11:Developer Testing and Evaluation, 
SR-3:Supply Chain Controls and Processes</t>
  </si>
  <si>
    <t>Ensures integrity and auditability across the model lifecycle, including human oversight.</t>
  </si>
  <si>
    <t>Apply Documentation Requirements to AI Projects.
Assess the Regulations and Laws the ML Application Must Comply With.
Ensure ML Applications Comply with Security Policies.
Ensure ML Projects Follow the Global Process for Integrating Security Into Projects.
Integrate ML Applications Into the Overall Cyber-Resilience Strategy.
Conduct a Risk Analysis of the ML Application.
Build Explainable Models.
Define and Monitor Indicators for Proper Functioning of the Model.
Integrate ML Specificities to Awareness Strategy and Ensure All ML Stakeholders are Receiving it.</t>
  </si>
  <si>
    <t>A.4.2 Resource documentation
A.4.3 Data resources
A.6.2.6 AI system operation and monitoring
A.6.2.5 AI system deployment
A.6.2 AI system life cycle
A.6.2.2 AI system requirements and specification
A.6.2.3 Documentation of AI system design and development
A.6.2.4 AI system verification and validation
A.6.2.8 AI system recording of event logs
A.7 Data for AI systems
A.7.2 Data for development and enhancement of AI system
A.7.3 Acquisition of data
A.7.4 Quality of data for AI systems
A.7.5 Data provenance
A.7.6 Data preparation</t>
  </si>
  <si>
    <t>Article 14.2: Human Oversight</t>
  </si>
  <si>
    <t>Model Management 8.4</t>
  </si>
  <si>
    <r>
      <rPr>
        <rFont val="DM Sans"/>
        <color rgb="FF000000"/>
        <u/>
      </rPr>
      <t>Model operations</t>
    </r>
  </si>
  <si>
    <t>Model Management 8.4: Model inversion</t>
  </si>
  <si>
    <t>In machine learning models, private assets like training data, features and hyperparameters, which are typically confidential, can potentially be recovered by attackers through a process known as model inversion. This technique involves reconstructing private elements without direct access, compromising the model’s security. Model inversion falls under the “Functional Extraction” category in the MITRE ATLAS framework, highlighting its relevance as a significant security threat.</t>
  </si>
  <si>
    <t>DASF 1
DASF 2
DASF 3
DASF 4
DASF 5
DASF 24
DASF 30
DASF 31
DASF 32
DASF 55
DASF 67</t>
  </si>
  <si>
    <t>•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 DASF 30: Encrypt models
• DASF 31: Secure model serving endpoints
• DASF 32: Streamline the usage and management of various large language model (LLM) providers and rate-limit APIs
• DASF 55: Monitor audit logs to track access to data, AI and other resources
• DASF 67: Federate authentication</t>
  </si>
  <si>
    <t>• Financial Loss
• Loss of Competitive Advantage
• Proprietary Data Loss Liability</t>
  </si>
  <si>
    <r>
      <rPr>
        <rFont val="DM Sans"/>
        <color rgb="FF1155CC"/>
        <u/>
      </rPr>
      <t>AML.T0024.001</t>
    </r>
    <r>
      <rPr>
        <rFont val="DM Sans"/>
      </rPr>
      <t xml:space="preserve">: Invert ML Model
</t>
    </r>
    <r>
      <rPr>
        <rFont val="DM Sans"/>
        <color rgb="FF1155CC"/>
        <u/>
      </rPr>
      <t>AML.T0024.002</t>
    </r>
    <r>
      <rPr>
        <rFont val="DM Sans"/>
      </rPr>
      <t>: Extract ML Model</t>
    </r>
  </si>
  <si>
    <r>
      <rPr>
        <rFont val="DM Sans"/>
        <color rgb="FF1155CC"/>
        <u/>
      </rPr>
      <t>LLM01.1</t>
    </r>
    <r>
      <rPr>
        <rFont val="DM Sans"/>
      </rPr>
      <t xml:space="preserve">: Prompt Injection
</t>
    </r>
    <r>
      <rPr>
        <rFont val="DM Sans"/>
        <color rgb="FF1155CC"/>
        <u/>
      </rPr>
      <t>LLM02.1</t>
    </r>
    <r>
      <rPr>
        <rFont val="DM Sans"/>
        <color rgb="FF000000"/>
      </rPr>
      <t>: Insecure Ou</t>
    </r>
    <r>
      <rPr>
        <rFont val="DM Sans"/>
      </rPr>
      <t xml:space="preserve">tput Handling
</t>
    </r>
    <r>
      <rPr>
        <rFont val="DM Sans"/>
        <color rgb="FF1155CC"/>
        <u/>
      </rPr>
      <t>LLM03.CEV.5</t>
    </r>
    <r>
      <rPr>
        <rFont val="DM Sans"/>
      </rPr>
      <t xml:space="preserve">: Training Data Poisoning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LLM10.2</t>
    </r>
    <r>
      <rPr>
        <rFont val="DM Sans"/>
      </rPr>
      <t xml:space="preserve">: Model Theft </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</si>
  <si>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</si>
  <si>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SI-12:Information Management and Retention, 
SI-15:Information Output Filtering, 
SI-19:De-identification,
PL-8:Security and Privacy Architectures, 
AC-2:Account Management, 
SA-11:Developer Testing and Evaluation</t>
  </si>
  <si>
    <t>Protects against adversarial model inversion through integrity mechanisms and access controls.</t>
  </si>
  <si>
    <t>Input-based attacks - &gt; Model inversion</t>
  </si>
  <si>
    <t>Apply a RBAC Model, Respecting the Least Privilege Principle.
Reduce the Available Information About the Model.
Reduce the Information Given by the Model.
Ensure that Models Respect Differential Privacy to a Sufficient Degree.
Use Federated Learning to Minimize the Risk of Data Breaches.</t>
  </si>
  <si>
    <t>Model Serving — Inference requests 9.1</t>
  </si>
  <si>
    <t>Model deployment and serving</t>
  </si>
  <si>
    <t>Model Serving — Inference requests 9.1: Prompt inject</t>
  </si>
  <si>
    <t>A direct prompt injection occurs when a user injects text that is intended to alter the behavior of the LLM. Malicious input, known as model evasion in the MITRE ATLAS framework, is a significant threat to machine learning systems. These risks manifest as “adversarial examples”: inputs deliberately designed to deceive models. Attackers use direct prompt injections to bypass safeguards in order to create misinformation and cause reputational damage. Attackers may wish to extract the system prompt or reveal private information provided to the model in the context but not intended for unfiltered access by the user. Large language model (LLM) plug-ins are particularly vulnerable, as they are typically required to handle untrusted input and it is difficult to apply adequate application control. Attackers can exploit such vulnerabilities, with severe potential outcomes including remote code execution.</t>
  </si>
  <si>
    <t>DASF 1
DASF 3
DASF 4
DASF 5
DASF 24
DASF 46
DASF 30
DASF 31
DASF 32
DASF 37
DASF 54
DASF 56
DASF 60
DASF 65
DASF 67</t>
  </si>
  <si>
    <t>•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 DASF 46: Store and retrieve embeddings securely to integrate data objects for security-sensitive data that goes into LLMs as RAG inputs
• DASF 30: Encrypt models
• DASF 31: Secure model serving endpoints 
• DASF 32: Streamline the usage and management of various large language model (LLM) providers and rate-limit inference queries allowed by the model.
Designing robust prompts can help mitigate attacks such as jailbreaking.
Implement gates between users/callers and the actual model by performing input validation post-processing on all proposed queries, rejecting anything not meeting the model’s definition of input correctness, and returning only the minimum amount of information needed to be useful.
• DASF 37: Set up inference tables for monitoring and debugging prompts
• DASF 54: Implement LLM guardrails
• DASF 56: Restrict outbound connections from models to prevent attacks to exfiltrate data, inference requests and responses
• DASF 60: Rate limit number of inference queries
• DASF 65: Implement end-to-end AI traceability
• DASF 67: Federate authentication
Additional controls to consider: 
Please see the companion compendium document for a collection of third-party tools.</t>
  </si>
  <si>
    <t>• Unauthorised Alteration of AI System Outputs
• Unauthorised Access to Private Information
• Unintended Model Outputs
• Reduced Organisation Trust in Model Effectiveness and Performance
• Regulatory Non-compliance
• Failure to Achieve Organizational AI Strategy and Goals</t>
  </si>
  <si>
    <r>
      <rPr>
        <rFont val="DM Sans"/>
        <color rgb="FF1155CC"/>
        <u/>
      </rPr>
      <t>AML.T0051</t>
    </r>
    <r>
      <rPr>
        <rFont val="DM Sans"/>
      </rPr>
      <t>: LLM Prompt Injection</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</si>
  <si>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LLM10.2</t>
    </r>
    <r>
      <rPr>
        <rFont val="DM Sans"/>
      </rPr>
      <t xml:space="preserve">: Model Theft </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</si>
  <si>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</si>
  <si>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SI-4:System Monitoring, 
SI-10:Information Input Validation, 
AC-6:Least Privilege, 
SA-11:Developer Testing and Evaluation</t>
  </si>
  <si>
    <t>Controls protecting against adversarial examples through input validation and integrity mechanisms.</t>
  </si>
  <si>
    <t>Input-based attacks - &gt; Prompt injection</t>
  </si>
  <si>
    <t>A.4.4 Tooling resources
A.6.2.6 AI system operation and monitoring
A.6.2.8 AI system recording of event logs
A.9 Use of AI systems
A.9.2 Processes for responsible use of AI systems
A.9.3 Objectives for responsible use of AI system
A.9.4 Intended use of the AI system</t>
  </si>
  <si>
    <t>A.5.16 Identity management
A.8.5 Secure authentication
A.5.18 Access rights
A.8.20 Networks Security
A.8.21 Security of network services
A.8.22 Segregation of networks
A.5.15 Access control
A.8.2 Privileged access rights
A.8.3 Information access restriction
A.8.4 Access to source code
A.8.20 Networks security
A.8.24 Use of cryptography
A.8.20 Networks Security
A.8.23 Web filtering</t>
  </si>
  <si>
    <t>Model Serving — Inference requests 9.2</t>
  </si>
  <si>
    <t>Model Serving — Inference requests 9.2: Model inversion</t>
  </si>
  <si>
    <t>Malicious actors can recover the private assets used in machine learning models, known as functional extraction in the MITRE ATLAS framework. This process includes reconstructing private training data, features and hyperparameters the attacker cannot otherwise access. The attacker can also recover a functionally equivalent model by iteratively querying the model.</t>
  </si>
  <si>
    <t>DASF 1
DASF 2
DASF 3
DASF 4
DASF 5
DASF 24
DASF 46
DASF 30
DASF 31
DASF 32
DASF 37
DASF 54
DASF 60
DASF 67</t>
  </si>
  <si>
    <t xml:space="preserve">•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 DASF 46: Store and retrieve embeddings securely to integrate data objects for security-sensitive data that goes into LLMs as RAG inputs
• DASF 30: Encrypt models
• DASF 31: Secure model serving endpoints 
• DASF 32: Streamline the usage and management of various large language model (LLM) providers and rate-limit inference queries allowed by the model.
Designing robust prompts can help mitigate attacks such as jailbreaking.
Implement gates between users/callers and the actual model by performing input validation post-processing on all proposed queries, rejecting anything not meeting the model’s definition of input correctness, and returning only the minimum amount of information needed to be useful.
Open source and commercial solutions provide a variety of modules including prompt and output scanners for various responsible AI or jailbreaking attacks.
• DASF 37: Set up inference tables for monitoring and debugging model prompts
• DASF 54: Implement AI guardrails
• DASF 60: Rate limit number of inference queries
• DASF 67: Federate authentication
Additional controls to consider: 
Please see the companion compendium document for a collection of third-party tools.
</t>
  </si>
  <si>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LLM10.2</t>
    </r>
    <r>
      <rPr>
        <rFont val="DM Sans"/>
      </rPr>
      <t xml:space="preserve">: Model Theft </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</si>
  <si>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</si>
  <si>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 xml:space="preserve">SI-12:Information Management and Retention, 
SI-15:Information Output Filtering, 
SI-19:De-identification,
PL-8:Security and Privacy Architectures, 
AC-2:Account Management, 
SA-11:Developer Testing and Evaluation </t>
  </si>
  <si>
    <t>Protects against model inversion through secure access control and model encryption.</t>
  </si>
  <si>
    <t>Reduce the Available Information About the Model.
Reduce the Information Given by the Model.
Ensure that Models Respect Differential Privacy to a Sufficient Degree.</t>
  </si>
  <si>
    <t>A.6.2.6 AI system operation and monitoring
A.6.2.8 AI system recording of event logs
A.9 Use of AI systems
A.9.2 Processes for responsible use of AI systems
A.9.3 Objectives for responsible use of AI system
A.9.4 Intended use of the AI system</t>
  </si>
  <si>
    <t xml:space="preserve">A.5.16 Identity management
A.8.5 Secure authentication
A.5.18 Access rights
A.8.20 Networks Security
A.8.21 Security of network services
A.8.22 Segregation of networks
A.5.15 Access control
A.8.2 Privileged access rights
A.8.3 Information access restriction
A.8.4 Access to source code
A.8.20 Networks security
A.8.24 Use of cryptography
</t>
  </si>
  <si>
    <t>Model Serving — Inference requests 9.3</t>
  </si>
  <si>
    <r>
      <rPr>
        <rFont val="DM Sans"/>
        <color rgb="FF000000"/>
        <u/>
      </rPr>
      <t>Model deployment and serving</t>
    </r>
  </si>
  <si>
    <t>Model Serving — Inference requests 9.3: Model breakout</t>
  </si>
  <si>
    <t>Malicious users can exploit adversarial examples to mislead machine learning systems, including large language models (LLMs). These specially crafted inputs aim to disrupt the normal functioning of these systems, leading to several potential hazards. An attacker might use these examples to force the system to deviate from its intended environment, exfiltrate sensitive data or interact inappropriately with other systems. Additionally, adversarial inputs can cause false predictions, leak sensitive information from the training data, or manipulate the system into executing unintended actions on internal and external systems.</t>
  </si>
  <si>
    <t>DASF 34
DASF 37
DASF 56</t>
  </si>
  <si>
    <t>• DASF 34: Run models in multiple layers of isolation with unprivileged VMs and network segregation. Protects back-end internal systems from LLM access. The most reliable mitigation is to always treat all LLM output as potentially malicious and remember that an untrusted entity has been able to inject text as user input. All LLM output should be inspected and sanitized before being further parsed to extract information related to the plug-in. Plug-in templates should be parameterized wherever possible, and any calls to external services must be strictly parameterized at all times and made in a least-privileged context. 
• DASF 37: Set up inference tables for monitoring and debugging prompts
• DASF 56: Restrict outbound connections from models to prevent attacks to exfiltrate data, inference requests and responses</t>
  </si>
  <si>
    <t>• Loss of AI System Availability
• Unintended Model Outputs
• Reduced Organisation Trust in Model Effectiveness and Performance
• Regulatory Non-compliance
• Failure to Achieve Organizational AI Strategy and Goals</t>
  </si>
  <si>
    <t>• Financial Loss
• Regulatory Fines and Judgement
• Legal Fines
• Customer Retention
• Regulatory Non-compliance
• Direct Business Interruption</t>
  </si>
  <si>
    <r>
      <rPr>
        <rFont val="DM Sans"/>
        <color rgb="FF1155CC"/>
        <u/>
      </rPr>
      <t>AML.TA0005</t>
    </r>
    <r>
      <rPr>
        <rFont val="DM Sans"/>
      </rPr>
      <t xml:space="preserve">: Execution: adversary-controlled code running on a local or remote system
</t>
    </r>
    <r>
      <rPr>
        <rFont val="DM Sans"/>
        <color rgb="FF1155CC"/>
        <u/>
      </rPr>
      <t>AML.T0024</t>
    </r>
    <r>
      <rPr>
        <rFont val="DM Sans"/>
      </rPr>
      <t>: Exfiltration via ML Inference API</t>
    </r>
  </si>
  <si>
    <r>
      <rPr>
        <rFont val="DM Sans"/>
        <color rgb="FF1155CC"/>
        <u/>
      </rPr>
      <t>LLM01</t>
    </r>
    <r>
      <rPr>
        <rFont val="DM Sans"/>
      </rPr>
      <t xml:space="preserve">: Prompt Injection
</t>
    </r>
    <r>
      <rPr>
        <rFont val="DM Sans"/>
        <color rgb="FF1155CC"/>
        <u/>
      </rPr>
      <t>LLM03.4, 5</t>
    </r>
    <r>
      <rPr>
        <rFont val="DM Sans"/>
      </rPr>
      <t xml:space="preserve">: Training Data Poisoning
</t>
    </r>
    <r>
      <rPr>
        <rFont val="DM Sans"/>
        <color rgb="FF1155CC"/>
        <u/>
      </rPr>
      <t>LLM06.3</t>
    </r>
    <r>
      <rPr>
        <rFont val="DM Sans"/>
      </rPr>
      <t xml:space="preserve">: Sensitive Information Disclosure
</t>
    </r>
    <r>
      <rPr>
        <rFont val="DM Sans"/>
        <color rgb="FF1155CC"/>
        <u/>
      </rPr>
      <t>LLM10.2</t>
    </r>
    <r>
      <rPr>
        <rFont val="DM Sans"/>
      </rPr>
      <t xml:space="preserve">: Model Theft </t>
    </r>
  </si>
  <si>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</si>
  <si>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SI-4:System Monitoring, 
SI-10:Information Input Validation, 
SA-11:Developer Testing and Evaluation, 
CA-8:Penetration Testing, 
PL-8:Security and Privacy Architectures</t>
  </si>
  <si>
    <t>Secures model serving environments against breakout attacks through integrity and isolation controls.</t>
  </si>
  <si>
    <t>Input-based attacks -&gt; Evasion (including adversarial examples)
Input-based attacks - &gt; Prompt injection</t>
  </si>
  <si>
    <t>Integrate ML Specificities to Awareness Strategy and Ensure All ML Stakeholders are Receiving It.
Implement Tools to Detect if a Data Point is an Adversarial Example or Not.
Include ML Applications in Detection and Response to Security Incident Processes.
Add some Adversarial Examples to the Training Dataset.
Apply Modifications on Inputs.
Choose and Define a More Resilient Model Design.
Reduce the Available Information About the Model.
Reduce the Information Given by the Model.
Use Less Easily Transferable Models.</t>
  </si>
  <si>
    <t>A.8.22 Segregation of networks
A.8.20 Networks Security
A.8.23 Web filtering</t>
  </si>
  <si>
    <t>Model Serving — Inference requests 9.4</t>
  </si>
  <si>
    <r>
      <rPr>
        <rFont val="DM Sans"/>
        <color rgb="FF000000"/>
        <u/>
      </rPr>
      <t>Model deployment and serving</t>
    </r>
  </si>
  <si>
    <t>Model Serving — Inference requests 9.4: Looped input</t>
  </si>
  <si>
    <t>There is a notable risk in machine learning systems when the output produced by the system is reintroduced into the real world and subsequently cycles back as input, creating a harmful feedback loop. This can reinforce removing security filters, biases or errors, potentially leading to increasingly skewed or inaccurate model performance and unintended system behaviors.</t>
  </si>
  <si>
    <t>DASF 37</t>
  </si>
  <si>
    <t>• DASF 37: Set up inference tables for monitoring and debugging models to capture incoming requests and outgoing responses to your model serving endpoint and automatically log them in tables. Afterward, you can use the data in this table to monitor, debug and improve ML models and decide if these inferences are of sufficient quality for input to model training.</t>
  </si>
  <si>
    <t xml:space="preserve">CA-7:Continuous Monitoring, 
SI-4:System Monitoring, 
SI-7:Software, Firmware, and Information Integrity,
CM-2:Baseline Configuration, 
CM-3:Configuration Change Control, 
CM-9:Configuration Management Plan, 
RA-3:Risk Assessment </t>
  </si>
  <si>
    <t>Protects against feedback loops through logging and input validation mechanisms.</t>
  </si>
  <si>
    <t>Define and Monitor Indicators for Proper Functioning of the Model.
Ensure that the Model is Sufficiently Resilient to the Environment in Which it Will Operate.</t>
  </si>
  <si>
    <t>Model Serving — Inference requests 9.5</t>
  </si>
  <si>
    <r>
      <rPr>
        <rFont val="DM Sans"/>
        <color rgb="FF000000"/>
        <u/>
      </rPr>
      <t>Model deployment and serving</t>
    </r>
  </si>
  <si>
    <t>Model Serving — Inference requests 9.5: Infer training data membership</t>
  </si>
  <si>
    <t>Adversaries may pose a significant privacy threat to machine learning systems by simulating or inferring whether specific data samples were part of a model’s training set. Such inferences can be made by:
Using techniques like Train Proxy via Replication to create and host shadow models replicating the target model’s behavior
Analyzing the statistical patterns in the model’s prediction scores to conclude the training data
These methods can lead to the unintended leakage of sensitive information, such as individuals’ personally identifiable information (PII) in the training dataset or other forms of protected intellectual property.</t>
  </si>
  <si>
    <t>DASF 1
DASF 2
DASF 3
DASF 4
DASF 5
DASF 24
DASF 28
DASF 46
DASF 30
DASF 31
DASF 32
DASF 37
DASF 45
DASF 54
DASF 60
DASF 67</t>
  </si>
  <si>
    <t xml:space="preserve">•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 DASF 28: Create model aliases, tags and annotations
• DASF 46: Store and retrieve embeddings securely to integrate data objects for security-sensitive data that goes into LLMs as RAG inputs
• DASF 30: Encrypt models
• DASF 31: Secure model serving endpoints 
• DASF 32: Streamline the usage and management of various large language model (LLM) providers and rate-limit inference queries allowed by the model.
Designing robust prompts can help mitigate attacks such as jailbreaking.
Implement gates between users/callers and the actual model by performing input validation post-processing on all proposed queries, rejecting anything not meeting the model’s definition of input correctness, and returning only the minimum amount of information needed to be useful.
• DASF 37: Set up inference tables for monitoring and debugging models
• DASF 45: Evaluate models for custom evaluation metrics
• DASF 54: Implement AI guardrails
• DASF 60: Rate limit number of inference queries
• DASF 67: Federate authentication
Additional controls to consider: 
Please see the companion compendium document  for a collection of third-party tools
</t>
  </si>
  <si>
    <t>• Breach of Confidential Proprietary Information or Trade Secrets
• Breach of Personal Information
• Regulatory Non-compliance
• Failure to Achieve Organizational AI Strategy and Goals</t>
  </si>
  <si>
    <t>• Financial Loss
• Response Costs
• Loss of Competitive Advantage
• Regulatory Fines and Judgement
• Legal Fines
• Customer Retention</t>
  </si>
  <si>
    <r>
      <rPr>
        <rFont val="DM Sans"/>
        <color rgb="FF1155CC"/>
        <u/>
      </rPr>
      <t>AML.T0016</t>
    </r>
    <r>
      <rPr>
        <rFont val="DM Sans"/>
      </rPr>
      <t xml:space="preserve">: Obtain Capabilities
</t>
    </r>
    <r>
      <rPr>
        <rFont val="DM Sans"/>
        <color rgb="FF1155CC"/>
        <u/>
      </rPr>
      <t>AML.T0017</t>
    </r>
    <r>
      <rPr>
        <rFont val="DM Sans"/>
      </rPr>
      <t xml:space="preserve">: Develop Capabilities
</t>
    </r>
    <r>
      <rPr>
        <rFont val="DM Sans"/>
        <color rgb="FF1155CC"/>
        <u/>
      </rPr>
      <t>AML.T0024.000</t>
    </r>
    <r>
      <rPr>
        <rFont val="DM Sans"/>
      </rPr>
      <t>: Infer Training Data Membership</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</si>
  <si>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LLM10.2</t>
    </r>
    <r>
      <rPr>
        <rFont val="DM Sans"/>
      </rPr>
      <t xml:space="preserve">: Model Theft </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</si>
  <si>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</si>
  <si>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AC-3:Access Enforcement, 
AC-6:Least Privilege,   
SC-7:Boundary Protection, 
SC-8:Transmission Confidentiality and Integrity,  
SC-28:Protection of Information at Rest</t>
  </si>
  <si>
    <t>Prevents data inference attacks through strict data integrity and access controls.</t>
  </si>
  <si>
    <t>Apply a RBAC model, respecting the least privileged principle.
Ensure that Models Respect Differential Privacy to a Sufficient Degree.
Reduce the Available Information About the Model.
Reduce the Information Given by the Model.
Use Federated Learning to Minimize Risk of Data Breaches.</t>
  </si>
  <si>
    <t>A.4.2 Resource documentation
A.4.3 Data resources
A.6.2.6 AI system operation and monitoring
A.4.4 Tooling resources
A.6.2.8 AI system recording of event logs
A.6.1.2 Objectives for responsible development of AI system
A.6.1.3 Processes for responsible AI system design and development
A.6.2.4 AI system verification and validation
A.9 Use of AI systems
A.9.2 Processes for responsible use of AI systems
A.9.3 Objectives for responsible use of AI system
A.9.4 Intended use of the AI system</t>
  </si>
  <si>
    <t>Model Serving — Inference requests 9.6</t>
  </si>
  <si>
    <r>
      <rPr>
        <rFont val="DM Sans"/>
        <color rgb="FF000000"/>
        <u/>
      </rPr>
      <t>Model deployment and serving</t>
    </r>
  </si>
  <si>
    <t>Model Serving — Inference requests 9.6: Discover ML model ontology</t>
  </si>
  <si>
    <r>
      <t xml:space="preserve">Adversaries may aim to </t>
    </r>
    <r>
      <rPr>
        <rFont val="DM Sans"/>
        <color rgb="FF1155CC"/>
        <u/>
      </rPr>
      <t>uncover the ontology of a machine learning model’s</t>
    </r>
    <r>
      <rPr>
        <rFont val="DM Sans"/>
      </rPr>
      <t xml:space="preserve"> output space, such as identifying the range of objects or responses the model is designed to detect. This can be achieved through repeated queries to the model, which may force it to reveal its classification system or by accessing its configuration files or documentation. Understanding a model’s ontology allows adversaries to gain insights in designing targeted attacks that exploit specific vulnerabilities or characteristics.</t>
    </r>
  </si>
  <si>
    <t xml:space="preserve">DASF 1
DASF 2
DASF 3
DASF 4
DASF 5
DASF 24
DASF 28
DASF 46
DASF 30
DASF 31
DASF 32
DASF 37
DASF 45
DASF 54
DASF 60
DASF 67
</t>
  </si>
  <si>
    <t xml:space="preserve">•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 DASF 28: Create model aliases, tags and annotations
• DASF 46: Store and retrieve embeddings securely to integrate data objects for security-sensitive data that goes into LLMs as RAG inputs
• DASF 30: Encrypt models
• DASF 31: Secure model serving endpoints 
• DASF 32: Streamline the usage and management of various large language model (LLM) providers and rate-limit inference queries allowed by the model.
Designing robust prompts can help mitigate attacks such as jailbreaking.
Implement gates between users/callers and the actual model by performing input validation post-processing on all proposed queries, rejecting anything not meeting the model’s definition of input correctness, and returning only the minimum amount of information needed to be useful.
Open source and commercial solutions provide a variety of modules including prompt and output scanners for various responsible AI or jailbreaking attacks.
• DASF 37: Set up inference tables for monitoring and debugging models
• DASF 45: Evaluate models for custom evaluation metrics
• DASF 54: Implement AI guardrails
• DASF 60: Rate limit number of inference queries to control capacity and ensure availability of the model serving
• DASF 67: Federate authentication
</t>
  </si>
  <si>
    <r>
      <rPr>
        <rFont val="DM Sans"/>
        <color rgb="FF1155CC"/>
        <u/>
      </rPr>
      <t>AML.T0013</t>
    </r>
    <r>
      <rPr>
        <rFont val="DM Sans"/>
        <color rgb="FF000000"/>
      </rPr>
      <t>: Discover ML Model Ontology</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</si>
  <si>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LLM10.2</t>
    </r>
    <r>
      <rPr>
        <rFont val="DM Sans"/>
      </rPr>
      <t>: Model Theft</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</si>
  <si>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</si>
  <si>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AC-3:Access Enforcement, 
AC-6:Least Privilege,   
AU-2:Event Logging, 
SI-10:Information Input Validation</t>
  </si>
  <si>
    <t>Protects sensitive model data, preventing adversaries from discovering model ontologies.</t>
  </si>
  <si>
    <t>Reduce the Available Information About the Model.
Reduce the Information Given by the Model.
Apply Modifications on Inputs.
Choose and Define a More Resilient Model Design.</t>
  </si>
  <si>
    <t>Model Serving — Inference requests 9.7</t>
  </si>
  <si>
    <r>
      <rPr>
        <rFont val="DM Sans"/>
        <color rgb="FF000000"/>
        <u/>
      </rPr>
      <t>Model deployment and serving</t>
    </r>
  </si>
  <si>
    <t>Model Serving — Inference requests 9.7: Denial of Service (DoS)</t>
  </si>
  <si>
    <t>Adversaries may target machine learning systems with a flood of requests to degrade or shut down the service. Since many machine learning systems require significant amounts of specialized compute, they are often expensive bottlenecks that can become overloaded. Adversaries can intentionally craft inputs that require heavy amounts of useless compute from the machine learning system.</t>
  </si>
  <si>
    <t>DASF 1
DASF 2
DASF 3
DASF 4
DASF 5
DASF 24
DASF 46
DASF 30
DASF 31
DASF 32
DASF 37
DASF 60
DASF 67</t>
  </si>
  <si>
    <t xml:space="preserve">•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 DASF 46: Store and retrieve embeddings securely to integrate data objects for security-sensitive data that goes into LLMs as RAG inputs
• DASF 30: Encrypt models
• DASF 31: Secure model serving endpoints 
• DASF 32: Streamline the usage and management of various large language model (LLM) providers and rate-limit inference queries allowed by the model.
Designing robust prompts can help mitigate attacks such as jailbreaking.
Implement gates between users/callers and the actual model by performing input validation post-processing on all proposed queries, rejecting anything not meeting the model’s definition of input correctness, and returning only the minimum amount of information needed to be useful.
• DASF 37: Set up inference tables for monitoring and debugging model prompts
• DASF 60: Rate limit number of inference queries
• DASF 67: Federate authentication
Additional controls to consider: 
Please see the companion compendium document for a collection of third-party tools.
</t>
  </si>
  <si>
    <t>• Loss of AI System Availability
• Disruption of Business Operations and Service Availability</t>
  </si>
  <si>
    <t>• Financial Loss
• Breach of Service Level Agreement
• Direct Business Interruption
• Customer Retention</t>
  </si>
  <si>
    <r>
      <rPr>
        <rFont val="DM Sans"/>
        <color rgb="FF1155CC"/>
        <u/>
      </rPr>
      <t>AML.TA0011</t>
    </r>
    <r>
      <rPr>
        <rFont val="DM Sans"/>
      </rPr>
      <t xml:space="preserve">: Impact: manipulate, interrupt, erode confidence in, or destroy your machine learning systems and data
</t>
    </r>
    <r>
      <rPr>
        <rFont val="DM Sans"/>
        <color rgb="FF1155CC"/>
        <u/>
      </rPr>
      <t>AML.T0029</t>
    </r>
    <r>
      <rPr>
        <rFont val="DM Sans"/>
      </rPr>
      <t>: Denial of ML Service
ID: T1499 Endpoint Denial of Service</t>
    </r>
  </si>
  <si>
    <r>
      <rPr>
        <rFont val="DM Sans"/>
        <color rgb="FF1155CC"/>
        <u/>
      </rPr>
      <t xml:space="preserve">ID: T1499 </t>
    </r>
    <r>
      <rPr>
        <rFont val="DM Sans"/>
      </rPr>
      <t>Endpoint Denial of Service</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</si>
  <si>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LLM10.2</t>
    </r>
    <r>
      <rPr>
        <rFont val="DM Sans"/>
      </rPr>
      <t xml:space="preserve">: Model Theft </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</si>
  <si>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</si>
  <si>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SC-5:Denial-of-Service Protection, 
SC-6:Resource Availability, 
SC-7:Boundary Protection, 
SI-4:System Monitoring,
SI-10:Information Input Validation, 
CA-7:Continuous Monitoring</t>
  </si>
  <si>
    <t>Boundary protection and monitoring controls that mitigate DoS attacks on ML systems.</t>
  </si>
  <si>
    <t xml:space="preserve">Availability attacks -&gt; Denial of AI service
</t>
  </si>
  <si>
    <t>Control all data used by the ML model.
Implement tools to detect if a data point is an adversarial example or not.
Apply a RBAC model, respecting the least privileged principle.
Ensure ML applications comply with protection policies and are integrated to security operations processes.
Include ML applications into detection and response to security incident processes.
Integrate ML applications into the overall cyber-resilience strategy.</t>
  </si>
  <si>
    <t xml:space="preserve">A.4.4 Tooling resources
A.6.2.6 AI system operation and monitoring
A.6.2.8 AI system recording of event logs
A.6.1.2 Objectives for responsible development of AI system
A.6.1.3 Processes for responsible AI system design and development
A.6.2.4 AI system verification and validation
</t>
  </si>
  <si>
    <t>Model Serving — Inference requests 9.8</t>
  </si>
  <si>
    <r>
      <rPr>
        <rFont val="DM Sans"/>
        <color rgb="FF000000"/>
        <u/>
      </rPr>
      <t>Model deployment and serving</t>
    </r>
  </si>
  <si>
    <t>Model Serving — Inference requests 9.8: LLM hallucinations</t>
  </si>
  <si>
    <t>Large language models (LLMs) are known to inadvertently generate incorrect, misleading or factually false outputs, or leak sensitive data. This situation may arise when training models on datasets containing potential biases in their training data, limitations in contextual understanding or confidential information.</t>
  </si>
  <si>
    <t>DASF 25
DASF 26
DASF 27
DASF 46
DASF 49
DASF 54
DASF 56</t>
  </si>
  <si>
    <t xml:space="preserve">• DASF 25: Use retrieval augmented generation (RAG) with large language models (LLMs)
and/or
• DASF 26: Fine-tune large language models (LLMs) on highly relevant, contextual data to reduce the risks of LLMs by grounding with the domain-specific data
• DASF 27: Pretrain a large language model (LLM) on highly relevant, contextual data to reduce the risks of LLMs by grounding with the domain-specific data. The LLMs will investigate that data for giving the responses.
• DASF 46: Create embeddings to securely integrate data objects with sensitive data that goes into LLMs
• DASF 49: Automate LLM evaluation to evaluate RAG applications with LLM-as-a-judge and get out-of-the-box metrics like toxicity, latency, tokens and more to quickly and efficiently compare and contrast various LLMs to navigate your RAG application requirements.
• DASF 54: Implement AI guardrails
• DASF 56: Restrict outbound connections from models to prevent attacks to exfiltrate data, inference requests and responses
Additional controls to consider: 
Please see the companion compendium document for a collection of third-party tools.
</t>
  </si>
  <si>
    <t>• False or Misleading Responses
• Reduced Organisation Trust in Model Effectiveness and Performance
• Regulatory Non-compliance
• Failure to Achieve Organizational AI Strategy and Goals</t>
  </si>
  <si>
    <t xml:space="preserve">CM-3:Configuration Change Control, 
SI-4:System Monitoring,
SI-7:Software, Firmware, and Information Integrity, 
SI-10:Information Input Validation,  
AU-6:Audit Record Review, Analysis, and Reporting </t>
  </si>
  <si>
    <t>Controls ensuring model output integrity and preventing adversarial manipulation leading to hallucinations.</t>
  </si>
  <si>
    <t>Threats inherent to language models -&gt; Confabulation</t>
  </si>
  <si>
    <t>A.4.3 Data resources
A.6.1.2 Objectives for responsible development of AI system
A.6.1.3 Processes for responsible design and development of AI systems
A.6.2.3 Documentation of AI system design and development
A.6.2.4 AI system verification and validation
A.9.3 Objectives for responsible use of AI system
A.9 Use of AI systems
A.9.2 Processes for responsible use of AI systems
A.9.3 Objectives for responsible use of AI system
A.9.4 Intended use of the AI system</t>
  </si>
  <si>
    <t>Model Serving — Inference requests 9.9</t>
  </si>
  <si>
    <r>
      <rPr>
        <rFont val="DM Sans"/>
        <color rgb="FF000000"/>
        <u/>
      </rPr>
      <t>Model deployment and serving</t>
    </r>
  </si>
  <si>
    <t>Model Serving — Inference requests 9.9: Input Resource Control</t>
  </si>
  <si>
    <r>
      <rPr>
        <rFont val="DM Sans"/>
      </rPr>
      <t xml:space="preserve">The attacker might modify or exfiltrate resources (e.g., documents, web pages) that will be ingested by the GenAI model at runtime via the RAG process. This capability is used for </t>
    </r>
    <r>
      <rPr>
        <rFont val="DM Sans"/>
        <color rgb="FF1155CC"/>
        <u/>
      </rPr>
      <t>indirect prompt injection</t>
    </r>
    <r>
      <rPr>
        <rFont val="DM Sans"/>
      </rPr>
      <t xml:space="preserve"> attacks. For example, rows from a database or text from a PDF document that are intended to be summarized generically by the LLM can be extracted by simply asking for them via direct prompt injection.</t>
    </r>
  </si>
  <si>
    <t>DASF 1
DASF 2
DASF 3
DASF 4
DASF 5
DASF 46
DASF 54
DASF 56
DASF 67</t>
  </si>
  <si>
    <t>•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that are used for RAG
• DASF 46: Store and retrieve embeddings securely to integrate data objects for security-sensitive data that goes into LLMs as RAG inputs
• DASF 54: Implement AI guardrails
• DASF 56: Restrict outbound connections from models to prevent attacks to exfiltrate data, inference requests and responses
• DASF 67: Federate authentication
Additional controls to consider: 
Please see the companion compendium document for a collection of third-party tools.</t>
  </si>
  <si>
    <t>• Financial Loss
• Response Costs
• Regulatory Fines and Judgement
• Legal Fines
• Customer Retention</t>
  </si>
  <si>
    <r>
      <rPr>
        <rFont val="DM Sans"/>
        <color rgb="FF1155CC"/>
        <u/>
      </rPr>
      <t>AML.TA0012</t>
    </r>
    <r>
      <rPr>
        <rFont val="DM Sans"/>
      </rPr>
      <t>: Privilege Escalation</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</si>
  <si>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LLM10.2</t>
    </r>
    <r>
      <rPr>
        <rFont val="DM Sans"/>
      </rPr>
      <t xml:space="preserve">: Model Theft </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</si>
  <si>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</si>
  <si>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AC-2:Account Management,
AC-3:Access Enforcement, 
AC-4:Information Flow Enforcement, 
AC-6:Least Privilege, 
AC-17:Remote Access, 
SC-7:Boundary Protection, 
SC-8:Transmission Confidentiality and Integrity, 
SC-28:Protection of Information at Rest, 
SC-39:Process Isolation, 
SR-1:Policy and Procedures, 
SR-6:Supplier Assessments and Reviews, 
SR-11:Component Authenticity</t>
  </si>
  <si>
    <t>Protects input data integrity and enforces access control mechanisms to prevent malicious input.</t>
  </si>
  <si>
    <t>Input-based attacks - &gt; Prompt injection
Poisoning attacks -&gt; Data poisoning</t>
  </si>
  <si>
    <t>Apply a RBAC model, respecting the least privileged principle.
Control all data used by the ML model.
Ensure reliable sources are used.
Use methods to clean the training dataset from suspicious samples.
Ensure ML applications comply with data security requirements.</t>
  </si>
  <si>
    <t>A.9 Use of AI systems
A.9.2 Processes for responsible use of AI systems
A.9.3 Objectives for responsible use of AI system
A.9.4 Intended use of the AI system</t>
  </si>
  <si>
    <t>A.5.16 Identity management
A.8.5 Secure authentication
A.5.18 Access rights
A.8.20 Networks Security
A.8.21 Security of network services
A.8.22 Segregation of networks
A.5.15 Access control
A.8.2 Privileged access rights
A.8.3 Information access restriction
A.8.4 Access to source code
A.8.20 Networks Security
A.8.23 Web filtering</t>
  </si>
  <si>
    <t>Model Serving — Inference requests 9.10</t>
  </si>
  <si>
    <r>
      <rPr>
        <rFont val="DM Sans"/>
        <color rgb="FF000000"/>
        <u/>
      </rPr>
      <t>Model deployment and serving</t>
    </r>
  </si>
  <si>
    <t>Model Serving — Inference requests 9.10: Accidental exposure of unauthorized data to models</t>
  </si>
  <si>
    <t>In GenAI, large language models (LLMs)
are also becoming an integral part of the infrastructure and software applications. LLMs are being used to create more powerful online search, help software developers write
code, and even power chatbots that help with customer service. LLMs are being integrated with corporate databases and documents to enable powerful retrieval augmented generation (RAG) scenarios when LLMs are adapted to specific domains and use cases. For example: rows from a database or text from a PDF document that are intended to be summarized generically by the LLM. These scenarios in effect expose a new attack surface to potentially confidential and proprietary enterprise data that is not sufficiently secured or overprivileged, which can lead to use of unauthorized data as an input source to models. A similar risk exists for tabular data models that rely upon lookups to feature store tables at inference time.</t>
  </si>
  <si>
    <t>DASF 1
DASF 2
DASF 3
DASF 4
DASF 5
DASF 16
DASF 46
DASF 55
DASF 58
DASF 57
DASF 59
DASF 67</t>
  </si>
  <si>
    <t xml:space="preserve">•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that are used for RAG
• DASF 16: Secure model features to reduce the risk of malicious actors manipulating the features that feed into ML training
• DASF 46: Store and retrieve embeddings securely to integrate data objects for security-sensitive data that goes into LLMs as RAG inputs
• DASF 55: Monitor audit logs
• DASF 58: Protect data with filters and masking
• DASF 57: Use attribute-based access controls (ABAC)
• DASF 59: Use clean rooms to collaborate in a secure environment
• DASF 67: Federate authentication
</t>
  </si>
  <si>
    <t>• Unauthorised use of Model Input Data</t>
  </si>
  <si>
    <t>• Incident Response Costs
• Legal Fines
• Customer Retention</t>
  </si>
  <si>
    <r>
      <rPr>
        <rFont val="DM Sans"/>
        <color rgb="FF1155CC"/>
        <u/>
      </rPr>
      <t>AML.TA0013</t>
    </r>
    <r>
      <rPr>
        <rFont val="DM Sans"/>
      </rPr>
      <t>: Credential Access</t>
    </r>
  </si>
  <si>
    <r>
      <rPr>
        <rFont val="DM Sans"/>
        <color rgb="FF1155CC"/>
        <u/>
      </rPr>
      <t>ID: T1134.001</t>
    </r>
    <r>
      <rPr>
        <rFont val="DM Sans"/>
      </rPr>
      <t xml:space="preserve"> Token Impersonation/Theft 
</t>
    </r>
    <r>
      <rPr>
        <rFont val="DM Sans"/>
        <color rgb="FF1155CC"/>
        <u/>
      </rPr>
      <t>ID: T1087</t>
    </r>
    <r>
      <rPr>
        <rFont val="DM Sans"/>
      </rPr>
      <t xml:space="preserve"> Account Discovery
</t>
    </r>
    <r>
      <rPr>
        <rFont val="DM Sans"/>
        <color rgb="FF1155CC"/>
        <u/>
      </rPr>
      <t>ID: T1098</t>
    </r>
    <r>
      <rPr>
        <rFont val="DM Sans"/>
      </rPr>
      <t xml:space="preserve"> Account Manipulation
</t>
    </r>
    <r>
      <rPr>
        <rFont val="DM Sans"/>
        <color rgb="FF1155CC"/>
        <u/>
      </rPr>
      <t>ID: T1110</t>
    </r>
    <r>
      <rPr>
        <rFont val="DM Sans"/>
      </rPr>
      <t xml:space="preserve"> Brute Force
</t>
    </r>
    <r>
      <rPr>
        <rFont val="DM Sans"/>
        <color rgb="FF1155CC"/>
        <u/>
      </rPr>
      <t>ID: T1528</t>
    </r>
    <r>
      <rPr>
        <rFont val="DM Sans"/>
      </rPr>
      <t xml:space="preserve"> Steal Application Access Token</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</si>
  <si>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LLM10.2</t>
    </r>
    <r>
      <rPr>
        <rFont val="DM Sans"/>
      </rPr>
      <t xml:space="preserve">: Model Theft </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</si>
  <si>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</si>
  <si>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AC-2:Account Management,
AC-3:Access Enforcement,
AC-6:Least Privilege, 
SC-7:Boundary Protection, 
SC-28:Protection of Information at Rest, 
IR-8:Incident Response Plan</t>
  </si>
  <si>
    <t>Protects against accidental exposure by enforcing least privilege and secure access controls.</t>
  </si>
  <si>
    <t>Threats inherent to language models -&gt; Sensitive information disclosed in output</t>
  </si>
  <si>
    <t>Apply a RBAC model, respecting the least privileged principle.
Ensure ML applications comply with identity management, authentication, and access control policies.
Ensure ML applications comply with data security requirements.
Ensure appropriate protection is deployed for test environments.
Control all data used by the ML model.
Ensure reliable sources are used.</t>
  </si>
  <si>
    <t>A.5.16 Identity management
A.8.5 Secure authentication
A.5.18 Access rights
A.8.20 Networks Security
A.8.21 Security of network services
A.8.22 Segregation of networks
A.5.15 Access control
A.8.2 Privileged access rights
A.8.3 Information access restriction
A.8.4 Access to source code
A.8.11 Data masking
A.5.14 Information transfer
A.5.34 Privacy and protection of personal identifiable information (PII)</t>
  </si>
  <si>
    <t>Model Serving — Inference requests 9.11</t>
  </si>
  <si>
    <r>
      <rPr>
        <rFont val="DM Sans"/>
        <color rgb="FF000000"/>
        <u/>
      </rPr>
      <t>Model deployment and serving</t>
    </r>
  </si>
  <si>
    <t>Model Serving — Inference requests 9.11: Model Inference API Access</t>
  </si>
  <si>
    <t>Adversaries may gain access to a model via legitimate access to the inference API. Inference API access can be a source of information to the adversary (Discover ML Model Ontology, Discover ML Model Family), a means of staging the attack (Verify Attack, Craft Adversarial Data), or for introducing data to the target system for Impact (Evade ML Model, Erode ML Model Integrity).</t>
  </si>
  <si>
    <t>DASF 1
DASF 2
DASF 3
DASF 4
DASF 5
DASF 31
DASF 33
DASF 55
DASF 67</t>
  </si>
  <si>
    <t>• DASF 1: SSO with IdP and MFA to authenticate and limit who can access your data and AI platform
• DASF 2: Sync users and groups to inherit your organizational roles to authorize access to data
• DASF 3: Restrict access using IP access lists to limit IP addresses that can authenticate to your data and AI platform
• DASF 4: Restrict access using private link as a strong control that limits the source for inbound requests
• DASF 5: Control access to data and other objects for permissions model across all data assets to protect data and sources 
• DASF 31: Secure model serving endpoints 
• DASF 33: Manage credentials securely to prevent credentials of data sources used for model training from leaking through models
• DASF 55: Monitor audit logs
• DASF 67: Federate authentication</t>
  </si>
  <si>
    <t>• Breach of Confidential Proprietary Information or Trade Secrets
• Unauthorised Alteration of AI System Outputs
• Unauthorised Access to Private Information
• Unintended Model Outputs
• Reduced Organisation Trust in Model Effectiveness and Performance
• Failure to Achieve Organizational AI Strategy and Goals</t>
  </si>
  <si>
    <t>• Financial Loss
• Response Costs
• Loss of Competitive Advantage
• Customer Retention</t>
  </si>
  <si>
    <r>
      <rPr>
        <rFont val="DM Sans"/>
        <color rgb="FF1155CC"/>
        <u/>
      </rPr>
      <t>AML.TA0004</t>
    </r>
    <r>
      <rPr>
        <rFont val="DM Sans"/>
      </rPr>
      <t xml:space="preserve">: Initial Access
</t>
    </r>
    <r>
      <rPr>
        <rFont val="DM Sans"/>
        <color rgb="FF1155CC"/>
        <u/>
      </rPr>
      <t>AML.T0040</t>
    </r>
    <r>
      <rPr>
        <rFont val="DM Sans"/>
      </rPr>
      <t xml:space="preserve">: ML Model Inference API Access
</t>
    </r>
    <r>
      <rPr>
        <rFont val="DM Sans"/>
        <color rgb="FF1155CC"/>
        <u/>
      </rPr>
      <t>AML.T0012</t>
    </r>
    <r>
      <rPr>
        <rFont val="DM Sans"/>
      </rPr>
      <t xml:space="preserve">: Valid Accounts
</t>
    </r>
    <r>
      <rPr>
        <rFont val="DM Sans"/>
        <color rgb="FF1155CC"/>
        <u/>
      </rPr>
      <t>AML.T0015</t>
    </r>
    <r>
      <rPr>
        <rFont val="DM Sans"/>
      </rPr>
      <t xml:space="preserve">: Evade ML Model
</t>
    </r>
    <r>
      <rPr>
        <rFont val="DM Sans"/>
        <color rgb="FF1155CC"/>
        <u/>
      </rPr>
      <t>AML.T0055</t>
    </r>
    <r>
      <rPr>
        <rFont val="DM Sans"/>
      </rPr>
      <t>: Unsecured Credentials</t>
    </r>
  </si>
  <si>
    <r>
      <rPr>
        <rFont val="DM Sans"/>
        <color rgb="FF1155CC"/>
        <u/>
      </rPr>
      <t>ID: T1134.001</t>
    </r>
    <r>
      <rPr>
        <rFont val="DM Sans"/>
      </rPr>
      <t xml:space="preserve"> Token Impersonation/Theft 
</t>
    </r>
    <r>
      <rPr>
        <rFont val="DM Sans"/>
        <color rgb="FF1155CC"/>
        <u/>
      </rPr>
      <t>ID: T1087</t>
    </r>
    <r>
      <rPr>
        <rFont val="DM Sans"/>
      </rPr>
      <t xml:space="preserve"> Account Discovery
</t>
    </r>
    <r>
      <rPr>
        <rFont val="DM Sans"/>
        <color rgb="FF1155CC"/>
        <u/>
      </rPr>
      <t>ID: T1098</t>
    </r>
    <r>
      <rPr>
        <rFont val="DM Sans"/>
      </rPr>
      <t xml:space="preserve"> Account Manipulation
</t>
    </r>
    <r>
      <rPr>
        <rFont val="DM Sans"/>
        <color rgb="FF1155CC"/>
        <u/>
      </rPr>
      <t>ID: T1110</t>
    </r>
    <r>
      <rPr>
        <rFont val="DM Sans"/>
      </rPr>
      <t xml:space="preserve"> Brute Force
</t>
    </r>
    <r>
      <rPr>
        <rFont val="DM Sans"/>
        <color rgb="FF1155CC"/>
        <u/>
      </rPr>
      <t>ID: T1528</t>
    </r>
    <r>
      <rPr>
        <rFont val="DM Sans"/>
      </rPr>
      <t xml:space="preserve"> Steal Application Access Token</t>
    </r>
  </si>
  <si>
    <t>AC-1:Policy and Procedures, 
AC-2:Account Management,
AC-3:Access Enforcement,
AC-6:Least Privilege, 
AC-17:Remote Access, 
SC-7:Boundary Protection, 
SI-4:System Monitoring, 
SI-7:Software, Firmware, and Information Integrity</t>
  </si>
  <si>
    <t>Secure APIs through boundary protection and access controls to prevent unauthorized access.</t>
  </si>
  <si>
    <t>Apply a RBAC model, respecting the least privileged principle.
Ensure ML applications comply with identity management, authentication, and access control policies.
Ensure ML applications comply with protection policies and are integrated to security operations processes.</t>
  </si>
  <si>
    <t>A.5.16 Identity management
A.8.5 Secure authentication
A.5.18 Access rights
A.8.20 Networks Security
A.8.21 Security of network services
A.8.22 Segregation of networks
A.5.15 Access control
A.8.2 Privileged access rights
A.8.3 Information access restriction
A.8.4 Access to source code
A.8.20 Networks security
A.8.24 Use of cryptography
A.8.5 Secure Authentication
A.8.15 Logging
A.8.16 Monitoring Activities</t>
  </si>
  <si>
    <t>Model Serving — Inference requests 9.12</t>
  </si>
  <si>
    <r>
      <rPr>
        <rFont val="DM Sans"/>
        <color rgb="FF000000"/>
        <u/>
      </rPr>
      <t>Model deployment and serving</t>
    </r>
  </si>
  <si>
    <t>Model Serving — Inference requests 9.12: LLM Jailbreak</t>
  </si>
  <si>
    <t>An adversary may use a carefully crafted LLM Prompt Injection designed to place LLM in a state in which it will freely respond to any user input, bypassing any controls, restrictions, or guardrails placed on the LLM. Once successfully jailbroken, the LLM can be used in unintended ways by the adversary.</t>
  </si>
  <si>
    <t>DASF 1
DASF 2
DASF 3
DASF 4
DASF 5
DASF 31
DASF 33
DASF 54
DASF 55
DASF 64
DASF 67</t>
  </si>
  <si>
    <t>• DASF 1: SSO with IdP and MFA to authenticate and limit who can access your data and AI platform
• DASF 2: Sync users and groups to inherit your organizational roles to authorize access to data
• DASF 3: Restrict access using IP access lists to limit IP addresses that can authenticate to your data and AI platform
• DASF 4: Restrict access using private link as a strong control that limits the source for inbound requests
• DASF 5: Control access to data and other objects for permissions model across all data assets to protect data and sources 
• DASF 31: Secure model serving endpoints 
• DASF 33: Manage credentials securely to prevent credentials of data sources used for model training from leaking through models
• DASF 54: Implement AI guardrails
• DASF 55: Monitor audit logs
• DASF 64: Limit access from AI models and agents
• DASF 67: Federate authentication</t>
  </si>
  <si>
    <t>• Unauthorised Alteration of AI System Outputs
• Unintended Model Outputs</t>
  </si>
  <si>
    <t>• Regulatory Non-compliance
• Legal Fines
• Customer Retention</t>
  </si>
  <si>
    <r>
      <rPr>
        <rFont val="DM Sans"/>
        <color rgb="FF1155CC"/>
        <u/>
      </rPr>
      <t>AML.TA0004</t>
    </r>
    <r>
      <rPr>
        <rFont val="DM Sans"/>
      </rPr>
      <t xml:space="preserve">: Initial Access
</t>
    </r>
    <r>
      <rPr>
        <rFont val="DM Sans"/>
        <color rgb="FF1155CC"/>
        <u/>
      </rPr>
      <t>AML.T0054</t>
    </r>
    <r>
      <rPr>
        <rFont val="DM Sans"/>
      </rPr>
      <t>: LLM Jailbreak</t>
    </r>
  </si>
  <si>
    <r>
      <rPr>
        <rFont val="DM Sans"/>
        <color rgb="FF1155CC"/>
        <u/>
      </rPr>
      <t>ID: T1134.001</t>
    </r>
    <r>
      <rPr>
        <rFont val="DM Sans"/>
      </rPr>
      <t xml:space="preserve"> Token Impersonation/Theft 
</t>
    </r>
    <r>
      <rPr>
        <rFont val="DM Sans"/>
        <color rgb="FF1155CC"/>
        <u/>
      </rPr>
      <t>ID: T1087</t>
    </r>
    <r>
      <rPr>
        <rFont val="DM Sans"/>
      </rPr>
      <t xml:space="preserve"> Account Discovery
</t>
    </r>
    <r>
      <rPr>
        <rFont val="DM Sans"/>
        <color rgb="FF1155CC"/>
        <u/>
      </rPr>
      <t>ID: T1098</t>
    </r>
    <r>
      <rPr>
        <rFont val="DM Sans"/>
      </rPr>
      <t xml:space="preserve"> Account Manipulation
</t>
    </r>
    <r>
      <rPr>
        <rFont val="DM Sans"/>
        <color rgb="FF1155CC"/>
        <u/>
      </rPr>
      <t>ID: T1110</t>
    </r>
    <r>
      <rPr>
        <rFont val="DM Sans"/>
      </rPr>
      <t xml:space="preserve"> Brute Force
</t>
    </r>
    <r>
      <rPr>
        <rFont val="DM Sans"/>
        <color rgb="FF1155CC"/>
        <u/>
      </rPr>
      <t>ID: T1528</t>
    </r>
    <r>
      <rPr>
        <rFont val="DM Sans"/>
      </rPr>
      <t xml:space="preserve"> Steal Application Access Token</t>
    </r>
  </si>
  <si>
    <t>LLM01: Prompt Injection</t>
  </si>
  <si>
    <t>AC-2:Account Management,
AC-3:Access Enforcement,
AC-6:Least Privilege,
SI-4:System Monitoring, 
SI-10:Information Input Validation, 
SA-9:External System Services, 
CM:Configuration Management Family, 
SC-7:Boundary Protection, 
SC-32:System Partitioning, 
SC-39:Process Isolation</t>
  </si>
  <si>
    <t>Protects LLM endpoints against jailbreak attacks through input validation and access controls.</t>
  </si>
  <si>
    <t>Ensure ML applications comply with identity management, authentication, and access control policies.
Control all data used by the ML model".
Ensure ML applications comply with data security requirements.
Include ML applications into detection and response to security incident processes.
Define and monitor indicators for proper functioning of the model.</t>
  </si>
  <si>
    <t>A.9 Use of AI systems
A.9.2 Processes for responsible use of AI systems
A.9.3 Objectives for responsible use of AI system
A.9.4 Intended use of the AI system
A.6.2.6 AI system operation and monitoring
A.6.2.8 AI system recording of event logs</t>
  </si>
  <si>
    <t>Model Serving — Inference requests 9.13</t>
  </si>
  <si>
    <r>
      <rPr>
        <rFont val="DM Sans"/>
        <color rgb="FF000000"/>
        <u/>
      </rPr>
      <t>Model deployment and serving</t>
    </r>
  </si>
  <si>
    <t>Model Serving — Inference requests 9.13: Excessive agency</t>
  </si>
  <si>
    <t>Generative AI systems may undertake actions outside of the developer's intent, organizational policy, and/or legislative, regulatory, and contractual requirements, leading to unintended consequences. This issue is facilitated by excessive permissions, excessive functionality, excessive autonomy, poorly defined operational parameters or granting the AI system and/or AI Agents the ability to make decisions, access data sources and enterprise objects, or act on systems without human intervention or oversight.</t>
  </si>
  <si>
    <t>DASF 6
DASF 11
DASF 55
DASF 57
DASF 58
DASF 62
DASF 64</t>
  </si>
  <si>
    <t>• DASF 6: Classify data
• DASF 11: Capture and view data lineage
• DASF 55: Monitor audit logs
• DASF 57: Use attribute-based access controls (ABAC) 
• DASF 58: Protect data with filters and masking
• DASF 62: Implement network segmentation
• DASF 64: Limit access from AI models and agents</t>
  </si>
  <si>
    <t>• Unauthorised Alteration of AI System Outputs
• Unintended Model Outputs
• Subsequent Downstream System Impact or Compromise</t>
  </si>
  <si>
    <r>
      <rPr>
        <rFont val="DM Sans"/>
        <color rgb="FF1155CC"/>
        <u/>
      </rPr>
      <t>LLM08</t>
    </r>
    <r>
      <rPr>
        <rFont val="DM Sans"/>
      </rPr>
      <t>: Excessive Agency</t>
    </r>
  </si>
  <si>
    <t>AC-2:Account Management,
AC-3:Access Enforcement,
AC-6:Least Privilege,
AC-17:Remote Access, 
SC-7:Boundary Protection, 
SI-4:System Monitoring, 
SI-7:Software, Firmware, and Information Integrity, 
PM-9:Risk Management Strategy, 
PM-10:Authorization Process</t>
  </si>
  <si>
    <t>Threats inherent to language models -&gt; Excessive agency</t>
  </si>
  <si>
    <t>Apply a Role-Based Access Control (RBAC) model, respecting the least privilege principle.
Ensure ML applications comply with identity management, authentication, and access control policies.
Conduct a risk analysis of the ML application.
Ensure ML projects follow the global process for integrating security into projects.
Define and monitor indicators for proper functioning of the model.
Include ML applications into detection and response to security incident processes.</t>
  </si>
  <si>
    <t>A.7.4 Quality of data for AI systems
A.4.3 Data resources
A.7.3 Acquisition of data
A.6.2.6 AI system operation and monitoring
A.6.2.8 AI system recording of event logs</t>
  </si>
  <si>
    <t>A.5.12 Classification of information
A.8.15 Logging
A.8.16 Monitoring Activities
A.5.15 Access control
A.8.3 Information access restriction</t>
  </si>
  <si>
    <t>Model Serving — Inference response 10.1</t>
  </si>
  <si>
    <t>Model Serving — Inference response 10.1: Lack of audit and monitoring inference quality</t>
  </si>
  <si>
    <t>Effectively audit, track and assess the performance of machine learning models by monitoring inference tables to gain valuable insights into the model’s decision-making process and identify any discrepancies or anomalies. 
These tables should include the model’s user or system making the request, inputs, and the corresponding predictions or outputs. Monitoring the model serving endpoints provides real-time audit in operational settings.</t>
  </si>
  <si>
    <t>DASF 35
DASF 36
DASF 37
DASF 55</t>
  </si>
  <si>
    <t>• DASF 35: Track model performance to evaluate quality
• DASF 36: Set up monitoring alerts
• DASF 37: Set up inference tables for monitoring and debugging models to capture incoming requests and outgoing responses to your model serving endpoint and log them in a table. Afterward, you can use the data in this table to monitor, debug and improve ML models and decide if these inferences are of quality to use as input to model training.
• DASF 55: Monitor audit logs</t>
  </si>
  <si>
    <t>• False or Misleading Responses
• Reduced Organisation Trust in Model Effectiveness and Performance
• Unintended Model Outputs
• Inconsistent or Unexpected Model Predictions
• Poor Performance and Reliability of Predictions
• Erosion of Customer Trust
• Adversarial Data Drift
• Regulatory Non-compliance
• Failure to Achieve Organizational AI Strategy and Goals</t>
  </si>
  <si>
    <t>• Financial Loss
• Regulatory Fines and Judgement
• Legal Fines
• Customer Retention
• Direct Business Interruption
• Regulatory Fines and Judgement</t>
  </si>
  <si>
    <r>
      <rPr>
        <rFont val="DM Sans"/>
        <color rgb="FF1155CC"/>
        <u/>
      </rPr>
      <t>LLM03</t>
    </r>
    <r>
      <rPr>
        <rFont val="DM Sans"/>
      </rPr>
      <t xml:space="preserve">: Training Data Poisoning
</t>
    </r>
    <r>
      <rPr>
        <rFont val="DM Sans"/>
        <color rgb="FF1155CC"/>
        <u/>
      </rPr>
      <t>LLM10</t>
    </r>
    <r>
      <rPr>
        <rFont val="DM Sans"/>
      </rPr>
      <t>: Model Theft</t>
    </r>
  </si>
  <si>
    <r>
      <rPr>
        <rFont val="DM Sans"/>
        <color rgb="FF1155CC"/>
        <u/>
      </rPr>
      <t>ML03:2023</t>
    </r>
    <r>
      <rPr>
        <rFont val="DM Sans"/>
      </rPr>
      <t xml:space="preserve"> Model Inversion Attack 
ML08:2023 Model Skewing
ML09:2023 Output Integrity Attack</t>
    </r>
  </si>
  <si>
    <t xml:space="preserve">AU-2:Event Logging, 
AU-3:Content of Audit Records, 
AU-6:Audit Record Review, Analysis, and Reporting, 
CA-2:Control Assessments, 
CA-7:Continuous Monitoring </t>
  </si>
  <si>
    <t>Ensures auditability of model outputs and inference responses.</t>
  </si>
  <si>
    <t>Define and Monitor Indicators for Proper Functioning of the Model.
Ensure ML Applications Comply with Protection Policies and Are Integrated to Security Operations Processes.</t>
  </si>
  <si>
    <t>A.6.2.4 AI system verification and validation
A.6.2.6 AI system operation and monitoring
A.6.2.8 AI system recording of event logs
A.6.2.6 AI system operation and monitoring
A.6.2.8 AI system recording of event logs</t>
  </si>
  <si>
    <t>Model Serving — Inference response 10.2</t>
  </si>
  <si>
    <t>Model Serving — Inference response 10.2: Output manipulation</t>
  </si>
  <si>
    <t>An attacker can compromise a machine learning system by tweaking its output stream, also known as a man-in-the-middle attack. This is achieved by intercepting the data transmission between the model’s endpoint, which generates its predictions or outputs, and the intended receiver of this information. Such an attack poses a severe security threat, allowing the attacker to read or alter the communicated results, potentially leading to data leakage, misinformation or misguided actions based on manipulated data.</t>
  </si>
  <si>
    <t xml:space="preserve">DASF 30
DASF 31
DASF 32
DASF 60
</t>
  </si>
  <si>
    <t xml:space="preserve">• DASF 30: Encrypt models for model endpoints with encryption in transit
• DASF 31: Secure model serving endpoints 
• DASF 32: Streamline the usage and management of various large language model (LLM) providers to rate-limit inference queries allowed by the model. Then audit, reproduce and make your models more compliant.
• DASF 60: Rate limit number of inference queries to control capacity and ensure availability of the model serving
</t>
  </si>
  <si>
    <t>• Misinformation in AI System Outputs
• Misguided Actions in AI System Outputs
• Regulatory Non-compliance
• Failure to Achieve Organizational AI Strategy and Goals</t>
  </si>
  <si>
    <r>
      <rPr>
        <rFont val="DM Sans"/>
        <color rgb="FF1155CC"/>
        <u/>
      </rPr>
      <t>LLM01</t>
    </r>
    <r>
      <rPr>
        <rFont val="DM Sans"/>
      </rPr>
      <t xml:space="preserve">: Prompt Injection
</t>
    </r>
    <r>
      <rPr>
        <rFont val="DM Sans"/>
        <color rgb="FF1155CC"/>
        <u/>
      </rPr>
      <t>LLM02</t>
    </r>
    <r>
      <rPr>
        <rFont val="DM Sans"/>
      </rPr>
      <t xml:space="preserve">: Insecure Output Handling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LLM10</t>
    </r>
    <r>
      <rPr>
        <rFont val="DM Sans"/>
      </rPr>
      <t xml:space="preserve">: Model Theft </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</si>
  <si>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</si>
  <si>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SC-8:Transmission Confidentiality and Integrity, 
SC-16:Transmission of Security and Privacy Attributes, 
SC-23:Session Authenticity, 
SI-4:System Monitoring, 
SI-7:Software, Firmware, and Information Integrity</t>
  </si>
  <si>
    <t>Encryption and integrity mechanisms to protect against output manipulation during model inference responses.</t>
  </si>
  <si>
    <t>Apply a RBAC Model, Respecting the Least Privilege Principle.
Reduce the Available Information About the Model.
Reduce the Information Given by the Model.
Add Some Adversarial Examples to the Training Dataset.
Apply Modifications on Inputs.
Choose and Define a More Resilient Model Design
Implement Tools to Detect if a Data Point Is an Adversarial Example or Not.
Ensure that Models Respect Differential Privacy to a Sufficient Degree.</t>
  </si>
  <si>
    <t>A.4.4 Tooling resources
A.6.2.6 AI system operation and monitoring</t>
  </si>
  <si>
    <t>A.8.20 Networks security
A.8.24 Use of cryptography</t>
  </si>
  <si>
    <t>Model Serving — Inference response 10.3</t>
  </si>
  <si>
    <t xml:space="preserve">Model Serving — Inference response 10.3: Discover ML model ontology </t>
  </si>
  <si>
    <r>
      <t>Adversaries may aim to</t>
    </r>
    <r>
      <rPr>
        <rFont val="DM Sans"/>
        <color rgb="FF000000"/>
      </rPr>
      <t xml:space="preserve"> </t>
    </r>
    <r>
      <rPr>
        <rFont val="DM Sans"/>
        <color rgb="FF1155CC"/>
        <u/>
      </rPr>
      <t>uncover the ontology of a machine learning model’s</t>
    </r>
    <r>
      <rPr>
        <rFont val="DM Sans"/>
      </rPr>
      <t xml:space="preserve"> output space, such as identifying the range of objects or responses the model is designed to detect. This can be achieved through repeated queries to the model, which may force it to reveal its classification system or by accessing its configuration files or documentation. Understanding a model’s ontology allows adversaries to gain insights in designing targeted attacks that exploit specific vulnerabilities or characteristics.</t>
    </r>
  </si>
  <si>
    <t>DASF 1
DASF 2
DASF 3
DASF 4
DASF 5
DASF 24
DASF 28
DASF 30
DASF 31
DASF 32
DASF 37
DASF 60
DASF 67</t>
  </si>
  <si>
    <t>• DASF 1: SSO with IdP and MFA to limit who can access your data and AI platform
• DASF 2: Sync users and groups to inherit your organizational roles to access data
 to restrict IP addresses 
• DASF 3: IP access lists to restrict the IP addresses that can authenticate to Databricks 
• DASF 4: Restrict access using private link as strong controls that limit the source for inbound requests
• DASF 5: Unity Catalog privileges and securable objects for permissions model across all data assets to protect data and sources 
• DASF 24: Protect model assets, lifecycle and security with UC in MLflow Model Registry 
• DASF 28: Create and model aliases, tags and annotations in Unity Catalog for documenting and discovering models
• DASF 30: Encrypt models
• DASF 31: Secure serving endpoint with Model Serving
• DASF 32: Streamline the usage and management of various large language model (LLM) providers and rate-limit inference queries allowed by the model. The most reliable mitigation is to always treat all LLM productions as potentially malicious and under the control of any entity that has been able to inject text into the LLM user’s input. Implement gates between users/callers and the actual model by performing input validation on all proposed queries, rejecting anything not meeting the model’s definition of input correctness, and returning only the minimum amount of information needed to be useful.
• DASF 37: Set up inference tables for monitoring and debugging models
• DASF 60: Rate limit number of inference queries to control capacity and ensure availability of the model serving
• DASF 67: Federate authentication</t>
  </si>
  <si>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LLM10.2</t>
    </r>
    <r>
      <rPr>
        <rFont val="DM Sans"/>
      </rPr>
      <t xml:space="preserve">: Model Theft </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</si>
  <si>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</si>
  <si>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AC-3:Access Enforcement,
AC-6:Least Privilege, 
AU-2:Event Logging, 
SI-10:Information Input Validation</t>
  </si>
  <si>
    <t>Protects against unauthorized discovery of ML model ontology through access control and encryption mechanisms.</t>
  </si>
  <si>
    <t>Reduce the Available Information About the Model.
Reduce the Information Given by the Model.
Ensure that Models Respect Differential Privacy to a Sufficient Degree.
Applying a RBAC model, respecting the least privilege principle.
Regular Security Audits and Penetration Testing.</t>
  </si>
  <si>
    <t>A.4.2 Resource documentation
A.4.3 Data resources
A.6.2.6 AI system operation and monitoring
A.4.4 Tooling resources
A.6.2.8 AI system recording of event logs</t>
  </si>
  <si>
    <t>A.5.16 Identity management
A.8.5 Secure authentication
A.5.18 Access rights
A.8.20 Networks Security
A.8.21 Security of network services
A.8.22 Segregation of networks
A.5.15 Access control
A.8.2 Privileged access rights
A.8.3 Information access restriction
A.8.4 Access to source code
A.8.20 Networks security
A.8.24 Use of cryptography
A.8.20 Networks security
A.8.24 Use of cryptography</t>
  </si>
  <si>
    <t>Model Serving — Inference response 10.4</t>
  </si>
  <si>
    <t>Model Serving — Inference response 10.4: Discover ML model family</t>
  </si>
  <si>
    <t>Adversaries targeting machine learning systems may strive to identify the general family or type of the model in use. Attackers can obtain this information from documentation that describes the model or through analyzing responses from carefully constructed inputs. Knowledge of the model’s family is crucial for crafting attacks tailored to exploit the identified weaknesses of the model.</t>
  </si>
  <si>
    <t>DASF 1
DASF 2
DASF 3
DASF 4
DASF 5
DASF 24
DASF 28
DASF 30
DASF 31
DASF 32
DASF 37
DASF 45
DASF 60
DASF 67</t>
  </si>
  <si>
    <t>•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 DASF 28: Create model aliases, tags and annotations
• DASF 30: Encrypt models
• DASF 31: Secure model serving endpoints 
• DASF 32: Streamline the usage and management of various large language model (LLM) providers and rate-limit inference queries allowed by the model.
Designing robust prompts can help mitigate attacks such as jailbreaking.
Implement gates between users/callers and the actual model by performing input validation post-processing on all proposed queries, rejecting anything not meeting the model’s definition of input correctness, and returning only the minimum amount of information needed to be useful.
Open source and commercial solutions provide a variety of modules including prompt and output scanners for various responsible AI or jailbreaking attacks.
• DASF 37: Set up inference tables for monitoring and debugging models
• DASF 45: Evaluate models for custom evaluation metrics
• DASF 60: Rate limit number of inference queries to control capacity and ensure availability of the model serving
• DASF 67: Federate authentication</t>
  </si>
  <si>
    <r>
      <rPr>
        <rFont val="DM Sans"/>
        <color rgb="FF1155CC"/>
        <u/>
      </rPr>
      <t>AML.T0014</t>
    </r>
    <r>
      <rPr>
        <rFont val="DM Sans"/>
      </rPr>
      <t>: Discover ML Model Family</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</si>
  <si>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LLM10.2</t>
    </r>
    <r>
      <rPr>
        <rFont val="DM Sans"/>
      </rPr>
      <t xml:space="preserve">: Model Theft </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</si>
  <si>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</si>
  <si>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AC-3:Access Enforcement,
AC-6:Least Privilege,
AC-17:Remote Access, 
SC-7:Boundary Protection, 
SC-28:Protection of Information at Rest, 
SC-29:Heterogeneity, 
AU-2:Event Logging, 
AU-6:Audit Record Review, Analysis, and Reporting, 
CM-2:Baseline Configuration, 
CM-6:Configuration Settings</t>
  </si>
  <si>
    <t>Protects against attackers attempting to discover the family of the machine learning model via strict access controls and encryption of model assets.</t>
  </si>
  <si>
    <t>Reduce the Information Given by the Model.
Apply Modifications on Inputs.</t>
  </si>
  <si>
    <t>A.4.2 Resource documentation
A.4.3 Data resources
A.6.2.6 AI system operation and monitoring
A.4.4 Tooling resources
A.6.2.8 AI system recording of event logs
A.6.1.2 Objectives for responsible development of AI system
A.6.1.3 Processes for responsible AI system design and development
A.6.2.4 AI system verification and validation</t>
  </si>
  <si>
    <t>Model Serving — Inference response 10.5</t>
  </si>
  <si>
    <t>Model Serving — Inference response 10.5: Black-box attacks</t>
  </si>
  <si>
    <r>
      <t>Public or compromised private model serving connectors (e.g., API interfaces) are vulnerable to black-box attacks. Although black-box attacks generally require more trial-and-error attempts (inferences), they are notable for requiring significantly less access to the target system. Successful</t>
    </r>
    <r>
      <rPr>
        <rFont val="DM Sans"/>
        <color rgb="FF000000"/>
      </rPr>
      <t xml:space="preserve"> </t>
    </r>
    <r>
      <rPr>
        <rFont val="DM Sans"/>
        <color rgb="FF1155CC"/>
        <u/>
      </rPr>
      <t>black-box attacks</t>
    </r>
    <r>
      <rPr>
        <rFont val="DM Sans"/>
      </rPr>
      <t xml:space="preserve"> quickly erode trust in enterprises serving the model connectors.</t>
    </r>
  </si>
  <si>
    <t xml:space="preserve">• DASF 30: Encrypt models for model endpoints with encryption in transit
• DASF 31: Secure model serving endpoints
• DASF 32: Streamline the usage and management of various large language model (LLM) providers to rate-limit inference queries allowed by the model. Then audit, reproduce and make your models more compliant.
• DASF 60: Rate limit number of inference queries to control capacity and ensure availability of the model serving
</t>
  </si>
  <si>
    <t>• Disruption of Business Operations and Service Availability
• Cyber Security Incident
• Loss of AI System Integrity
• Regulatory Non-compliance
 Failure to Achieve Organizational AI Strategy and Goals</t>
  </si>
  <si>
    <t>• Financial Loss
• Response Costs
• Direct Business Interruption
• Legal Fines
• Customer Retention
• Regulatory Fines and Judgement</t>
  </si>
  <si>
    <r>
      <rPr>
        <rFont val="DM Sans"/>
        <color rgb="FF1155CC"/>
        <u/>
      </rPr>
      <t>LLM01</t>
    </r>
    <r>
      <rPr>
        <rFont val="DM Sans"/>
      </rPr>
      <t xml:space="preserve">: Prompt Injection
</t>
    </r>
    <r>
      <rPr>
        <rFont val="DM Sans"/>
        <color rgb="FF1155CC"/>
        <u/>
      </rPr>
      <t>LLM02</t>
    </r>
    <r>
      <rPr>
        <rFont val="DM Sans"/>
      </rPr>
      <t xml:space="preserve">: Insecure Output Handling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LLM10</t>
    </r>
    <r>
      <rPr>
        <rFont val="DM Sans"/>
      </rPr>
      <t xml:space="preserve">: Model Theft </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</si>
  <si>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</si>
  <si>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AC-6:Least Privilege,
AC-17:Remote Access, 
SC-7:Boundary Protection, 
SC-8:Transmission Confidentiality and Integrity, 
SC-28:Protection of Information at Rest, 
AU-2:Event Logging, 
AU-6:Audit Record Review, Analysis, and Reporting, 
CM-2:Baseline Configuration,
CM-7:Least Functionality,
SI-4:System Monitoring</t>
  </si>
  <si>
    <t>Prevents black-box attacks by enforcing strong access control, encryption, and integrity monitoring for ML serving systems.</t>
  </si>
  <si>
    <t>Reduce the Available Information About the Model.
Reduce the Information Given by the Model.
Apply Modifications on Inputs.
Implement Tools to Detect If a Data Point is an Adversarial Example or Not.
Choose and Define a More Resilient Model Design.</t>
  </si>
  <si>
    <t>Model Serving — Inference response 10.6</t>
  </si>
  <si>
    <t>Model Serving — Inference response 10.6: Sensitive data output from a model</t>
  </si>
  <si>
    <t>Without proper guardrails, generative AI outputs can contain confidential and/or sensitive information included in the model’s training dataset, RAG data sources, or data residing in data sources that the AI system is connected to (e.g., through language model tools such as agents or plugins). Examples of such information include that which is covered under data protection laws and regulations (e.g., personally identifiable information, protected health information, cardholder data) and corporate secrets.</t>
  </si>
  <si>
    <t xml:space="preserve">DASF 58
DASF 31
DASF 32
DASF 37
DASF 54
DASF 60
</t>
  </si>
  <si>
    <t xml:space="preserve">• DASF 58: Protect data with filters and masking
• DASF 31: Secure model serving endpoints
• DASF 32: Streamline the usage and management of various large language model (LLM) providers to rate-• limit inference queries allowed by the model. Then audit, reproduce and make your models more compliant.
• DASF 37: Set up inference tables for monitoring and debugging prompts and responses
• DASF 54: Implement LLM guardrails
• DASF 60: Rate limit number of inference queries to control capacity and ensure availability of the model serving
</t>
  </si>
  <si>
    <t>• Unauthorised Access to Customer Data
• Unauthorised Access to Training Data 
• Data Breach
• Model Theft
• Regulatory non-compliance
• Loss of Data Integrity</t>
  </si>
  <si>
    <t>• Financial Loss
• Customer Retention
• Legal fines
• Regulatory Fines and Judgement
• Data Misuse
• Loss of Competitive Advantage
• Proprietary Data Loss</t>
  </si>
  <si>
    <r>
      <rPr>
        <rFont val="DM Sans"/>
        <color rgb="FF1155CC"/>
        <u/>
      </rPr>
      <t>AML.T0056</t>
    </r>
    <r>
      <rPr>
        <rFont val="DM Sans"/>
      </rPr>
      <t xml:space="preserve">: LLM Meta Prompt Extraction
</t>
    </r>
    <r>
      <rPr>
        <rFont val="DM Sans"/>
        <color rgb="FF1155CC"/>
        <u/>
      </rPr>
      <t>AML.T0057</t>
    </r>
    <r>
      <rPr>
        <rFont val="DM Sans"/>
      </rPr>
      <t>: LLM Data Leakage</t>
    </r>
  </si>
  <si>
    <r>
      <rPr>
        <rFont val="DM Sans"/>
        <color rgb="FF1155CC"/>
        <u/>
      </rPr>
      <t>LLM01</t>
    </r>
    <r>
      <rPr>
        <rFont val="DM Sans"/>
      </rPr>
      <t xml:space="preserve">: Prompt Injection
</t>
    </r>
    <r>
      <rPr>
        <rFont val="DM Sans"/>
        <color rgb="FF1155CC"/>
        <u/>
      </rPr>
      <t>LLM02</t>
    </r>
    <r>
      <rPr>
        <rFont val="DM Sans"/>
      </rPr>
      <t xml:space="preserve">: Insecure Output Handling
</t>
    </r>
    <r>
      <rPr>
        <rFont val="DM Sans"/>
        <color rgb="FF1155CC"/>
        <u/>
      </rPr>
      <t>LLM06</t>
    </r>
    <r>
      <rPr>
        <rFont val="DM Sans"/>
      </rPr>
      <t>: Sensitive Information Disclosure</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</si>
  <si>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</si>
  <si>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AC-3:Access Enforcement,
AC-17:Remote Access, 
SC-7:Boundary Protection, 
SC-8:Transmission Confidentiality and Integrity, 
SC-28:Protection of Information at Rest, 
AU-2:Event Logging, 
AU-6:Audit Record Review, Analysis, and Reporting,  
AU-9:Protection of Audit Information, 
CM-2:Baseline Configuration, 
CM-6:Configuration Settings, 
CM-7:Least Functionality, 
SI-12:Information Management and Retention, 
SI-19:De-identification</t>
  </si>
  <si>
    <t xml:space="preserve">Threats inherent to language models -&gt; Sensitive information disclosed in output
</t>
  </si>
  <si>
    <t>Reduce the Information Given by the Model.
Reduce the Available Information About the Model.
Ensure that models respect differential privacy to a sufficient degree.
Use Federated Learning to Minimize Risk of Data Breaches.</t>
  </si>
  <si>
    <t>A.8.11 Data masking
A.8.20 Networks security
A.8.24 Use of cryptography</t>
  </si>
  <si>
    <t>Operations 11.1</t>
  </si>
  <si>
    <t>Operations and Platform</t>
  </si>
  <si>
    <t>Operations 11.1: Lack of MLOps — repeatable enforced standards</t>
  </si>
  <si>
    <t>Operationalizing an ML solution requires joining data from predictions, monitoring and feature tables with other relevant data. 
Duplicating data, moving AI assets, and driving governance and tracking across these stages may represent roadblocks to practitioners who would rather shortcut security controls to deliver their solution. Many organizations will find that the simplest way to securely combine ML solutions, input data and feature tables is to leverage the same platform that manages other production data.
An ML solution comprises data, code and models. These assets must be developed, tested (staging) and deployed (production). For each of these stages, we also need to operate within an execution environment. Security is an essential component of all MLOps lifecycle stages. It ensures the complete lifecycle meets the required standards by keeping the distinct execution environments — development, staging and production.</t>
  </si>
  <si>
    <t>DASF 42
DASF 45
DASF 44</t>
  </si>
  <si>
    <t xml:space="preserve">• DASF 42: Data-centric MLOps and LLMOps. MLOps best practices: separate environments by workspace and schema, promote models with code, MLOps Stacks for repeatable ML infra across environments
• DASF 45: Evaluate models to capture performance insights for language models
• DASF 44: Trigger actions in response to a specific event to trigger automated jobs to keep human-in-the-loop (HITL) </t>
  </si>
  <si>
    <t>• Cyber Security Incident
• Loss of AI System Integrity
• Poor Performance and Reliability of Predictions
• Erosion of Customer Trust
• Reduced Organisation Trust in Model Effectiveness and Performance
• Regulatory Non-compliance
• Failure to Achieve Organizational AI Strategy and Goals</t>
  </si>
  <si>
    <r>
      <rPr>
        <rFont val="DM Sans"/>
        <color rgb="FF1155CC"/>
        <u/>
      </rPr>
      <t>AML.T0010.001</t>
    </r>
    <r>
      <rPr>
        <rFont val="DM Sans"/>
      </rPr>
      <t xml:space="preserve"> Compromise ML Software supply chain</t>
    </r>
  </si>
  <si>
    <r>
      <rPr>
        <rFont val="DM Sans"/>
        <color rgb="FF1155CC"/>
        <u/>
      </rPr>
      <t>LLM03</t>
    </r>
    <r>
      <rPr>
        <rFont val="DM Sans"/>
      </rPr>
      <t xml:space="preserve">: Training Data Poisoning
</t>
    </r>
    <r>
      <rPr>
        <rFont val="DM Sans"/>
        <color rgb="FF1155CC"/>
        <u/>
      </rPr>
      <t>LLM05</t>
    </r>
    <r>
      <rPr>
        <rFont val="DM Sans"/>
      </rPr>
      <t xml:space="preserve">: Supply Chain Vulnerabilities
</t>
    </r>
    <r>
      <rPr>
        <rFont val="DM Sans"/>
        <color rgb="FF1155CC"/>
        <u/>
      </rPr>
      <t>LLM10</t>
    </r>
    <r>
      <rPr>
        <rFont val="DM Sans"/>
      </rPr>
      <t>: Model Theft</t>
    </r>
  </si>
  <si>
    <r>
      <rPr>
        <rFont val="DM Sans"/>
        <color rgb="FF1155CC"/>
        <u/>
      </rPr>
      <t>ML08:2023</t>
    </r>
    <r>
      <rPr>
        <rFont val="DM Sans"/>
      </rPr>
      <t xml:space="preserve"> Model Skewing</t>
    </r>
  </si>
  <si>
    <t>CM-2:Baseline Configuration, 
CM-3:Configuration Change Control, 
CM-6:Configuration Settings, 
SI-7:Software, Firmware, and Information Integrity, 
SI-12:Information Management and Retention, 
PM-1:Information Security Program Plan, 
PM-14:Testing, Training, and Monitoring, 
PL-2:System Security and Privacy Plans, 
PL-4:Rules of Behavior</t>
  </si>
  <si>
    <t>Enforces MLOps standards by ensuring configuration management, integrity, and traceability across machine learning environments.</t>
  </si>
  <si>
    <t>Ensure ML Projects Follow the Global Process for Integrating Security into Projects.
Implement Processes to Maintain Security Levels of ML Components Over Time.
Ensure ML Applications Comply with Protection Policies and are Integrated to Security Operations Processes.
Integrate ML Specificities to Awareness Strategy and Ensure All ML Stakeholders are Receiving it.</t>
  </si>
  <si>
    <t xml:space="preserve">A.6.2 AI system life cycle
A.6.2.2 AI system requirements and specification
A.6.2.3 Documentation of AI system design and development
A.6.2.4 AI system verification and validation
A.6.2.5 AI system deployment
A.6.2.6 AI system operation and monitoring
A.6.2.8 AI system recording of event logs
A.7 Data for AI systems
A.7.2 Data for development and enhancement of AI system
A.7.3 Acquisition of data
A.7.4 Quality of data for AI systems
A.7.5 Data provenance
A.7.6 Data preparation
A.6.1.2 Objectives for responsible development of AI system
A.6.1.3 Processes for responsible AI system design and development
</t>
  </si>
  <si>
    <t>A.8.16 Monitoring Activities</t>
  </si>
  <si>
    <t>Platform 12.1</t>
  </si>
  <si>
    <t>Platform 12.1: Lack of vulnerability management</t>
  </si>
  <si>
    <t>Detecting and promptly addressing software vulnerabilities in systems that support data and AI/ML operations is a critical responsibility for software and service providers. Attackers do not necessarily need to target AI/ML algorithms directly; compromising the layers underlying AI/ML systems is often easier. Therefore, adhering to traditional security threat mitigation practices, such as a secure software development lifecycle, is essential across all software layers.</t>
  </si>
  <si>
    <t>DASF 38
DASF 63</t>
  </si>
  <si>
    <t>• DASF 38: Platform security — penetration testing, red teaming, bug bounty and vulnerability management
• DASF 63: Update software</t>
  </si>
  <si>
    <t>• Technical Vulnerabilities within AI Systems
• Cyber Security Incident
• Compromise of AI Systems
• Regulatory Non-compliance
• Failure to Achieve Organizational AI Strategy and Goals</t>
  </si>
  <si>
    <r>
      <rPr>
        <rFont val="DM Sans"/>
        <color rgb="FF1155CC"/>
        <u/>
      </rPr>
      <t>T1578</t>
    </r>
    <r>
      <rPr>
        <rFont val="DM Sans"/>
      </rPr>
      <t xml:space="preserve"> Modify Cloud Compute Infrastructure
</t>
    </r>
    <r>
      <rPr>
        <rFont val="DM Sans"/>
        <color rgb="FF1155CC"/>
        <u/>
      </rPr>
      <t>T1601</t>
    </r>
    <r>
      <rPr>
        <rFont val="DM Sans"/>
      </rPr>
      <t xml:space="preserve"> Modify System Image </t>
    </r>
  </si>
  <si>
    <t>RA-3:Risk Assessment, 
RA-5:Vulnerability Monitoring and Scanning, 
SI-2:Flaw Remediation, 
CM-7:Least Functionality</t>
  </si>
  <si>
    <t>Ensures vulnerability management through continuous scanning, risk assessments, and patching for ML systems.</t>
  </si>
  <si>
    <t>Ensure ML Projects Follow the Global Process for Integrating Security into Projects.
Implement Processes to Maintain Security Levels of ML Components Over Time.
Check the Vulnerabilities of the Components Used so that they have an Appropriate Security Level.</t>
  </si>
  <si>
    <t>A.8.29 Security testing in development
and acceptance
A.8.8 Management of technical vulnerabilities</t>
  </si>
  <si>
    <t>Article 15.1: Accuracy, Robustness and Cybersecurity</t>
  </si>
  <si>
    <t xml:space="preserve">Platform 12.2
</t>
  </si>
  <si>
    <t>Platform 12.2: Lack of penetration testing, red teaming and bug bounty</t>
  </si>
  <si>
    <r>
      <rPr>
        <rFont val="DM Sans"/>
        <color rgb="FF000000"/>
      </rPr>
      <t xml:space="preserve">Penetration testing and bug bounty programs are vital in securing software that supports data and AI/ML operations. Unlike in direct attacks on AI/ML algorithms, adversaries often target underlying software risks, such as </t>
    </r>
    <r>
      <rPr>
        <rFont val="DM Sans"/>
        <color rgb="FF000000"/>
        <u/>
      </rPr>
      <t>the OWASP Top 10</t>
    </r>
    <r>
      <rPr>
        <rFont val="DM Sans"/>
        <color rgb="FF000000"/>
      </rPr>
      <t xml:space="preserve">. These foundational software layers are generally more prone to attacks than the AI/ML components.  </t>
    </r>
    <r>
      <rPr>
        <rFont val="DM Sans"/>
        <color rgb="FF1155CC"/>
        <u/>
      </rPr>
      <t>AI red teaming, especially for large language models, is an important component of developing and deploying models safely.</t>
    </r>
    <r>
      <rPr>
        <rFont val="DM Sans"/>
        <color rgb="FF000000"/>
      </rPr>
      <t xml:space="preserve">
Penetration testing involves skilled experts actively seeking and exploiting weaknesses, mimicking real attack scenarios. Bug bounty programs encourage external ethical hackers to find and report vulnerabilities, rewarding them for their discoveries. This combination of internal and external security testing enhances overall system protection, safeguarding the integrity of AI/ML infrastructures against cyber threats.</t>
    </r>
  </si>
  <si>
    <t>DASF 39</t>
  </si>
  <si>
    <t>• DASF 39: Platform Security — Penetration testing and bug bounty to build, deploy and monitor ML/AI models on a platform that takes responsibility seriously and shares remediation timeline commitments. A bug bounty program removes a barrier researchers face in working with Databricks.</t>
  </si>
  <si>
    <t>• Undiscovered Technical Vulnerabilities within AI Systems
• Cyber Security Incident
• Compromise of AI Systems
• Regulatory Non-compliance
• Failure to Achieve Organizational AI Strategy and Goals</t>
  </si>
  <si>
    <r>
      <rPr>
        <rFont val="DM Sans"/>
        <color rgb="FF1155CC"/>
        <u/>
      </rPr>
      <t>T1578</t>
    </r>
    <r>
      <rPr>
        <rFont val="DM Sans"/>
      </rPr>
      <t xml:space="preserve"> Modify Cloud Compute Infrastructure
</t>
    </r>
    <r>
      <rPr>
        <rFont val="DM Sans"/>
        <color rgb="FF1155CC"/>
        <u/>
      </rPr>
      <t>T1601</t>
    </r>
    <r>
      <rPr>
        <rFont val="DM Sans"/>
      </rPr>
      <t xml:space="preserve"> Modify System Image </t>
    </r>
  </si>
  <si>
    <t>RA-5:Vulnerability Monitoring and Scanning, 
CA-7:Continuous Monitoring, 
SI-2:Flaw Remediation, 
AT-2:Literacy Training and Awareness, 
SA-11:Developer Testing and Evaluation</t>
  </si>
  <si>
    <t>Establishes testing and monitoring through penetration testing and security assessments to identify vulnerabilities.</t>
  </si>
  <si>
    <t>Ensure ML Projects Follow the Global Process for Integrating Security into Projects.
Implement Processes to Maintain Security Levels of ML Components Over Time.
Integrate ML Specificities to Awareness Strategy and Ensure All ML Stakeholders are Receiving it.</t>
  </si>
  <si>
    <t>A.3.3 Reporting of concerns</t>
  </si>
  <si>
    <t>A.5.24 Information security incident
management planning and preparation
A.5.25 Assessment and decision on in-
formation security events
A.5.26 Response to Information Security
incidents
A.5.27 Learning from Information Security Incidents
A.5.28 Collection of evidence
A.6.8 Information security event reporting</t>
  </si>
  <si>
    <t>Platform 12.3</t>
  </si>
  <si>
    <t>Platform 12.3: Lack of incident response</t>
  </si>
  <si>
    <t>AI/ML applications are mission-critical for business. Your chosen platform vendor must address security issues in machine learning operations quickly and effectively. The program should combine automated monitoring with manual analysis to address general and ML-specific threats.</t>
  </si>
  <si>
    <t>• DASF 39: Platform Security — Incident Response Team</t>
  </si>
  <si>
    <t>• Inability to Respond to Cyber Security Events
• Inability to Respond to Incidents
• Delayed Response to Cyber Security Events
• Delayed Response to Incidents or System Outages
• Regulatory Non-compliance
• Failure to Achieve Organizational AI Strategy and Goals</t>
  </si>
  <si>
    <t>IR-1:Policy and Procedures, 
IR-2:Incident Response Training, 
IR-3:Incident Response Testing, 
IR-4:Incident Handling, 
IR-8:Incident Response Plan, 
SI-4:System Monitoring, 
AU-6:Audit Record Review, Analysis, and Reporting, 
CA-7:Continuous Monitoring</t>
  </si>
  <si>
    <t>Establishes incident response plans and continuous monitoring of systems to detect and handle security incidents.</t>
  </si>
  <si>
    <t>Ensure ML Projects Follow the Global Process for Integrating Security into Projects.
Include ML Applications in Detection and Response to Security Incident Processes.
Integrate ML Specificities to Awareness Strategy and Ensure All ML Stakeholders are Receiving it.
Cybersecurity Incident Not Reported to Incident Response Teams.</t>
  </si>
  <si>
    <t>Platform 12.4</t>
  </si>
  <si>
    <t xml:space="preserve">Platform 12.4: Unauthorized privileged access </t>
  </si>
  <si>
    <t>A significant security threat in machine learning platforms arises from malicious internal actors, such as employees or contractors. These individuals might gain unauthorized access to private training data or ML models, posing a grave risk to the integrity and confidentiality of the assets. Such unauthorized access can lead to data breaches, leakage of sensitive or proprietary information, business process abuses, and potential sabotage of the ML systems. Implementing stringent internal security measures and monitoring protocols is critical to mitigate insider risks from the platform vendor.</t>
  </si>
  <si>
    <t>DASF 40</t>
  </si>
  <si>
    <t>• DASF 40: Platform Security — Internal access</t>
  </si>
  <si>
    <t>• Cyber Security Incident
• Loss of AI System Integrity
• Disruption of Business Operations and Service Availability
• Unauthorised Access to Customer Data
• Unauthorised Access to Training Data 
• Data breach
• Breach of Legal Obligations
• Breach of Regulatory Obligations
• Regulatory non-compliance
• Loss of data integrity</t>
  </si>
  <si>
    <r>
      <rPr>
        <rFont val="DM Sans"/>
        <color rgb="FF1155CC"/>
        <u/>
      </rPr>
      <t>ML08:2023</t>
    </r>
    <r>
      <rPr>
        <rFont val="DM Sans"/>
      </rPr>
      <t xml:space="preserve"> Model Skewing</t>
    </r>
  </si>
  <si>
    <t>AC-2:Account Management,
AC-3:Access Enforcement,
AC-6:Least Privilege,
PS-2:Position Risk Designation, 
PS-3:Personnel Screening, 
AT-2:Literacy Training and Awareness</t>
  </si>
  <si>
    <t>Enforces least privilege, strong identification, and authentication mechanisms to protect against unauthorized privileged access.</t>
  </si>
  <si>
    <t>Apply a Role-Based Access Control (RBAC) Model, Respecting the Least Privilege Principle.
Ensure ML Applications Comply with Identity Management, Authentication, and Access Control Policies.
Reduce the Available Information about the Model.
Reduce the Information Given by the Model.
Integrate ML Specificities to Awareness Strategy and Ensure All ML Stakeholders are Receiving it.</t>
  </si>
  <si>
    <t>A.8.2 Privileged access rights</t>
  </si>
  <si>
    <t>Platform 12.5</t>
  </si>
  <si>
    <t>Platform 12.5: Poor security in the software development lifecycle</t>
  </si>
  <si>
    <t>Software platform security is an important part of any progressive security program. ML hackers have shown that they don’t need to know sophisticated AI/ML concepts to compromise a system. Hackers have busied themselves with exposing and exploiting bugs in a platform where AI is built as those systems are well known to them. The security of AI depends on the platform’s security.</t>
  </si>
  <si>
    <t>DASF 41</t>
  </si>
  <si>
    <t>• DASF 41: Platform Security — Secure SDLC</t>
  </si>
  <si>
    <t>• Supply Chain Attack
• Cyber Security Incident
• Loss of AI System Availability
• Loss of AI System Integrity
• Data Breach
• Regulatory Non-compliance</t>
  </si>
  <si>
    <t>• Financial Loss
• Response Costs
• Legal Fines
• Customer Retention
• Regulatory Fines and Judgement
• Direct Business Interruption</t>
  </si>
  <si>
    <t>SA-3:System Development Life Cycle, 
SA-4:Acquisition Process, 
SA-8:Security and Privacy Engineering Principles, 
SA-11:Developer Testing and Evaluation, 
SA-21:Developer Screening, 
SI-7:Software, Firmware, and Information Integrity, 
CM-7:Least Functionality, 
RA-3:Risk Assessment, 
SR-3:Supply Chain Controls and Processes</t>
  </si>
  <si>
    <t>Ensures security in SDLC processes by incorporating secure design, coding, and validation of ML systems.</t>
  </si>
  <si>
    <t>Ensure ML Projects Follow the Global Process for Integrating Security into Projects.
Check the Vulnerabilities of the Components Used so that they Have an Appropriate Security Level.
Integrate ML Specificities to Existing Security Policies.
Ensure ML Applications Comply with Security Policies.</t>
  </si>
  <si>
    <t xml:space="preserve">A.6.3 Information security awareness,
education and training
A.8.4 Access to source code
A.8.25 Secure development life cycle
A.8.26 Application security require-
ments
A.8.27 Secure system architecture and
engineering principles
A.8.28 Secure coding
</t>
  </si>
  <si>
    <t>Platform 12.6</t>
  </si>
  <si>
    <t>Platform 12.6: Lack of compliance</t>
  </si>
  <si>
    <t>As AI applications become prevalent, they are increasingly subject to scrutiny and regulations, such as the General Data Protection Regulation (GDPR) in the European Union and the California Consumer Privacy Act (CCPA) in the United States. Navigating these regulations can be complex, particularly regarding data privacy and user rights. Utilizing a compliance-certified platform can be a significant advantage for organizations. These platforms are specifically designed to meet regulatory standards, providing essential tools and resources to help organizations build and deploy AI applications that are compliant with these laws. By leveraging such platforms, organizations can more effectively address regulatory compliance challenges, ensuring their AI initiatives align with legal requirements and best practices for data protection.</t>
  </si>
  <si>
    <t>DASF 50</t>
  </si>
  <si>
    <t>• DASF 50: Platform Compliance to build on a compliant platform</t>
  </si>
  <si>
    <t>• Limited Ability to Meet Legal Compliance
• Limited Ability to Meet Regulatory Compliance
• Regulatory non-compliance</t>
  </si>
  <si>
    <t>PT-1:Policy and Procedures, 
PT-2:Authority to Process Personally Identifiable Information, 
PT-3:Personally Identifiable Information Processing Purposes, 
PT-4:Consent, 
PT-5:Privacy Notice, 
AC-14:Permitted Actions without Identification or Authentication, 
AC-20:Use of External Systems, 
SI-12:Information Management and Retention, 
IR-8:Incident Response Plan, 
PL-5:Privacy Impact Assessment</t>
  </si>
  <si>
    <t>Ensures compliance with applicable regulations and standards through regular audits and continuous monitoring of AI/ML operations.</t>
  </si>
  <si>
    <t>Assess the Regulations and Laws the ML Application Must Comply With.
Ensure ML Applications Comply with Data Security Requirements.
Ensure ML Applications Comply with Protection Policies and Are Integrated to Security Operations Processes.
Ensure ML Applications Comply with Security Policies.
Integrate ML Specificities to Existing Security Policies.</t>
  </si>
  <si>
    <t>A.2.2 AI policy
A.2.3 Alignment with other organizational policies</t>
  </si>
  <si>
    <t xml:space="preserve">A.5.1 Policies for information security
A.5.36 Compliance with policies, rules
and standards for information
security
</t>
  </si>
  <si>
    <t>Platform 12.7</t>
  </si>
  <si>
    <t>Platform 12.7: Initial Access</t>
  </si>
  <si>
    <t>The adversary is trying to gain access to the machine learning system.
The target system could be a network, mobile device, or an edge device such as a sensor platform. The machine learning capabilities used by the system could be local with onboard or cloud-enabled ML capabilities.
Initial Access consists of techniques that use various entry vectors to gain their initial foothold within the system.</t>
  </si>
  <si>
    <t>DASF 1
DASF 2
DASF 3
DASF 4
DASF 5
DASF 31
DASF 55
DASF 67</t>
  </si>
  <si>
    <t xml:space="preserve">• DASF 1: SSO with IdP and MFA to authenticate and limit who can access your data and AI platform
• DASF 2: Sync users and groups to inherit your organizational roles to authorize access to data
• DASF 3: Restrict access using IP access lists to limit IP addresses that can authenticate to your data and AI platform
• DASF 4: Restrict access using private link as a strong control that limits the source for inbound requests
• DASF 5: Control access to data and other objects for permissions model across all data assets to protect data and sources 
• DASF 31: Secure model serving endpoints 
• DASF 55: Monitor audit logs to track access to data, AI and other resources
• DASF 67: Federate authentication
</t>
  </si>
  <si>
    <t>• Compromise of AI Systems
• Subsequent Downstream System Impact or Compromise
• Regulatory Non-compliance</t>
  </si>
  <si>
    <t>• Legal Fines
• Response Costs
• Customer Retention
• Regulatory Fines and Judgement</t>
  </si>
  <si>
    <r>
      <rPr>
        <rFont val="DM Sans"/>
        <color rgb="FF1155CC"/>
        <u/>
      </rPr>
      <t>AML.TA0004</t>
    </r>
    <r>
      <rPr>
        <rFont val="DM Sans"/>
      </rPr>
      <t xml:space="preserve">: Initial Access
</t>
    </r>
    <r>
      <rPr>
        <rFont val="DM Sans"/>
        <color rgb="FF1155CC"/>
        <u/>
      </rPr>
      <t>AML.T0021</t>
    </r>
    <r>
      <rPr>
        <rFont val="DM Sans"/>
      </rPr>
      <t xml:space="preserve">: Establish Accounts
</t>
    </r>
    <r>
      <rPr>
        <rFont val="DM Sans"/>
        <color rgb="FF1155CC"/>
        <u/>
      </rPr>
      <t>AML.T0012</t>
    </r>
    <r>
      <rPr>
        <rFont val="DM Sans"/>
      </rPr>
      <t xml:space="preserve">: Valid Accounts
</t>
    </r>
    <r>
      <rPr>
        <rFont val="DM Sans"/>
        <color rgb="FF1155CC"/>
        <u/>
      </rPr>
      <t>AML.T0015</t>
    </r>
    <r>
      <rPr>
        <rFont val="DM Sans"/>
      </rPr>
      <t xml:space="preserve">: Evade ML Model
</t>
    </r>
    <r>
      <rPr>
        <rFont val="DM Sans"/>
        <color rgb="FF1155CC"/>
        <u/>
      </rPr>
      <t>AML.T0055</t>
    </r>
    <r>
      <rPr>
        <rFont val="DM Sans"/>
      </rPr>
      <t>: Unsecured Credentials</t>
    </r>
  </si>
  <si>
    <r>
      <rPr>
        <rFont val="DM Sans"/>
        <color rgb="FF1155CC"/>
        <u/>
      </rPr>
      <t>ID: T1134.001</t>
    </r>
    <r>
      <rPr>
        <rFont val="DM Sans"/>
      </rPr>
      <t xml:space="preserve"> Token Impersonation/Theft 
</t>
    </r>
    <r>
      <rPr>
        <rFont val="DM Sans"/>
        <color rgb="FF1155CC"/>
        <u/>
      </rPr>
      <t>ID: T1087</t>
    </r>
    <r>
      <rPr>
        <rFont val="DM Sans"/>
      </rPr>
      <t xml:space="preserve"> Account Discovery
</t>
    </r>
    <r>
      <rPr>
        <rFont val="DM Sans"/>
        <color rgb="FF1155CC"/>
        <u/>
      </rPr>
      <t>ID: T1098</t>
    </r>
    <r>
      <rPr>
        <rFont val="DM Sans"/>
      </rPr>
      <t xml:space="preserve"> Account Manipulation
</t>
    </r>
    <r>
      <rPr>
        <rFont val="DM Sans"/>
        <color rgb="FF1155CC"/>
        <u/>
      </rPr>
      <t>ID: T1110</t>
    </r>
    <r>
      <rPr>
        <rFont val="DM Sans"/>
      </rPr>
      <t xml:space="preserve"> Brute Force
</t>
    </r>
    <r>
      <rPr>
        <rFont val="DM Sans"/>
        <color rgb="FF1155CC"/>
        <u/>
      </rPr>
      <t>ID: T1528</t>
    </r>
    <r>
      <rPr>
        <rFont val="DM Sans"/>
      </rPr>
      <t xml:space="preserve"> Steal Application Access Token</t>
    </r>
  </si>
  <si>
    <t xml:space="preserve">LLM10: Model Theft
LLM05.1, 3, 4: Supply Chain Vulnerabilities </t>
  </si>
  <si>
    <t>SC-5:Denial-of-Service Protection, 
SC-7:Boundary Protection, 
IA-2:Identification and Authentication (Organizational Users), 
AC-3:Access Enforcement, 
RA-5:Vulnerability Monitoring and Scanning, 
CM-7:Least Functionality, 
SI-2:Flaw Remediation, 
SI-4:System Monitoring, 
IR-8:Incident Response Plan, 
PL-8:Security and Privacy Architectures, 
PM-31:Continuous Monitoring Strategy</t>
  </si>
  <si>
    <t>Controls access to ML platforms through secure identification and authentication measures, preventing unauthorized initial access.</t>
  </si>
  <si>
    <t>Apply a RBAC Model, Respecting the Least Privileged Principle.
Ensure ML Applications Comply with Identity Management, Authentication, and Access Control Policies.
Ensure ML Projects Follow the Global Process for Integrating Security into Projects.
Check the Vulnerabilities of the Components Used so that they Have an Appropriate Security Level.
Ensure Appropriate Protection is Deployed for Test Environments.
Reduce the Available Information About the Model.
Ensure Reliable Sources Are Used.</t>
  </si>
  <si>
    <t>A.5.16 Identity management
A.8.5 Secure authentication
A.5.18 Access rights
A.8.20 Networks Security
A.8.21 Security of network services
A.8.22 Segregation of networks
A.5.15 Access control
A.8.2 Privileged access rights
A.8.3 Information access restriction
A.8.4 Access to source code
A.8.20 Networks security
A.8.24 Use of cryptography
A.8.15 Logging
A.8.16 Monitoring Activities</t>
  </si>
  <si>
    <t>Agents — Core 13.1</t>
  </si>
  <si>
    <t xml:space="preserve">Memory Poisoning </t>
  </si>
  <si>
    <t>Memory Poisoning involves exploiting an AI's memory systems, both short and long-term, to introduce malicious or false data and exploit the agent’s context. This can lead to altered decision-making and unauthorized operations.</t>
  </si>
  <si>
    <t xml:space="preserve">DASF 1
DASF 2
DASF 3
DASF 4
DASF 5
DASF 24
DASF 31
DASF 34
DASF 37
DASF 46
DASF 54
DASF 55
DASF 64
DASF 65
DASF 67
DASF 71
DASF 72
</t>
  </si>
  <si>
    <t>•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AI agents
• DASF 31: Secure model serving endpoints
• DASF 34: Run models and agents in multiple layers of isolation with unprivileged VMs and network segregation. Protects back-end internal systems. Implement memory content validation, session isolation, robust authentication mechanisms for memory access, anomaly detection systems, and regular memory sanitization routines.
• DASF 37: Set up inference tables for monitoring and debugging prompts
• DASF 46: Store and retrieve embeddings securely to protect vector store memory — a primary long-term memory store for agents — from unauthorized access and injection
• DASF 54: Implement LLM guardrails to prevent unwanted and unsafe data in requests and responses
• DASF 55: Monitor audit logs to detect unauthorized reads and writes to agent memory stores
• DASF 64: Limit access from AI models and agents, applying least privilege to what agents can read from and write to memory, limiting the blast radius of a poisoning attempt
• DASF 65: Implement end-to-end AI traceability
• DASF 67: Federate authentication
• DASF 71: Log and register AI agents to provide traceability on which agent modified memory, enabling attribution and forensics
• DASF 72: Securely store and reuse agent state to protect short-term agent memory (conversation history, decision logs, temporary tasks) within a governed perimeter rather than insecure external stores
  Additional controls to consider:
  Please see the companion compendium document for a collection of third-party tools.</t>
  </si>
  <si>
    <t>DASF v 3.0</t>
  </si>
  <si>
    <t xml:space="preserve">T1.  Memory Poisoning </t>
  </si>
  <si>
    <t>Agents — Core 13.2</t>
  </si>
  <si>
    <t xml:space="preserve">Tool Misuse </t>
  </si>
  <si>
    <t>Tool Misuse occurs when attackers manipulate AI agents to abuse their integrated tools through deceptive prompts or commands, operating within authorized permissions. This includes Agent Hijacking,where an AI agent ingests adversarial manipulated data and subsequently executes unintended actions, potentially triggering malicious tool interactions. For more information on Agent Hijacking see: https://www.nist.gov/news-events/news/2025/01/technical-blog-strengthening-ai-agent-hijacking-evaluations</t>
  </si>
  <si>
    <t xml:space="preserve">DASF 1
DASF 2
DASF 3
DASF 4
DASF 5
DASF 24
DASF 31
DASF 34
DASF 37
DASF 54
DASF 55
DASF 56
DASF 64
DASF 65
DASF 67
DASF 71
DASF 73
</t>
  </si>
  <si>
    <t xml:space="preserve">•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AI agents, to enforce strict tool access verification
• DASF 31: Secure model serving endpoints
• DASF 34: Run models and agents in multiple layers of isolation with unprivileged VMs and network segregation. Protects back-end internal systems. Implement memory content validation, session isolation, robust authentication
  mechanisms for memory access, anomaly detection systems, and regular memory sanitization routines.
• DASF 37: Set up inference tables for monitoring and debugging prompts and monitor tool usage patterns
• DASF 54: Implement LLM guardrails to prevent unwanted and unsafe data in requests and responses, validate agent instructions, and set clear operational boundaries to detect and prevent misuse
• DASF 55: Monitor audit logs to detect unusual tool call patterns and identify unauthorized tool invocations
• DASF 56: Restrict outbound connections from models to prevent agents from making unauthorized calls to external services via misused tools
• DASF 64: Limit access from AI models and agents, applying least privilege to tool access, limiting the blast radius if an agent is manipulated into abusing a tool
• DASF 65: Implement end-to-end AI traceability to implement execution logs that track AI tool calls for anomaly detection and post-incident review
• DASF 67: Federate authentication
• DASF 71: Log and register AI agents to track which agent called which tool, enabling attribution and detection of misuse patterns
• DASF 73: Register prompts using MLflow prompt registry to version and manage system prompts — a strong, well-governed system prompt directly mitigates deceptive prompt manipulation that leads to tool misuse
  Additional controls to consider:
  Please see the companion compendium document for a collection of third-party tools.
</t>
  </si>
  <si>
    <t xml:space="preserve">T2. Tool Misuse </t>
  </si>
  <si>
    <t>Agents — Core 13.3</t>
  </si>
  <si>
    <t>Privilege
Compromise</t>
  </si>
  <si>
    <t>Privilege Compromise arises when attackers exploit weaknesses in permission management to perform unauthorized actions. This often involves dynamic role inheritance or misconfigurations, including cross-agent privilege delegation where one agent inherits or escalates permissions it was not explicitly authorized to hold.</t>
  </si>
  <si>
    <t xml:space="preserve"> DASF 1
 DASF 2
 DASF 3
 DASF 4
 DASF 5
 DASF 24
 DASF 31
 DASF 34
 DASF 37
 DASF 54
 DASF 55
 DASF 56
 DASF 64
 DASF 65
 DASF 67
 DASF 71</t>
  </si>
  <si>
    <t xml:space="preserve">•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Implement granular permission controls, dynamic access validation, robust monitoring of role changes, and thorough auditing of elevated privilege operations
• DASF 24: Control access to models and model assets, AI agents. Implement granular permission controls, dynamic access validation, robust monitoring of role changes, and thorough auditing of elevated privilege operations
• DASF 31: Secure model serving endpoints
• DASF 34: Run models in multiple layers of isolation with unprivileged VMs and network segregation. Protects back-end internal systems.
• DASF 37: Set up inference tables for monitoring and debugging prompts and monitor tool usage patterns
• DASF 54: Implement LLM guardrails to validate agent instructions and set clear operational boundaries to detect and prevent misuse
• DASF 55: Monitor audit logs to detect unauthorized privilege escalation, role changes, and elevated privilege operations across agents
• DASF 56: Restrict outbound connections from models to prevent unauthorized data access or exfiltration resulting from escalated privileges
• DASF 64: Limit access from AI models and agents, applying least privilege to agent permissions. Prevent cross-agent privilege delegation unless explicitly authorized — no agent should inherit permissions beyond what it was granted at registration
• DASF 65: Implement end-to-end AI traceability to track AI tool calls and permission usage for anomaly detection and post-incident review
• DASF 67: Federate authentication
• DASF 71: Log and register AI agents to establish a known baseline of authorized agents and their permitted privilege levels, enabling detection of rogue privilege expansion
  Additional controls to consider:
  Please see the companion compendium document for a collection of third-party tools.
</t>
  </si>
  <si>
    <t>T3. Privilege Compromise</t>
  </si>
  <si>
    <t>Agents — Core 13.4</t>
  </si>
  <si>
    <t>Resource Overload</t>
  </si>
  <si>
    <t>Resource Overload targets the computational, memory, and service capacities of AI systems to degrade performance or cause failures, exploiting their resource-intensive nature.</t>
  </si>
  <si>
    <t xml:space="preserve">DASF 31
DASF 34
DASF 36
DASF 39
DASF 55
DASF 60
</t>
  </si>
  <si>
    <t>• DASF 31: Secure model serving endpoints
• DASF 34: Run models in multiple layers of isolation on Mosaic AI Model Serving cloud scale infrastructure. Deploy resource management controls, implement serverless adaptive scaling mechanisms, and establish quotas. Monitor system load in real-time to detect and mitigate overload attempts.
• DASF 36: Set up monitoring alerts to automatically detect and alert on resource exhaustion thresholds — CPU, memory, and request queue depth — enabling rapid response before a degradation becomes an outage
• DASF 39: Platform security — Incident Response Team to respond to resource overload events and coordinate mitigation of sustained DoS attempts
• DASF 55: Monitor audit logs to detect unusual high-frequency request patterns indicative of a resource overload or denial-of-service attack
• DASF 60: Rate limit number of inference queries. Implement AI rate-limiting policies to restrict high-frequency task requests per agent session, controlling access levels and volume at the endpoint level on a per-user and per-endpoint basis.
  Additional controls to consider:
  Please see the companion compendium document for a collection of third-party tools.</t>
  </si>
  <si>
    <t>T4. Resource Overload</t>
  </si>
  <si>
    <t>Agents — Core 13.5</t>
  </si>
  <si>
    <t>Cascading Hallucination Attacks</t>
  </si>
  <si>
    <t>These attacks exploit an AI's tendency to generate contextually plausible but false information, which can propagate through systems and disrupt decision-making. This can also lead to destructive reasoning affecting tools invocation.</t>
  </si>
  <si>
    <t>DASF 31
DASF 34
DASF 36
DASF 37
DASF 39
DASF 45
DASF 49
DASF 54
DASF 60
DASF 65
DASF 66</t>
  </si>
  <si>
    <t>• DASF 31: Secure model serving endpoints
• DASF 34: Run models in multiple layers of isolation with unprivileged VMs and network segregation to contain the impact of cascading false outputs across systems
• DASF 36: Set up monitoring alerts to automatically detect output divergence patterns and unusual tool invocation sequences indicative of a hallucination cascade in progress
• DASF 37: Set up inference tables for monitoring and debugging prompts and monitor tool usage patterns. Establish robust output validation mechanisms and implement behavioral alerts to detect hallucination propagation
• DASF 39: Platform security — Incident Response Team to coordinate response when a hallucination cascade is detected
• DASF 45: Evaluate models using Mosaic AI Model Evaluation to assess hallucination rates and output reliability pre-deployment. Use LLM-as-a-judge metrics to establish a hallucination baseline before models are used in agentic pipelines
• DASF 49: Automate LLM evaluation to evaluate RAG applications with LLM-as-a-judge and get out-of-the-box metrics like toxicity, latency, tokens and more. Quickly and efficiently compare and contrast various LLMs to navigate your RAG application requirements
• DASF 54: Implement AI guardrails to filter and block hallucinated or unsafe outputs at the serving layer before they can propagate downstream
• DASF 60: Rate limit number of inference queries. Implement AI rate-limiting policies to restrict high-frequency task requests per agent session, which can help throttle cascading effects in multi-agent pipelines before they compound
• DASF 65: Implement end-to-end AI traceability to record the chain of reasoning and tool invocations that led to a hallucinated output, enabling root-cause analysis
• DASF 66: Use Human-in-the-loop feedback to deploy multi-source validation and ensure ongoing system corrections through feedback loops. Require secondary validation of AI-generated knowledge before it is used in critical decision-making processes
  Additional controls to consider:
  Please see the companion compendium document for a collection of third-party tools.</t>
  </si>
  <si>
    <t>T5. Cascading Hallucination Attacks</t>
  </si>
  <si>
    <t>Agents — Core 13.6</t>
  </si>
  <si>
    <t>Intent Breaking &amp; Goal Manipulation</t>
  </si>
  <si>
    <t>This threat exploits vulnerabilities in an AI agent's planning and goal-setting capabilities, allowing attackers to manipulate or redirect the agent's objectives and reasoning. One common approach is Agent Hijacking, where an AI agent ingests adversarial manipulated data and subsequently executes unintended actions aligned with the attacker's goals rather than the user's intent.</t>
  </si>
  <si>
    <t>DASF 1
DASF 2
DASF 3
DASF 4
DASF 5
DASF 24
DASF 31
DASF 34
DASF 37
DASF 49
DASF 54
DASF 55
DASF 56
DASF 64
DASF 65
DASF 66
DASF 67
DASF 71
DASF 73</t>
  </si>
  <si>
    <t>•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AI agents, to enforce strict tool access verification
• DASF 31: Secure model serving endpoints
• DASF 34: Run models in multiple layers of isolation with unprivileged VMs and network segregation. Protects back-end internal systems. Implement memory content validation, session isolation, robust authentication mechanisms for
  memory access, anomaly detection systems, and regular memory sanitization routines.
• DASF 37: Set up inference tables for monitoring and debugging prompts and monitor tool usage patterns for signs of goal deviation
• DASF 49: Automate LLM evaluation to identify quality issues and determine the root cause of those issues by having another model check the agent and flag significant goal deviations that could indicate manipulation
• DASF 54: Implement LLM guardrails to prevent unwanted and unsafe data in requests and responses, validate agent instructions, and set clear operational boundaries to detect and prevent misuse
• DASF 55: Monitor audit logs to detect when agent reasoning and actions deviate significantly from its declared objectives, flagging potential goal manipulation
• DASF 56: Restrict outbound connections from models to prevent a goal-manipulated agent from making unauthorized external calls or exfiltrating data in service of the attacker's redirected objective
• DASF 64: Limit access from AI models and agents, applying least privilege so that even a successfully manipulated agent is constrained in what actions it can execute
• DASF 65: Implement end-to-end AI traceability to record reasoning chains and detect where goal manipulation was introduced, enabling post-incident forensics
• DASF 66: Use Human-in-the-loop feedback to require human approval before the agent takes high-stakes or irreversible actions, providing an effective checkpoint against goal-redirected behavior
• DASF 67: Federate authentication
• DASF 71: Log and register AI agents to maintain a known baseline of each agent's intended goals, making deviations detectable
• DASF 73: Register prompts using MLflow prompt registry to version and govern system prompts. A well-designed, hardened system prompt that clearly encodes the agent's goals is a direct defense against intent-breaking and goal  manipulation attacks
  Additional controls to consider:
  Please see the companion compendium document for a collection of third-party tools.</t>
  </si>
  <si>
    <t>T6. Intent Breaking &amp; Goal Manipulation</t>
  </si>
  <si>
    <t>Agents — Core 13.7</t>
  </si>
  <si>
    <t>Misaligned &amp; Deceptive Behaviors</t>
  </si>
  <si>
    <t>AI agents executing harmful or disallowed actions, triggered by an input that exploits the agent's reasoning capabilities and deceptive responses to meet an objective. This includes behaviors where the agent produces outputs that are inconsistent with its declared purpose, or actively conceals its reasoning and actions from operators and users.</t>
  </si>
  <si>
    <t xml:space="preserve"> DASF 1
 DASF 2
 DASF 3
 DASF 4
 DASF 5
 DASF 24
 DASF 31
 DASF 34
 DASF 37
 DASF 38
 DASF 45
 DASF 49
 DASF 54
 DASF 55
 DASF 56
 DASF 64
 DASF 65
 DASF 66
 DASF 67
 DASF 71
 DASF 73</t>
  </si>
  <si>
    <t>•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AI agents, to enforce strict tool access verification
• DASF 31: Secure model serving endpoints
• DASF 34: Run models in multiple layers of isolation with unprivileged VMs and network segregation. Protects back-end internal systems. Implement memory content validation, session isolation, and anomaly detection systems.
• DASF 37: Set up inference tables for monitoring and debugging prompts and monitor tool usage patterns for behavioral consistency — flagging significant deviations between observed behavior and expected reasoning pathways
• DASF 38: Platform security — penetration testing, red teaming, bug bounty, and vulnerability management. Adversarial red teaming is the primary method for surfacing deceptive behaviors and assessing inconsistencies between AI outputs and expected reasoning. Conduct ongoing AI red team exercises targeting model alignment and deception scenarios.
• DASF 45: Evaluate models using Mosaic AI Model Evaluation to assess alignment, harmful task refusal rates, and behavioral consistency before deployment in agentic contexts
• DASF 49: Automate LLM evaluation using LLM-as-a-judge to identify quality issues, detect goal deviations, and flag outputs that are inconsistent with the agent's declared purpose
• DASF 54: Implement LLM guardrails to prevent harmful and disallowed outputs, validate agent instructions, and enforce policy restrictions at the serving layer
• DASF 55: Monitor audit logs to detect behavioral inconsistencies, compare actual agent actions against declared intent, and identify patterns indicative of deceptive behavior
• DASF 56: Restrict outbound connections from models to prevent a misaligned agent from acting on its deceptive objectives via unauthorized external interactions
• DASF 64: Limit access from AI models and agents, applying least privilege so that even a misaligned agent is constrained in the harm it can execute
• DASF 65: Implement end-to-end AI traceability to record reasoning chains, making deceptive behavior visible and enabling post-incident forensic analysis
• DASF 66: Use Human-in-the-loop feedback to require human confirmation before the agent takes high-risk or irreversible actions, providing a critical check on misaligned behavior before harm occurs
• DASF 67: Federate authentication
• DASF 71: Log and register AI agents to establish a behavioral baseline, making deviations from expected conduct detectable
• DASF 73: Register prompts using MLflow prompt registry to enforce and version system-level policies that explicitly prohibit harmful and disallowed actions
  Additional controls to consider:
  Please see the companion compendium document for a collection of third-party tools. Note: deception detection strategies such as behavioral consistency analysis and truthfulness verification models are an emerging area of AI safety research. Organizations should monitor developments from AI safety research  and incorporate validated techniques as they mature.</t>
  </si>
  <si>
    <t>T7. Misaligned &amp; Deceptive Behaviors</t>
  </si>
  <si>
    <t>Agents — Core 13.8</t>
  </si>
  <si>
    <t>Repudiation &amp; Untraceability</t>
  </si>
  <si>
    <t>Occurs when actions performed by AI agents cannot be traced back or accounted for due to insufficient logging or transparency in decision-making processes.</t>
  </si>
  <si>
    <t>DASF 1
DASF 2
DASF 3
DASF 4
DASF 5
DASF 24
DASF 31
DASF 37
DASF 54
DASF 55
DASF 65
DASF 67
DASF 71</t>
  </si>
  <si>
    <t>•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AI agents, to enforce strict tool access verification
• DASF 31: Secure model serving endpoints
• DASF 37: Set up inference tables for monitoring and debugging prompts and monitor tool usage patterns
• DASF 54: Implement LLM guardrails to prevent unwanted and unsafe data in requests and responses, validate agent instructions, and set clear operational boundaries to detect and prevent misuse
• DASF 55: Monitor audit logs to implement comprehensive logging of all agent actions, ensuring a complete and tamper-resistant record that supports non-repudiation
• DASF 65: Implement end-to-end AI traceability to record inputs, outputs, reasoning steps, and tool invocations in real-time, ensuring accountability and full traceability of all agent decisions
• DASF 67: Federate authentication to ensure that all agent actions are tied to a verified identity, enabling accurate attribution
• DASF 71: Log and register AI agents to maintain an authoritative record of which agents exist, their permitted actions, and their execution history
  Additional controls to consider:
  Please see the companion compendium document for a collection of third-party tools.</t>
  </si>
  <si>
    <t>T8. Repudiation &amp; Untraceability</t>
  </si>
  <si>
    <t>MCP08: Lack of Audit and Telemetry</t>
  </si>
  <si>
    <t>Agents — Core 13.9</t>
  </si>
  <si>
    <t>Identity Spoofing &amp; Impersonation</t>
  </si>
  <si>
    <t>Attackers exploit authentication mechanisms to impersonate AI agents or human users, enabling them to execute unauthorized actions under false identities.</t>
  </si>
  <si>
    <t xml:space="preserve"> DASF 1
 DASF 2
 DASF 3
 DASF 4
 DASF 5
 DASF 24
 DASF 31
 DASF 37
 DASF 54
 DASF 55
 DASF 64
 DASF 65
 DASF 67
 DASF 71
</t>
  </si>
  <si>
    <t>•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AI agents, to enforce strict tool access verification
• DASF 31: Secure model serving endpoints
• DASF 37: Set up inference tables for monitoring and debugging prompts and monitor tool usage patterns for signs of identity anomalies
• DASF 54: Implement LLM guardrails to prevent unwanted and unsafe data in requests and responses, validate agent instructions, and set clear operational boundaries to detect and prevent misuse
• DASF 55: Monitor audit logs to implement comprehensive logging of authentication attempts, flag anomalous and suspicious activity, and generate detection alerts for potential impersonation
• DASF 64: Limit access from AI models and agents, applying least privilege so that even a successfully impersonated agent identity has constrained permissions
• DASF 65: Implement end-to-end AI traceability to implement real-time monitoring ensuring accountability and full attribution of all actions to verified identities
• DASF 67: Federate authentication using OAuth token federation to eliminate static tokens, reducing the risk of token theft and credential-based identity spoofing
• DASF 71: Log and register AI agents to maintain an authoritative registry of legitimate agent identities. Any agent acting outside its registered identity or without a valid registration record can be flagged as a potential impersonator 
  Additional controls to consider:
  Please see the companion compendium document for a collection of third-party tools.</t>
  </si>
  <si>
    <t>T9. Identity Spoofing &amp; Impersonation</t>
  </si>
  <si>
    <t>Agents — Core 13.10</t>
  </si>
  <si>
    <t>Overwhelming Human in the Loop</t>
  </si>
  <si>
    <t xml:space="preserve">This threat targets systems with human oversight and decision validation, aiming to exploit human cognitive limitations or compromise interaction frameworks. Attackers may flood agents with decision requests to cause approval fatigue, or embed malicious actions within a high volume of legitimate requests to bypass human scrutiny.
</t>
  </si>
  <si>
    <t xml:space="preserve"> DASF 36
 DASF 37
 DASF 49
 DASF 60
 DASF 66</t>
  </si>
  <si>
    <t xml:space="preserve">• DASF 36: Set up monitoring alerts to detect unusual volumes of human approval requests and alert when request rates indicate a request-flooding or overwhelming pattern
• DASF 37: Set up inference tables to monitor human decision approval patterns over time and identify anomalies such as unusual frequency or clustering of high-risk decisions
• DASF 49: Automate LLM evaluation to evaluate agent behavior and use built-in AI judges to pre-filter low-risk decisions, reducing the volume of requests that reach human reviewers
• DASF 60: Rate limit number of inference queries to prevent request flooding that can overwhelm human reviewers. Restrict high-frequency task requests per agent session on a per-user and per-endpoint basis.
• DASF 66: Use Human-in-the-loop feedback to deploy multi-source validation and ensure ongoing system corrections through feedback loops. Design HITL checkpoints to be targeted to genuinely high-risk decisions rather than exhaustively reviewing every agent action.
  Develop advanced human-AI interaction frameworks and adaptive trust mechanisms. These are dynamic AI governance models that employ dynamic intervention thresholds to adjust the level of human oversight and automation based on risk, confidence, and context.
  Additional controls to consider:
  Please see the companion compendium document for a collection of third-party tools.
</t>
  </si>
  <si>
    <t>T10. Overwhelming Human in the Loop</t>
  </si>
  <si>
    <t>Agents — Core 13.11</t>
  </si>
  <si>
    <t>Unexpected RCE and Code Attacks</t>
  </si>
  <si>
    <t>Attackers exploit AI-generated execution environments to inject malicious code, trigger unintended system behaviors, or execute unauthorized scripts.</t>
  </si>
  <si>
    <t xml:space="preserve"> DASF 34
 DASF 38
 DASF 55
 DASF 56
 DASF 62
 DASF 63
 DASF 64
 DASF 71</t>
  </si>
  <si>
    <t>• DASF 34: Run models in multiple layers of isolation with unprivileged VMs and network segregation. Protects back-end internal systems from LLM access. The most reliable mitigation is to always treat all LLM and agent output as potentially malicious — an untrusted entity has been able to inject text as user input. Restrict AI code generation permissions, sandbox execution environments, and monitor AI-generated scripts before and during execution.
• DASF 38: Platform security — penetration testing, red teaming, bug bounty, and vulnerability management. Conduct regular sandbox breakout testing to validate that AI code execution environments are properly hardened and that RCE vulnerabilities cannot be chained to escape the execution boundary.
• DASF 55: Monitor audit logs to detect unusual code execution patterns, unauthorized script launches, and anomalous system calls that may indicate successful or attempted RCE
• DASF 56: Restrict outbound connections from models to prevent AI-generated code — if executed — from phoning home, establishing reverse shells, or exfiltrating data to attacker-controlled endpoints
• DASF 62: Implement network segmentation to isolate AI code execution environments from sensitive internal systems, limiting the lateral movement capability of any successfully executed malicious code
• DASF 63: Update software to patch AI code execution environments, sandboxes, and container runtimes. Unpatched execution environments provide footholds for privilege escalation and sandbox escape.
• DASF 64: Limit access from AI models and agents, applying least privilege to execution environments so that even successfully executed malicious code has constrained access to system resources and data
• DASF 71: Log and register AI agents to maintain traceability of which agent generated and executed code, enabling attribution and forensic analysis following an RCE incident
  Additional controls to consider:
  Please see the companion compendium document for a collection of third-party tools.</t>
  </si>
  <si>
    <t>T11. Unexpected RCE and Code Attacks</t>
  </si>
  <si>
    <t>MCP05: Command Injection &amp; Execution</t>
  </si>
  <si>
    <t>Agents — Core 13.12</t>
  </si>
  <si>
    <t>Agent Communication Poisoning</t>
  </si>
  <si>
    <t>Attackers manipulate communication channels between AI agents to spread false information, disrupt workflows, or influence decision-making.</t>
  </si>
  <si>
    <t xml:space="preserve"> DASF 9
 DASF 34
 DASF 37
 DASF 55
 DASF 64
 DASF 65
 DASF 67
 DASF 71
</t>
  </si>
  <si>
    <t xml:space="preserve">• DASF 9: Encrypt data in transit using cryptographic message authentication and enforce communication validation policies to ensure inter-agent messages cannot be intercepted or modified in transit
• DASF 34: Run models in multiple layers of isolation with unprivileged VMs and network segregation to limit the blast radius of successfully poisoned agent communications
• DASF 37: Set up inference tables to monitor inter-agent communication patterns and detect anomalies such as unexpected message sequences, unusual senders, or content inconsistencies indicative of communication poisoning
• DASF 55: Monitor audit logs to detect tampered, injected, or replayed messages in agent communication channels, and alert on suspicious inter-agent interaction patterns
• DASF 64: Limit access from AI models and agents, controlling which agents are authorized to communicate with which, restricting unauthorized agents from injecting messages into validated communication channels
• DASF 65: Implement end-to-end AI traceability to log and trace the full chain of inter-agent communications, enabling identification of the point where poisoning was introduced
• DASF 67: Federate authentication to require that all inter-agent communications are authenticated via OAuth token federation, preventing unauthenticated message injection by rogue agents
• DASF 71: Log and register AI agents to maintain an authoritative registry of legitimate agents and their authorized communication paths, enabling detection of messages from unregistered or impersonated agents
  Additional controls to consider:
  Please see the companion compendium document for a collection of third-party tools.
</t>
  </si>
  <si>
    <t>T12. Agent Communication Poisoning</t>
  </si>
  <si>
    <t>Agents — Core 13.13</t>
  </si>
  <si>
    <t>Rogue Agents in Multi-Agent Systems</t>
  </si>
  <si>
    <t>Malicious or compromised AI agents operate outside normal monitoring boundaries, executing unauthorized actions or exfiltrating data.</t>
  </si>
  <si>
    <t xml:space="preserve">DASF 34
DASF 37
DASF 38
DASF 55
DASF 56
DASF 62
DASF 64
DASF 65
DASF 67
DASF 71
</t>
  </si>
  <si>
    <t>• DASF 34: Run models in multiple layers of isolation for controlled hosting environments with unprivileged VMs and network segregation, limiting what a rogue agent can access from its execution environment
• DASF 37: Set up inference tables for monitoring and debugging prompts. Monitor inputs and outputs for deviations from expected agent behavior patterns that may indicate a rogue agent operating outside its authorized scope
• DASF 38: Platform security — penetration testing, red teaming, bug bounty, and vulnerability management. Conduct red team exercises specifically targeting multi-agent trust boundaries and rogue agent scenarios to identify weaknesses before attackers do.
• DASF 55: Monitor audit logs for continuous behavioral monitoring of all agent activity, detecting agents operating outside normal boundaries, taking unauthorized actions, or exhibiting patterns inconsistent with their registered purpose
• DASF 56: Restrict outbound connections from models to prevent rogue agents from exfiltrating data to external destinations outside the authorized network perimeter
• DASF 62: Implement network segmentation to isolate individual agents and constrain their network reach, preventing a rogue agent from using its network access to compromise adjacent systems
• DASF 64: Limit access from AI models and agents, applying policy constraints so that even a rogue agent is restricted to only what it was explicitly authorized to access — minimizing the damage it can cause
• DASF 65: Implement end-to-end AI traceability to detect deviations from each agent's registered behavioral baseline and trace unauthorized actions back to their source agent
• DASF 67: Federate authentication to ensure that all agent actions are tied to verified, revocable identities. If an agent is identified as rogue, its tokens can be revoked to immediately terminate its access.
• DASF 71: Log and register AI agents to maintain an authoritative inventory of all authorized agents. Any agent operating without a valid registration or acting outside its declared parameters can be immediately flagged and quarantined
  Additional controls to consider:
  Please see the companion compendium document for a collection of third-party tools.</t>
  </si>
  <si>
    <t>T13. Rogue Agents in Multi-Agent Systems</t>
  </si>
  <si>
    <t>Agents — Core 13.14</t>
  </si>
  <si>
    <t>Human Attacks on Multi-Agent Systems</t>
  </si>
  <si>
    <t>Adversaries exploit inter-agent delegation, trust relationships, and workflow dependencies to escalate privileges or manipulate AI-driven operations.</t>
  </si>
  <si>
    <t xml:space="preserve"> DASF 1
 DASF 2
 DASF 3
 DASF 4
 DASF 5
 DASF 24
 DASF 31
 DASF 34
 DASF 37
 DASF 38
 DASF 55
 DASF 64
 DASF 65
 DASF 67
 DASF 71</t>
  </si>
  <si>
    <t xml:space="preserve">•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AI agents, to enforce strict tool access verification
• DASF 31: Secure model serving endpoints
• DASF 34: Run models in multiple layers of isolation for controlled hosting environments with unprivileged VMs and network segregation
• DASF 37: Set up inference tables for monitoring and debugging prompts. Monitor inputs and outputs for deviations in agent behavior and flag unusual delegation request patterns
• DASF 38: Platform security — penetration testing, red teaming, bug bounty, and vulnerability management. Include multi-agent trust boundary testing in red team exercises to identify delegation chains that could be exploited for privilege escalation.
• DASF 55: Monitor audit logs to detect unusual inter-agent delegation patterns, unauthorized privilege escalation attempts, and suspicious manipulation of workflow dependencies
• DASF 64: Limit access from AI models and agents, applying least privilege to all delegation relationships so that escalating through a compromised agent yields only constrained permissions
• DASF 65: Implement end-to-end AI traceability to trace the full chain of delegation and identify exactly where an adversary exploited a trust relationship to escalate privileges
• DASF 67: Federate authentication to authenticate all delegation requests between agents via OAuth token federation, preventing adversaries from forging delegation tokens or replaying captured delegation credentials
• DASF 71: Log and register AI agents to maintain an authoritative registry of all authorized inter-agent delegation relationships. Any delegation request outside of registered, approved relationships should be flagged as a potential attack.
  Additional controls to consider:
  Please see the companion compendium document for a collection of third-party tools.
</t>
  </si>
  <si>
    <t>T14. Human Attacks on Multi-Agent Systems</t>
  </si>
  <si>
    <t>Agents — Core 13.15</t>
  </si>
  <si>
    <t>Human Manipulation</t>
  </si>
  <si>
    <t>In scenarios where AI agents engage in direct interaction with human users, the trust relationship reduces user skepticism, increasing reliance on the agent's responses and autonomy. This implicit trust and direct human/agent interaction create risks, as attackers can coerce agents to manipulate users, spread misinformation, and take covert actions.</t>
  </si>
  <si>
    <t xml:space="preserve"> DASF 1
 DASF 2
 DASF 3
 DASF 4
 DASF 5
 DASF 24
 DASF 31
 DASF 34
 DASF 37
 DASF 38
 DASF 54
 DASF 55
 DASF 64
 DASF 65
 DASF 66
 DASF 71
 DASF 73</t>
  </si>
  <si>
    <t>•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AI agents, to enforce strict tool access verification
• DASF 31: Secure model serving endpoints
• DASF 34: Run models in multiple layers of isolation for controlled hosting environments
• DASF 37: Set up inference tables for monitoring and debugging prompts. Monitor inputs and outputs for deviations that may indicate an agent is being coerced into producing manipulative or misleading content for users
• DASF 38: Platform security — penetration testing, red teaming, bug bounty, and vulnerability management. Include user-manipulation and social engineering scenarios in red team exercises targeting agent-user interaction surfaces.
• DASF 54: Implement AI guardrails to detect and block manipulative, misleading, and harmful content in agent responses before they reach users. Guardrails are the most direct technical control for preventing agents from spreading
   misinformation or executing covert manipulative actions.
• DASF 55: Monitor audit logs to implement comprehensive logging of all user-facing agent interactions, enabling detection of patterns indicative of manipulation campaigns or covert influence operations
• DASF 64: Limit access from AI models and agents to constrain the scope of covert actions a manipulated agent can take, even if it has been successfully coerced
• DASF 65: Implement end-to-end AI traceability to maintain real-time monitoring for accountability and traceability, ensuring manipulative interactions can be traced back to their source and remediated
• DASF 66: Use Human-in-the-loop feedback to provide oversight on high-stakes user-facing agent interactions, ensuring that potentially manipulative or misleading outputs can be reviewed and corrected before causing harm
• DASF 71: Log and register AI agents to maintain an authoritative registry of user-facing agents and their permitted interaction patterns, making unauthorized covert actions detectable
• DASF 73: Register prompts using MLflow prompt registry to govern and version system prompts that explicitly set behavioral boundaries for user-facing agents — defining what agents can and cannot say, and establishing guardrails against coercion and misinformation
  Additional controls to consider:
  Please see the companion compendium document for a collection of third-party tools.</t>
  </si>
  <si>
    <t>T15. Human Manipulation</t>
  </si>
  <si>
    <t>Agents — Tools MCP Server 13.16</t>
  </si>
  <si>
    <t>Prompt Injection</t>
  </si>
  <si>
    <t>Prompt injection attacks occur when malicious prompts manipulate MCP server behavior or bypass security controls. This includes direct injection through user input, indirect injection through data sources, and manipulation of tool descriptions. These attacks can lead to unauthorized actions, data exfiltration, and privilege escalation, making this the most critical MCP security risk.</t>
  </si>
  <si>
    <t>DASF 1
DASF 3
DASF 4
DASF 5
DASF 24
DASF 31
DASF 32
DASF 37
DASF 46
DASF 54
DASF 55
DASF 56
DASF 60
DASF 64
DASF 65
DASF 67
DASF 68
DASF 73</t>
  </si>
  <si>
    <t xml:space="preserve">• DASF 1: SSO with IdP and MFA to limit who can access your data and AI platform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AI agents
• DASF 31: Secure model serving endpoints
• DASF 32: Streamline the usage and management of various large language model (LLM) providers and rate-limit inference queries. Design robust prompts to help mitigate injection attacks. Implement gates between users/callers and
  the actual model by performing input validation and post-processing on all proposed queries, rejecting anything not meeting the model's definition of input correctness, and returning only the minimum amount of information needed.
• DASF 37: Set up inference tables for monitoring and debugging prompts. Monitor for injection patterns in inputs and flag suspicious prompt structures
• DASF 46: Store and retrieve embeddings securely to protect vector store data sources from indirect prompt injection via poisoned retrieval content
• DASF 54: Implement AI guardrails to detect and block prompt injection attempts, filter malicious inputs, and prevent unsafe outputs triggered by injected instructions
• DASF 55: Monitor audit logs to detect prompt injection patterns, flag anomalous MCP server behavior, and identify sequences indicative of successful injection and privilege escalation
• DASF 56: Restrict outbound connections from models to prevent successful prompt injections from exfiltrating data or establishing unauthorized external connections
• DASF 60: Rate limit number of inference queries to throttle injection attempts that rely on high-volume probing
• DASF 64: Limit access from AI models and agents, applying least privilege so that even a successfully injected prompt has constrained scope for unauthorized actions
• DASF 65: Implement end-to-end AI traceability to record all MCP server inputs and tool invocations, enabling forensic analysis following an injection incident
• DASF 67: Federate authentication to ensure all MCP server interactions are tied to verified identities
• DASF 68: Use Securely Hosted Managed MCP Servers. Databricks-managed MCP servers are hosted within the security boundary of your workspace, reducing the attack surface for prompt injection via external MCP channels
• DASF 73: Register prompts using MLflow prompt registry to govern and version system prompts. Well-designed system prompts with explicit injection-resistance instructions reduce susceptibility to direct and indirect prompt
  injection attacks.
  Additional controls to consider:
  Please see the companion compendium document for a collection of third-party tools.
</t>
  </si>
  <si>
    <t>MCP-01: Prompt Injection</t>
  </si>
  <si>
    <t>MCP06: Prompt Injection via Contextual Payloads</t>
  </si>
  <si>
    <t>Agents — Tools MCP Server 13.17</t>
  </si>
  <si>
    <t xml:space="preserve">Confused Deputy
</t>
  </si>
  <si>
    <t>The confused deputy problem occurs when MCP servers perform actions on behalf of the wrong user or with incorrect permissions. This can result in authorization bypass, cross-user data access, and privilege escalation. The complexity of MCP's role-based interactions makes this vulnerability particularly dangerous in multi-user environments.</t>
  </si>
  <si>
    <t>DASF 1
DASF 3
DASF 4
DASF 5
DASF 24
DASF 38
DASF 55
DASF 64
DASF 65
DASF 67
DASF 68
DASF 71</t>
  </si>
  <si>
    <t xml:space="preserve">• DASF 1: SSO with IdP and MFA to limit who can access your data and AI platform and establish a strong identity foundation for all MCP interactions
• DASF 3: Restrict access using IP access lists to limit the sources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AI agents, to enforce strict access verification and prevent unauthorized permission delegation
• DASF 38: Platform security — penetration testing, red teaming, bug bounty, and vulnerability management. Include confused deputy and MCP delegation scenarios in security testing.
• DASF 55: Monitor audit logs to detect when MCP server actions are being performed under an incorrect user identity or with permissions that don't match the requesting principal
• DASF 64: Limit access from AI models and agents. The on-behalf-of-user authentication feature is the primary Databricks control for the confused deputy problem — agents access Databricks resources using the identity of the end user who queried the agent, ensuring fine-grained, per-user access control rather than broad agent-level permissions.
• DASF 65: Implement end-to-end AI traceability to maintain a full audit trail of which user triggered which agent action, enabling identification and attribution of confused deputy incidents
• DASF 67: Federate authentication using OAuth token federation to maintain proper user identity throughout agent delegation chains, preventing identity loss or substitution during MCP interactions
• DASF 68: Use Securely Hosted Managed MCP Servers. Databricks-managed MCP servers are built with proper OAuth-based authentication that ties MCP actions to the requesting user's identity, directly mitigating the confused deputy problem.
• DASF 71: Log and register AI agents to maintain an authoritative record of which agents are authorized to act on behalf of which users, making unauthorized delegation detectable
  Additional controls to consider:
  Please see the companion compendium document for a collection of third-party tools.
</t>
  </si>
  <si>
    <t>MCP-02: Confused Deputy</t>
  </si>
  <si>
    <t>MCP02: Privilege Escalation via Scope Creep</t>
  </si>
  <si>
    <t>Agents — Tools MCP Server 13.18</t>
  </si>
  <si>
    <t>Tool Poisoning</t>
  </si>
  <si>
    <t>Tool poisoning involves malicious tools masquerading as legitimate ones, or legitimate tools with malicious descriptions designed to trick AI models. Examples include fake tool descriptions, malicious tool implementations, and tool name squatting. This attack vector exploits the trust relationship between AI models and their available tools.</t>
  </si>
  <si>
    <t xml:space="preserve">DASF 1
DASF 2
DASF 3
DASF 4
DASF 5
DASF 24
DASF 31
DASF 32
DASF 37
DASF 38
DASF 46
DASF 54
DASF 55
DASF 56
DASF 60
DASF 64
DASF 65
DASF 67
DASF 68
DASF 69
</t>
  </si>
  <si>
    <t>•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24: Control access to models and model assets, AI agents, to enforce strict tool access verification and restrict which tools agents are permitted to invoke
• DASF 31: Secure model serving endpoints
• DASF 32: Streamline the usage and management of various LLM providers. Design robust prompts to help mitigate tool manipulation attacks. Implement gates between users and models by performing input validation on all proposed tool calls.
• DASF 37: Set up inference tables to monitor tool call patterns. Detect when tools behave unexpectedly relative to their declared descriptions, which may indicate a poisoned or substituted tool.
• DASF 38: Platform security — penetration testing, red teaming, bug bounty, and vulnerability management. Include tool poisoning scenarios (fake tool descriptions, name squatting, tool substitution) in red team exercises to validate tool supply chain integrity.
• DASF 46: Store and retrieve embeddings securely to protect vector store data that agents use to discover and select tools from potential tool description poisoning
• DASF 54: Implement AI guardrails to validate tool calls and detect when tool descriptions or tool responses contain suspicious or malicious instructions
• DASF 55: Monitor audit logs to detect unexpected tool behavior and flag tools that produce outputs inconsistent with their declared purpose or description
• DASF 56: Restrict outbound connections from models to prevent a poisoned tool from making unauthorized external calls
• DASF 60: Rate limit number of inference queries to throttle high-volume tool invocations that may indicate exploitation
• DASF 64: Limit access from AI models and agents so that even if a tool is poisoned, the agent's constrained permissions limit the damage the tool can cause
• DASF 65: Implement end-to-end AI traceability to record all tool invocations with their inputs, outputs, and context, enabling forensic analysis of tool poisoning incidents
• DASF 67: Federate authentication to ensure all tool interactions are authenticated and tied to verified identities
• DASF 68: Use Securely Hosted Managed MCP Servers to connect to pre-vetted, Databricks-managed tools within your workspace security boundary, reducing exposure to third-party tool poisoning
• DASF 69: Securely host Custom MCP Servers as Databricks apps to ensure custom and third-party tools are hosted within a governed environment with proper authentication, preventing tampering with tool implementations or descriptions
  Additional controls to consider:
  Please see the companion compendium document for a collection of third-party tools.</t>
  </si>
  <si>
    <t xml:space="preserve">• Malicious code execution
• Data theft 
• System compromise
</t>
  </si>
  <si>
    <t>MCP-03: Tool Poisoning</t>
  </si>
  <si>
    <t>MCP03: Tool Poisoning</t>
  </si>
  <si>
    <t>Agents — Tools MCP Server 13.19</t>
  </si>
  <si>
    <t>Credential and Token Exposure</t>
  </si>
  <si>
    <t>Credential and token exposure occurs through improper handling, storage, or transmission of API keys, OAuth tokens, and other sensitive credentials. This includes hardcoded credentials, token theft, and credential leakage in logs. Given MCP's reliance on API integrations, credential security is fundamental to overall system security.</t>
  </si>
  <si>
    <t>DASF 8
DASF 9
DASF 33
DASF 55
DASF 64
DASF 67
DASF 68
DASF 69
DASF 71</t>
  </si>
  <si>
    <t xml:space="preserve">• DASF 8: Encrypt data at rest — Store MCP server credentials, API keys, and tokens using Databricks customer-managed encryption keys to protect sensitive authentication material at rest.
• DASF 9: Encrypt data in transit — Ensure tokens and credentials transmitted between MCP servers, clients, and external services are encrypted using TLS 1.2+ to prevent interception during transit.
• DASF 33: Manage credentials securely — Use Databricks Secrets to store API keys, OAuth tokens, and service credentials referenced by MCP servers. Never hardcode credentials in MCP server code, configuration files, or agent prompts. Reference secrets programmatically rather than passing them as plaintext.
• DASF 55: Monitor audit logs — Monitor audit logs and system tables for unusual authentication events, failed credential attempts, and unexpected API access patterns that may indicate credential theft or token misuse.
• DASF 64: Limit access from AI models and agents — Apply least privilege to MCP server credentials. Each agent should only receive the minimum set of credentials necessary to perform its authorized functions, reducing the blast  radius if credentials are compromised.
• DASF 67: Federate authentication — Use OAuth token federation to authenticate to Databricks and external services, eliminating the need for static API keys or hardcoded service principal credentials in MCP server configurations. Token federation reduces the risk of long-lived credential theft.
• DASF 68: Use Securely Hosted Managed MCP Servers — Databricks managed MCP servers handle credential management securely, removing the burden of manual secret rotation and reducing credential exposure risk inherent in custom MCP configurations.
• DASF 69: Securely host Custom MCP Servers — Deploy custom or third-party MCP servers as Databricks Apps to leverage built-in secure secret management. Databricks Apps prevent credentials from being exposed in environment variables or configuration files accessible to unauthorized parties.
• DASF 71: Log and register AI agents — Register all AI agents that access MCP credentials in the Databricks AI Agent Framework. Maintain a registry of which agents have access to which credentials, enabling rapid audit and revocation in the event of a credential compromise.
</t>
  </si>
  <si>
    <t>• Account takeover 
• Unauthorized API access 
• Data breaches</t>
  </si>
  <si>
    <t>MCP-04: Credential and Token Exposure</t>
  </si>
  <si>
    <t>MCP01: Token Mismanagement &amp; Secret Exposure</t>
  </si>
  <si>
    <t>Agents — Tools MCP Server 13.20</t>
  </si>
  <si>
    <t>Insecure Server Configuration</t>
  </si>
  <si>
    <t>Insecure server configuration encompasses weak default configurations, exposed endpoints, and inadequate authentication mechanisms. This includes default credentials, open endpoints, and weak authentication systems. Many MCP security incidents stem from basic configuration errors that leave systems vulnerable.</t>
  </si>
  <si>
    <t xml:space="preserve"> DASF 1
 DASF 2
 DASF 3
 DASF 4
 DASF 5
 DASF 31
 DASF 33
 DASF 55
 DASF 64
 DASF 67
 DASF 68
 DASF 69
 DASF 70</t>
  </si>
  <si>
    <t xml:space="preserve">Deploy Agents, MCP servers (managed and custom) in secure by default and require clients to specify authentication.
•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31: Secure model serving endpoints — ensure MCP server endpoints are not exposed with default credentials or open configurations.
• DASF 33: Manage credentials securely — eliminate default credentials in MCP server configurations; store all secrets in Databricks Secrets rather than in configuration files.
• DASF 55: Monitor audit logs — detect unauthorized access attempts and anomalous activity that may result from insecure server configurations. Alert on failed authentication events and unexpected endpoint access.
• DASF 64: Limit access from AI models and agents — enforce least privilege on MCP server endpoints to minimize the attack surface exposed by configuration weaknesses.
• DASF 67: Federate authentication — replace default or static credentials with OAuth token federation, ensuring MCP servers require proper authentication from all clients.
• DASF 68: Use Securely Hosted Managed MCP Servers — Databricks managed MCP servers are configured securely by default, eliminating the risk of misconfiguration in self-managed deployments.
• DASF 69: Securely host Custom MCP Servers — deploy custom MCP servers as Databricks Apps, which enforces secure configuration standards and prevents exposure of insecure defaults.
• DASF 70: Securely connect to External MCP Servers — validate the security posture of external MCP servers before connecting, ensuring they meet configuration security requirements before granting access.
</t>
  </si>
  <si>
    <t>• Unauthorized access
• Data exposure 
• System compromise</t>
  </si>
  <si>
    <t>MCP-05: Insecure Server Configuration</t>
  </si>
  <si>
    <t>MCP07: Insufficient Authentication &amp; Authorization</t>
  </si>
  <si>
    <t>Agents — Tools MCP Server 13.21</t>
  </si>
  <si>
    <t>Supply Chain Attacks</t>
  </si>
  <si>
    <t>Supply chain attacks target the MCP ecosystem through compromised MCP servers, malicious dependencies, or rug pull attacks where maintainers abandon or maliciously modify previously trusted servers. The distributed nature of MCP server development makes supply chain security particularly challenging.</t>
  </si>
  <si>
    <t xml:space="preserve"> DASF 38
 DASF 53
 DASF 55
 DASF 63
 DASF 68
 DASF 69
 DASF 70</t>
  </si>
  <si>
    <t xml:space="preserve">• DASF 38: Platform security — penetration testing, red teaming, bug bounty and vulnerability management — conduct regular security assessments of MCP server integrations and third-party dependencies to identify supply chain vulnerabilities before they are exploited.
• DASF 53: Third-party library control — manage and govern the installation and usage of third-party MCP servers and their dependencies. Validate the provenance and integrity of all external MCP components. Avoid using unverified or community-maintained MCP servers without proper vetting.
• DASF 55: Monitor audit logs — detect anomalous behavior from MCP servers that may indicate a compromise or rug pull. Alert on unexpected changes in server behavior, unusual data access patterns, or changes in tool definitions that may signal a compromised dependency.
• DASF 63: Update software — patch and update MCP server software and dependencies regularly to address known vulnerabilities. Monitor for abandoned or deprecated MCP server projects and proactively migrate away from unmaintained dependencies.
• DASF 68: Use Securely Hosted Managed MCP Servers — Databricks managed MCP servers are vetted and maintained by Databricks, eliminating supply chain risk inherent in community-developed or third-party MCP servers.
• DASF 69: Securely host Custom MCP Servers — deploy custom MCP servers as Databricks Apps under organizational control, reducing reliance on externally maintained servers that may be subject to rug pull or supply chain compromise.
• DASF 70: Securely connect to External MCP Servers — use Databricks managed MCP proxies and Unity Catalog HTTP connections to securely authenticate to external MCP servers. Validate the identity and integrity of external servers before granting agent access.
</t>
  </si>
  <si>
    <t>• Widespread compromise 
• Data theft 
• Service disruption</t>
  </si>
  <si>
    <t>T17. Supply Chain Compromise</t>
  </si>
  <si>
    <t>MCP-06: Supply Chain Attacks</t>
  </si>
  <si>
    <t>MCP04: Software Supply Chain Attacks</t>
  </si>
  <si>
    <t>Agents — Tools MCP Server 13.22</t>
  </si>
  <si>
    <t>Excessive Permissions and Scope Creep</t>
  </si>
  <si>
    <t>Excessive permissions occur when MCP servers request more permissions than necessary for their intended function, or when privileges gradually escalate over time. This includes overprivileged OAuth scopes, unnecessary file system access, and excessive API permissions that increase the potential impact of a compromise.</t>
  </si>
  <si>
    <t xml:space="preserve"> DASF 5
 DASF 38
 DASF 55
 DASF 64
 DASF 67
 DASF 68
 DASF 69
 DASF 70</t>
  </si>
  <si>
    <t>• DASF 5: Control access to data and other objects — implement a permissions model across all data assets accessed by MCP servers. Regularly review and prune permissions to prevent accumulation of unnecessary access over time.
• DASF 38: Platform security — penetration testing, red teaming, bug bounty and vulnerability management — conduct regular reviews of MCP server permission scopes to identify overprivileged configurations and scope creep.
• DASF 55: Monitor audit logs — track permission usage over time to detect scope creep. Alert on MCP servers or agents accessing resources beyond their originally granted scopes.
• DASF 64: Limit access from AI models and agents — enforce least privilege for all MCP servers and agents. Each server should only be granted the minimum OAuth scopes, file system access, and API permissions needed for its specific function.
• DASF 67: Federate authentication — use OAuth token federation with precisely scoped tokens. Define narrow, task-specific OAuth scopes for each MCP server integration to prevent overprivileged access.
• DASF 68: Use Securely Hosted Managed MCP Servers — Databricks managed MCP servers use OAuth and PAT authentication with controlled permission scopes, reducing the risk of overprivileged server configurations.
• DASF 69: Securely host Custom MCP Servers — deploy custom MCP servers as Databricks Apps with OAuth authentication and explicitly defined permission boundaries, preventing scope creep in custom deployments.
• DASF 70: Securely connect to External MCP Servers — validate the permission scopes requested by external MCP servers before granting access. Reject connections from servers requesting broader permissions than their stated  function requires.</t>
  </si>
  <si>
    <t>• Increased attack surface 
• Potential for greater damage if compromised</t>
  </si>
  <si>
    <t>MCP-07: Excessive Permissions and Scope Creep</t>
  </si>
  <si>
    <t>Agents — Tools MCP Server 13.23</t>
  </si>
  <si>
    <t>Data Exfiltration</t>
  </si>
  <si>
    <t xml:space="preserve">Data exfiltration involves unauthorized access to or transmission of sensitive data through MCP channels. This can occur through sensitive data in responses, covert channels, or unauthorized data access. The ability of MCP servers to access diverse data sources makes this a significant concern for data protection.
</t>
  </si>
  <si>
    <t>DASF 1
DASF 2
DASF 3
DASF 4
DASF 5
DASF 9
DASF 31
DASF 33
DASF 55
DASF 56
DASF 64
DASF 67
DASF 68
DASF 69
DASF 70</t>
  </si>
  <si>
    <t xml:space="preserve">Deploy Agents and MCP servers (managed and custom) with secure defaults and require clients to specify authentication.
•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9: Encrypt data in transit — ensure all data transmitted through MCP channels is encrypted to prevent interception.
• DASF 31: Secure model serving endpoints — prevent unauthorized access to MCP endpoints that could be used as exfiltration channels.
• DASF 33: Manage credentials securely — prevent credentials of data sources from leaking through MCP server responses.
• DASF 55: Monitor audit logs — detect unusual data access and transmission patterns indicative of exfiltration. Alert on large data transfers, unexpected resource access, or responses containing sensitive data patterns.
• DASF 56: Restrict outbound connections from models — limit the external destinations that MCP servers can transmit data to. Block unauthorized outbound connections that could serve as covert exfiltration channels.
• DASF 64: Limit access from AI models and agents — enforce least privilege so agents and MCP servers can only access the minimum data needed, reducing the volume of data that could be exfiltrated.
• DASF 67: Federate authentication — use OAuth token federation to control and audit which data sources MCP servers can access, preventing unauthorized data retrieval.
• DASF 68: Use Securely Hosted Managed MCP Servers — Databricks managed MCP servers enforce data access controls and prevent unauthorized data transmission through governed MCP channels.
• DASF 69: Securely host Custom MCP Servers — deploy custom MCP servers as Databricks Apps with controlled data access and egress policies.
• DASF 70: Securely connect to External MCP Servers — validate external MCP server destinations before establishing connections to prevent data being transmitted to unauthorized endpoints.
</t>
  </si>
  <si>
    <t>• Data breaches
• Privacy violations 
• Regulatory non-compliance</t>
  </si>
  <si>
    <t>MCP-08: Data Exfiltration</t>
  </si>
  <si>
    <t>Agents — Tools MCP Server 13.24</t>
  </si>
  <si>
    <t>Context Spoofing and Manipulation</t>
  </si>
  <si>
    <t>Context spoofing involves manipulation of context information provided to AI models to alter their behavior in unintended ways. Attacks target flaws in protocols like MCP or A2A, such as consent bypass or context hijacking, leading to unauthorized agent actions. This includes fake context injection, context poisoning, and state manipulation. These attacks exploit the AI model’s reliance on context to make decisions about tool usage.</t>
  </si>
  <si>
    <t xml:space="preserve"> DASF 1
 DASF 2
 DASF 3
 DASF 4
 DASF 5
 DASF 9
 DASF 31
 DASF 33
 DASF 37
 DASF 54
 DASF 55
 DASF 64
 DASF 67
 DASF 68
 DASF 69
 DASF 70</t>
  </si>
  <si>
    <t>Deploy Agents and MCP servers (managed and custom) with secure defaults and require clients to specify authentication.
•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9: Encrypt data in transit — protect context data transmitted between MCP components from interception and tampering.
• DASF 31: Secure model serving endpoints — prevent unauthorized parties from injecting manipulated context through exposed endpoints.
• DASF 33: Manage credentials securely — prevent credential-based context spoofing where attackers use stolen credentials to inject false identity context.
• DASF 37: Set up inference tables for monitoring and debugging — capture and analyze context inputs and outputs to detect spoofed or manipulated context patterns. Flag deviations from expected context structures.
• DASF 54: Implement AI guardrails — validate context integrity before it is processed by the agent. Reject context that contains injection patterns, unexpected state changes, or inconsistencies with the established session.
• DASF 55: Monitor audit logs — detect anomalous context patterns such as unexpected consent bypass attempts, state manipulation, or context inconsistencies that indicate spoofing.
• DASF 64: Limit access from AI models and agents — enforce least privilege so that even successfully spoofed context cannot grant access beyond the agent's authorized scope.
• DASF 67: Federate authentication — enforce strong agent-to-agent authentication to prevent context spoofing through identity impersonation in multi-agent workflows.
• DASF 68: Use Securely Hosted Managed MCP Servers — enforce strong agent-to-agent authentication on managed MCP servers, ensuring context integrity across agent communications.
• DASF 69: Securely host Custom MCP Servers — enforce strong agent-to-agent authentication on custom MCP servers to prevent context hijacking in custom deployments.
• DASF 70: Securely connect to External MCP Servers — enforce strong agent-to-agent authentication when connecting to external MCP servers to prevent context spoofing from untrusted sources.</t>
  </si>
  <si>
    <t>• Incorrect model behavior 
• Unauthorized actions 
• Security bypass</t>
  </si>
  <si>
    <t>T16. Insecure Inter-Agent Protocol Abuse</t>
  </si>
  <si>
    <t>MCP-09: Context Spoofing and Manipulation</t>
  </si>
  <si>
    <t>MCP10: Context Injection &amp; Over-Sharing</t>
  </si>
  <si>
    <t>Agents — Tools MCP Server 13.25</t>
  </si>
  <si>
    <t>Insecure Communication</t>
  </si>
  <si>
    <t>Insecure communication encompasses unencrypted or improperly secured communication channels between MCP components. This includes unencrypted transport, weak TLS implementation, and vulnerability to man-in-the-middle attacks. Secure communication is fundamental to preventing interception of sensitive data and credentials.</t>
  </si>
  <si>
    <t>DASF 3
DASF 4
DASF 9
DASF 55
DASF 62
DASF 68
DASF 69
DASF 70</t>
  </si>
  <si>
    <t xml:space="preserve">• DASF 3: Restrict access using IP access lists — limit the sources permitted to initiate communication with MCP servers, reducing the attack surface for man-in-the-middle interception.
• DASF 4: Restrict access using private link — enforce private network paths for MCP communication to prevent traffic from traversing untrusted public networks where interception is possible.
• DASF 9: Encrypt data in transit — enforce TLS 1.2+ for all communication between MCP clients, servers, and external endpoints. Reject weak cipher suites and prevent protocol downgrade attacks.
• DASF 55: Monitor audit logs — detect communication anomalies such as failed TLS handshakes, unexpected connection attempts, and indicators of man-in-the-middle activity.
• DASF 62: Implement network segmentation — isolate MCP communication channels from general network traffic to limit exposure and contain the impact of any communication compromise.
• DASF 68: Use Securely Hosted Managed MCP Servers — Databricks managed MCP servers enforce TLS encryption by default, eliminating the risk of misconfigured or absent encryption in self-managed deployments.
• DASF 69: Securely host Custom MCP Servers — deploy custom MCP servers as Databricks Apps, which enforces secure communication standards and prevents weak TLS configurations in custom implementations.
• DASF 70: Securely connect to External MCP Servers — use Databricks managed MCP proxies to enforce secure, encrypted connections to external MCP servers. Validate TLS certificates and reject connections from servers with invalid or untrusted certificates.
</t>
  </si>
  <si>
    <t xml:space="preserve">• Data interception 
• Credential theft 
• Communication tampering
</t>
  </si>
  <si>
    <t>MCP-10: Insecure Communication</t>
  </si>
  <si>
    <t>Agents — Tools MCP Client 13.26</t>
  </si>
  <si>
    <t>Malicious Server Connection</t>
  </si>
  <si>
    <t>Malicious server connection occurs when clients connect to compromised or malicious MCP servers without proper validation. This includes fake servers, DNS poisoning, server impersonation, and connection hijacking. The distributed nature of MCP server deployment makes it easy for attackers to create malicious servers that appear legitimate to unsuspecting clients.</t>
  </si>
  <si>
    <t xml:space="preserve"> DASF 9
 DASF 38
 DASF 55
 DASF 68
 DASF 69
 DASF 70
</t>
  </si>
  <si>
    <t>• DASF 9: Encrypt data in transit — enforce TLS certificate validation when connecting to MCP servers. Reject connections from servers with invalid, expired, or untrusted certificates that may indicate server impersonation or DNS poisoning.
• DASF 38: Platform security — penetration testing, red teaming, bug bounty and vulnerability management — regularly test MCP client configurations for susceptibility to malicious server connections and server impersonation attacks.
• DASF 55: Monitor audit logs — detect connections to unexpected or unauthorized MCP servers. Alert on new server connections, DNS resolution anomalies, and certificate changes that may indicate connection hijacking.
• DASF 68: Use Securely Hosted Managed MCP Servers with OAuth and PAT authentication — connect to Databricks managed MCP servers as trusted, verified endpoints, reducing reliance on externally hosted servers that may be  compromised.
• DASF 69: Securely host Custom MCP Servers with OAuth authentication — host custom MCP servers within Databricks to ensure client connections remain within a trusted, governed environment. 
• DASF 70: Securely connect to External MCP Servers — use Databricks managed MCP proxies and Unity Catalog HTTP connections to authenticate external server connections. Only connect to known, pre-approved MCP servers using OAuth to prevent connection to malicious imposters.</t>
  </si>
  <si>
    <t>• Data theft 
• Malicious code execution 
• Credential compromise</t>
  </si>
  <si>
    <t>MCP-C01: Malicious Server Connection</t>
  </si>
  <si>
    <t>MCP09: Shadow MCP Servers</t>
  </si>
  <si>
    <t>Agents — Tools MCP Client 13.27</t>
  </si>
  <si>
    <t>Insecure Credential Storage</t>
  </si>
  <si>
    <t>Insecure credential storage involves improper storage of MCP server credentials, API keys, and authentication tokens on the client system. This includes plaintext credentials, weak encryption, accessible credential files, and inadequate protection of sensitive authentication data. Client-side credential storage is particularly vulnerable to local attacks and system compromise.</t>
  </si>
  <si>
    <t xml:space="preserve"> DASF 8
 DASF 33
 DASF 38
 DASF 55
 DASF 67
 DASF 68
 DASF 69
 DASF 70
</t>
  </si>
  <si>
    <t>• DASF 8: Encrypt data at rest — ensure all MCP client credentials, API keys, and authentication tokens stored on the client system are encrypted at rest. Never store credentials in plaintext configuration files or accessible credential stores.
• DASF 33: Manage credentials securely — use Databricks Secrets to store MCP server credentials and authentication tokens rather than plaintext files or environment variables. Reference secrets programmatically to prevent exposure in code or configuration.
• DASF 38: Platform security — penetration testing, red teaming, bug bounty and vulnerability management — test MCP client systems for insecure credential storage vulnerabilities, including accessible credential files, weak encryption, and inadequate access controls on secret stores.
• DASF 55: Monitor audit logs — detect unauthorized access to client credential stores and alert on unusual credential retrieval patterns that may indicate local compromise or credential theft.
• DASF 67: Federate authentication — use OAuth token federation to authenticate to MCP servers, eliminating the need for long-lived static credentials stored on the client. Short-lived federated tokens reduce the risk from client-side credential compromise.
• DASF 68: Use Securely Hosted Managed MCP Servers with OAuth and PAT authentication — authenticate to managed MCP servers using OAuth, avoiding the need to store static API keys or service credentials on the client.
• DASF 69: Securely host Custom MCP Servers with OAuth authentication — authenticate to custom MCP servers using OAuth to minimize the use of long-lived credentials that require secure client-side storage.
• DASF 70: Securely connect to External MCP Servers — use Databricks managed MCP proxies to handle authentication to external servers, centralizing credential management and removing the need for clients to store external server credentials locally.</t>
  </si>
  <si>
    <t>• Credential theft 
• Unauthorized server access 
• Account takeover</t>
  </si>
  <si>
    <t>MCP-C02: Insecure Credential Storage</t>
  </si>
  <si>
    <t>Agents — Tools MCP Client 13.28</t>
  </si>
  <si>
    <t>UI/UX Deception</t>
  </si>
  <si>
    <t>UI/UX deception involves misleading users about MCP server actions, permissions, or capabilities through the client interface. This includes hidden tool calls, misleading permission dialogs, unclear action descriptions, and interfaces that don't clearly communicate what actions are being performed. Users may unknowingly authorize dangerous operations</t>
  </si>
  <si>
    <t>DASF 1
DASF 2
DASF 3
DASF 4
DASF 5
DASF 9
DASF 31
DASF 33
DASF 55
DASF 61
DASF 64
DASF 65
DASF 66
DASF 67
DASF 68
DASF 69
DASF 70</t>
  </si>
  <si>
    <t>Deploy Agents and MCP servers (managed and custom) with secure defaults and require clients to specify authentication.
• DASF 1: SSO with IdP and MFA to limit who can access your data and AI platform.
• DASF 2: Sync users and groups to inherit your organizational roles to access data.
• DASF 3: Restrict access using IP access lists that can authenticate to your data and AI platform.
• DASF 4: Restrict access using private link as strong controls that limit the source for inbound requests.
• DASF 5: Control access to data and other objects for permissions model across all data assets to protect data and sources.
• DASF 9: Encrypt data in transit — protect communications between client and MCP servers from interception and tampering.
• DASF 31: Secure model serving endpoints — prevent unauthorized exposure of endpoints that could be exploited to deliver deceptive UI content.
• DASF 33: Manage credentials securely — prevent credentials from being harvested through deceptive permission dialogs or fake authentication prompts.
• DASF 55: Monitor audit logs — detect discrepancies between actions presented to users and actions actually executed by MCP clients. Alert on hidden tool calls or actions that were not clearly communicated in the interface.
• DASF 61: Train users on AI/ML security — educate users to recognize deceptive UI patterns such as misleading permission dialogs, hidden tool calls, and unclear action descriptions. Establish organizational guidance on what legitimate MCP permission requests look like.
• DASF 64: Limit access from AI models and agents — enforce least privilege so that even if a user is deceived into authorizing an action, the agent cannot access resources beyond its permitted scope.
• DASF 65: Implement end-to-end AI traceability — make all agent actions and tool calls visible and auditable, enabling users to verify that the actions taken match what was displayed in the interface.
• DASF 66: Use Human-in-the-loop feedback — require explicit, informed user approval before consequential MCP actions are executed. Design approval flows that clearly communicate the full scope and impact of the action being authorized.
• DASF 67: Federate authentication — use OAuth token federation to ensure authentication dialogs are genuine and originate from trusted identity providers, not deceptive client interfaces.
• DASF 68: Use Securely Hosted Managed MCP Servers — Databricks managed MCP servers present transparent, standardized interfaces that reduce the risk of deceptive UI patterns in server-client interactions.
• DASF 69: Securely host Custom MCP Servers — deploy custom MCP servers as Databricks Apps with verified, transparent interfaces that accurately represent the actions and permissions they require.
• DASF 70: Securely connect to External MCP Servers — validate external MCP server interfaces before use. Reject connections to servers presenting misleading or non-standard permission requests.</t>
  </si>
  <si>
    <t>• Unintended actions 
• Data exposure 
• User manipulation</t>
  </si>
  <si>
    <t>MCP-C03: UI/UX Deception</t>
  </si>
  <si>
    <t>Agents — Tools MCP Client 13.29</t>
  </si>
  <si>
    <t>Insufficient Server Validation</t>
  </si>
  <si>
    <t>Insufficient server validation occurs when clients fail to properly validate MCP server authenticity and integrity before establishing connections. This includes no certificate validation, missing server verification, weak trust models, and inadequate verification of server identity. Without proper validation, clients may connect to malicious servers.</t>
  </si>
  <si>
    <t>DASF 9
DASF 38
DASF 55
DASF 67
DASF 68
DASF 69
DASF 70</t>
  </si>
  <si>
    <t xml:space="preserve">• DASF 9: Encrypt data in transit — enforce strict TLS certificate validation for all MCP server connections. Reject servers with invalid, expired, self-signed, or untrusted certificates. Prevent protocol downgrade attacks that   bypass certificate validation.
• DASF 38: Platform security — penetration testing, red teaming, bug bounty and vulnerability management — test MCP client configurations for certificate validation bypasses, weak trust models, and susceptibility to server  impersonation attacks.
• DASF 55: Monitor audit logs — detect certificate validation failures, unexpected server identity changes, and anomalous connection attempts that indicate insufficient validation is being bypassed or exploited.
• DASF 67: Federate authentication — use OAuth token federation as an additional layer of server identity verification. OAuth-based authentication requires servers to present valid credentials from trusted identity providers, supplementing certificate-based validation.
• DASF 68: Use Securely Hosted Managed MCP Servers with OAuth and PAT authentication — Databricks managed MCP servers present verified, trusted identities, eliminating client-side validation uncertainty for managed server connections.
• DASF 69: Securely host Custom MCP Servers with OAuth authentication — deploy custom MCP servers as Databricks Apps with verified identities, ensuring clients can reliably validate server authenticity before connecting.
• DASF 70: Securely connect to External MCP Servers — use Databricks managed MCP proxies to handle server identity validation for external connections. Only connect to pre-approved, known MCP servers using OAuth to ensure server authenticity is verified before granting agent access.
</t>
  </si>
  <si>
    <t>• Connection to malicious servers 
• Man-in-the-middle attacks</t>
  </si>
  <si>
    <t>MCP-C04: Insufficient Server Validation</t>
  </si>
  <si>
    <t>Agents — Tools MCP Client 13.30</t>
  </si>
  <si>
    <t>Client-Side Data Leakage</t>
  </si>
  <si>
    <t>Client-side data leakage involves sensitive data leaking through client logs, caches, temporary files, or local storage mechanisms. This includes credentials in logs, cached sensitive responses, temporary file exposure, and inadequate cleanup of sensitive data. Client systems often store more data than users realize, creating multiple leakage vectors.</t>
  </si>
  <si>
    <t>DASF 1
DASF 2
DASF 3
DASF 4
DASF 5
DASF 8
DASF 33
DASF 55
DASF 61
DASF 64</t>
  </si>
  <si>
    <t xml:space="preserve">• DASF 1: SSO with IdP and MFA to limit who can access the client system and its locally stored data.
• DASF 2: Sync users and groups to inherit your organizational roles to access data, ensuring only authorized users can access client-side cached data and logs.
• DASF 3: Restrict access using IP access lists that can authenticate to your data and AI platform, limiting exposure of client systems to trusted network sources.
• DASF 4: Restrict access using private link as strong controls that limit the source for inbound requests, preventing unauthorized access to client systems that may hold cached sensitive data.
• DASF 5: Control access to data and other objects — restrict access to client-side log files, caches, and temporary storage that may contain sensitive MCP response data.
• DASF 8: Encrypt data at rest — encrypt local client caches, temporary files, and log storage to prevent sensitive data exposure in the event of client system compromise or unauthorized access.
• DASF 33: Manage credentials securely — configure MCP clients to never log credentials, API keys, or authentication tokens. Use Databricks Secrets to ensure sensitive authentication data is not written to local storage or log files.
• DASF 55: Monitor audit logs — detect unusual access to client-side data stores, log files, and caches that may indicate data exfiltration from local leakage vectors.
• DASF 61: Train users on AI/ML security — educate users about client-side data leakage risks, including the presence of sensitive data in MCP client logs, caches, and temp files. Establish data hygiene practices for clearing sensitive local data.
• DASF 64: Limit access from AI models and agents — restrict the scope of data that MCP clients can retrieve and cache locally, reducing the volume and sensitivity of data exposed through client-side leakage vectors.
</t>
  </si>
  <si>
    <t>• Data breaches 
• Credential exposure 
• Privacy violations</t>
  </si>
  <si>
    <t>MCP-C05: Client-Side Data Leakage</t>
  </si>
  <si>
    <t>Agents — Tools MCP Client 13.31</t>
  </si>
  <si>
    <t>Excessive Permission Granting</t>
  </si>
  <si>
    <t xml:space="preserve"> Excessive permission granting occurs when clients grant more permissions to MCP servers than necessary for their intended function. This includes overprivileged server access, permission escalation, unnecessary scopes, and inadequate permission review processes. Users may grant broad permissions without understanding the implications.</t>
  </si>
  <si>
    <t>DASF 5
DASF 55
DASF 61
DASF 64
DASF 67
DASF 68
DASF 69
DASF 70</t>
  </si>
  <si>
    <t xml:space="preserve">• DASF 5: Control access to data and other objects — implement a permissions model that enforces granular, task-specific access grants to MCP servers. Establish a permission review process to regularly audit and revoke unnecessary grants.
• DASF 55: Monitor audit logs — track permission grants over time to detect accumulation of unnecessary access. Alert when clients grant permissions beyond established baselines or when permission scopes expand without review.
• DASF 61: Train users on AI/ML security — educate users on the implications of granting broad permissions to MCP servers. Establish organizational guidance on what constitutes acceptable permission scopes and require explicit justification for elevated grants.
• DASF 64: Limit access from AI models and agents — enforce least privilege principles for all MCP server permission grants. Clients should only authorize the minimum permissions required for the specific task, not blanket access to all available resources.
• DASF 67: Federate authentication — use OAuth token federation with precisely defined scopes when granting MCP server access. Narrowly scoped OAuth tokens prevent clients from inadvertently granting broader access than intended.
• DASF 68: Use Securely Hosted Managed MCP Servers with OAuth and PAT authentication — Databricks managed MCP servers use controlled permission scopes, reducing the risk of overprivileged grants in managed server interactions.
• DASF 69: Securely host Custom MCP Servers with OAuth authentication — deploy custom MCP servers as Databricks Apps with explicitly defined permission boundaries, preventing clients from granting excessive access to custom deployments.
• DASF 70: Securely connect to External MCP Servers — validate and restrict the permission scopes requested by external MCP servers before granting access. Reject connections from external servers requesting broader permissions than their stated function requires.
</t>
  </si>
  <si>
    <t>• Increased attack surface 
• Potential for greater damage</t>
  </si>
  <si>
    <t>MCP-C06: Excessive Permission Granting</t>
  </si>
  <si>
    <t>Agents — Tools MCP Client 13.32</t>
  </si>
  <si>
    <t>Client-Side Code Execution</t>
  </si>
  <si>
    <t>Client-side code execution involves malicious responses from MCP servers that execute code on the client system. This includes script injection, code execution via responses, client-side attacks through crafted responses, and exploitation of client-side interpreters. Clients that process server responses unsafely are vulnerable to code execution attacks.</t>
  </si>
  <si>
    <t>DASF 34
DASF 54
DASF 55
DASF 62
DASF 68
DASF 69
DASF 70</t>
  </si>
  <si>
    <t xml:space="preserve">• DASF 34: Run models in multiple layers of isolation — execute MCP client code and process server responses in sandboxed, isolated environments with unprivileged VMs and network segregation. Treat all MCP server responses as potentially malicious and restrict the ability of response-derived code to interact with the broader system.
• DASF 54: Implement AI guardrails — validate and sanitize all MCP server responses before processing. Detect and block responses containing script injection patterns, embedded executables, or content designed to exploit client-side interpreters.
• DASF 55: Monitor audit logs — detect anomalous code execution activity on client systems, including unexpected process spawning, unusual file system writes, and network connections initiated by MCP client processes.
• DASF 62: Implement network segmentation — isolate MCP client environments from sensitive internal systems. Contain the impact of successful client-side code execution by preventing compromised clients from traversing to critical infrastructure.
• DASF 68: Use Securely Hosted Managed MCP Servers with OAuth and PAT authentication — Databricks managed MCP servers are vetted and maintained, significantly reducing the risk of malicious responses designed to execute code on client systems.
• DASF 69: Securely host Custom MCP Servers with OAuth authentication — deploy custom MCP servers as Databricks Apps under organizational control, ensuring server responses are governed and cannot deliver malicious payloads to clients.
• DASF 70: Securely connect to External MCP Servers — use Databricks managed MCP proxies to intermediate connections to external servers. Only connect to pre-approved external servers, reducing exposure to servers that may deliver malicious response payloads.
</t>
  </si>
  <si>
    <t>• Client compromise 
• Malware installation 
• System takeover</t>
  </si>
  <si>
    <t>• Legal fines
• Regulatory Fines and Judgement
• Loss of Competitive Advantage
• Proprietary Data Loss</t>
  </si>
  <si>
    <t>MCP-C07: Client-Side Code Execution</t>
  </si>
  <si>
    <t>Agents — Tools MCP Client 13.33</t>
  </si>
  <si>
    <t>Insecure Communication Handling</t>
  </si>
  <si>
    <t xml:space="preserve"> Insecure communication handling involves poor implementation of secure communication protocols between clients and servers. This includes weak TLS implementation, certificate bypass vulnerabilities, protocol downgrade attacks, and inadequate encryption of sensitive communications. Clients must properly implement secure communication to protect data in transit.</t>
  </si>
  <si>
    <t>DASF 3
DASF 4
DASF 9
DASF 38
DASF 55
DASF 63
DASF 68
DASF 69
DASF 70</t>
  </si>
  <si>
    <t xml:space="preserve">• DASF 3: Restrict access using IP access lists that can authenticate to your data and AI platform, reducing the network surface where insecure communication could be intercepted.
• DASF 4: Restrict access using private link as strong controls that limit the source for inbound requests, ensuring MCP client communications traverse only trusted private network paths.
• DASF 9: Encrypt data in transit — enforce TLS 1.2+ with strong cipher suites for all MCP client-server communications. Disable weak cipher suites, enforce certificate validation, and prevent protocol downgrade attacks that could expose communications to interception.
• DASF 38: Platform security — penetration testing, red teaming, bug bounty and vulnerability management — test MCP client communication implementations for weak TLS configurations, certificate bypass vulnerabilities, and susceptibility to protocol downgrade attacks.
• DASF 55: Monitor audit logs — detect man-in-the-middle indicators, TLS handshake failures, unexpected certificate changes, and communication anomalies that suggest insecure communication is being exploited.
• DASF 63: Update software — keep MCP client software and TLS libraries patched and updated. Outdated TLS libraries are a primary source of protocol downgrade vulnerabilities and weak cipher suite exposure.
• DASF 68: Use Securely Hosted Managed MCP Servers with OAuth and PAT authentication — Databricks managed MCP servers enforce proper TLS on the server side, ensuring client communication handlers interact with a securely configured endpoint.
• DASF 69: Securely host Custom MCP Servers with OAuth authentication — deploy custom MCP servers as Databricks Apps with enforced TLS standards, ensuring client communication implementations connect to servers that require proper secure communication.
• DASF 70: Securely connect to External MCP Servers — use Databricks managed MCP proxies to handle communication security for external server connections, offloading TLS implementation risk from individual MCP clients.
</t>
  </si>
  <si>
    <t>MCP-C08: Insecure Communication Handling</t>
  </si>
  <si>
    <t>Agents — Tools MCP Client 13.34</t>
  </si>
  <si>
    <t>Session and State Management Failures</t>
  </si>
  <si>
    <t>Session and state management failures involve inadequate management of client sessions, authentication state, and application state. This includes session hijacking, state manipulation, authentication bypass, and inadequate session termination. Poor session management can lead to unauthorized access and privilege escalation.</t>
  </si>
  <si>
    <t>DASF 1
DASF 3
DASF 4
DASF 5
DASF 9
DASF 55
DASF 64
DASF 67
DASF 68
DASF 69
DASF 70
DASF 72</t>
  </si>
  <si>
    <t xml:space="preserve">• DASF 1: SSO with IdP and MFA — enforce strong authentication at session initiation to prevent unauthorized session establishment and authentication bypass.
• DASF 3: Restrict access using IP access lists that can authenticate to your data and AI platform, limiting the network sources from which sessions can be established.
• DASF 4: Restrict access using private link as strong controls that limit the source for inbound requests, ensuring MCP sessions are established only from trusted network paths.
• DASF 5: Control access to data and other objects for permissions model across all data assets to protect data and sources, ensuring session state cannot be manipulated to escalate privileges.
• DASF 9: Encrypt data in transit — protect session tokens and state data transmitted between MCP clients and servers from interception and session hijacking attacks.
• DASF 55: Monitor audit logs — detect session anomalies including simultaneous sessions from different locations, unexpected session state changes, abnormal session durations, and failed authentication attempts that may indicate hijacking or bypass attacks.
• DASF 64: Limit access from AI models and agents — enforce least privilege within sessions so that even a hijacked or manipulated session cannot access resources beyond the agent's authorized scope.
• DASF 67: Federate authentication — use OAuth token federation with short-lived tokens and proper session lifecycle management. Short-lived tokens reduce the window of opportunity for session hijacking and ensure proper session termination.
• DASF 68: Use Securely Hosted Managed MCP Servers with OAuth and PAT authentication — Databricks managed MCP servers implement secure session management by default, reducing client-side session handling complexity.
• DASF 69: Securely host Custom MCP Servers with OAuth authentication — deploy custom MCP servers as Databricks Apps with enforced secure session management, ensuring server-side state is properly protected.
• DASF 70: Securely connect to External MCP Servers — use secure OAuth connections when connecting to external MCP servers to ensure session establishment is properly authenticated and state is securely managed.
• DASF 72: Securely store and reuse agent state — use the Databricks AI Agent Framework to securely store, manage, and restore agent state between sessions. Prevent state tampering by storing agent state in governed, access-controlled storage rather than client-side mechanisms susceptible to manipulation.
</t>
  </si>
  <si>
    <t xml:space="preserve">• Unauthorized access 
• Privilege escalation 
• Data manipulation
</t>
  </si>
  <si>
    <t>MCP-C09: Session and State Management Failures</t>
  </si>
  <si>
    <t>Agents — Tools MCP Client 13.35</t>
  </si>
  <si>
    <t>Update and Patch Management</t>
  </si>
  <si>
    <t>Update and patch management issues involve insecure update mechanisms or delayed application of security patches. This includes unverified updates, delayed patches, insecure update channels, and inadequate update verification. Clients with poor update mechanisms remain vulnerable to known security issues.</t>
  </si>
  <si>
    <t>DASF 38
DASF 53
DASF 55
DASF 63
DASF 68
DASF 69</t>
  </si>
  <si>
    <t xml:space="preserve">• DASF 38: Platform security — penetration testing, red teaming, bug bounty and vulnerability management — maintain an active vulnerability management program for MCP client software. Track CVEs affecting MCP client dependencies  and prioritize patching based on exploitability and impact.
• DASF 53: Third-party library control — govern the update and verification of third-party MCP client libraries and dependencies. Validate the integrity and authenticity of updates before applying them. Monitor for abandoned or unmaintained libraries that will no longer receive security patches.
• DASF 55: Monitor audit logs — detect exploitation attempts targeting known unpatched vulnerabilities in MCP client software. Anomalous behavior patterns may indicate a known vulnerability is being actively exploited, signaling urgent patch deployment.
• DASF 63: Update software — patch and update MCP client software and all dependencies regularly to address known vulnerabilities. In Databricks, automatic cluster updates ensure OS images and security patches are applied
  periodically. Establish a patch cadence and SLA for critical security updates to MCP client components.
• DASF 68: Use Securely Hosted Managed MCP Servers — Databricks managed MCP servers are maintained and patched by Databricks, removing the operational burden of server-side patch management and ensuring clients always connect to up-to-date server software.
• DASF 69: Securely host Custom MCP Servers — deploy custom MCP servers as Databricks Apps to benefit from platform-level updates and security patches applied by Databricks, reducing the risk of running unpatched custom server software.
</t>
  </si>
  <si>
    <t>• Persistent vulnerabilities 
• Malware distribution 
• System compromise</t>
  </si>
  <si>
    <t>MCP-C10: Update and Patch Management</t>
  </si>
  <si>
    <t>Control ID</t>
  </si>
  <si>
    <t>Control</t>
  </si>
  <si>
    <t>Description</t>
  </si>
  <si>
    <t>Databricks Details</t>
  </si>
  <si>
    <t>Control Metadata</t>
  </si>
  <si>
    <t>Databricks Shared Responsibility</t>
  </si>
  <si>
    <t>Databricks Product Reference</t>
  </si>
  <si>
    <t>Databricks Documentation (AWS)</t>
  </si>
  <si>
    <t>Databricks Documentation
(Azure)</t>
  </si>
  <si>
    <t>Databricks Documentation
(GCP)</t>
  </si>
  <si>
    <t>Security Control Type</t>
  </si>
  <si>
    <t>AI System Component Step</t>
  </si>
  <si>
    <t>Feature / Control</t>
  </si>
  <si>
    <r>
      <rPr>
        <rFont val="DM Sans"/>
        <b/>
        <color rgb="FF000000"/>
        <sz val="18.0"/>
      </rPr>
      <t>Security Analysis Tool (</t>
    </r>
    <r>
      <rPr>
        <rFont val="DM Sans"/>
        <b/>
        <color rgb="FF1155CC"/>
        <sz val="18.0"/>
      </rPr>
      <t>SAT</t>
    </r>
    <r>
      <rPr>
        <rFont val="DM Sans"/>
        <b/>
        <color rgb="FF000000"/>
        <sz val="18.0"/>
      </rPr>
      <t>)</t>
    </r>
  </si>
  <si>
    <t>AI System Novelty</t>
  </si>
  <si>
    <t>HITRUST Security for AI Systems</t>
  </si>
  <si>
    <r>
      <rPr>
        <rFont val="DM Sans"/>
        <b/>
        <color rgb="FF000000"/>
        <sz val="18.0"/>
      </rPr>
      <t>ENISA’s Securing ML Algorithms</t>
    </r>
    <r>
      <rPr>
        <rFont val="DM Sans"/>
        <b/>
        <color rgb="FF000000"/>
        <sz val="18.0"/>
      </rPr>
      <t xml:space="preserve">
</t>
    </r>
  </si>
  <si>
    <t>EU AI ACT</t>
  </si>
  <si>
    <t>NIST CSF 2.0</t>
  </si>
  <si>
    <t>AIUC-1</t>
  </si>
  <si>
    <t>DASF 1</t>
  </si>
  <si>
    <t>Raw data 1.1, Data Prep 2.1, Data Prep 2.2, Data Prep 2.3, Data Prep 2.4, Datasets 3.1, Evaluation 6.1, Model 7.1, Model 7.2, Model Management 8.2, Model Management 8.4, Model Serving — Inference requests 9.1, Model Serving — Inference requests 9.2, Model Serving — Inference requests 9.5, Model Serving — Inference requests 9.6, Model Serving — Inference requests 9.7, Model Serving — Inference requests 9.9, Model Serving — Inference requests 9.10,Model Serving — Inference requests 9.11, Model Serving — Inference requests 9.12 ,Model Serving — Inference response 10.3, Model Serving — Inference response 10.4, Platform 12.7, Agents — Core 13.1, Agents — Core 13.2, Agents — Core 13.3, Agents — Core 13.6, Agents — Core 13.7, Agents — Core 13.8, Agents — Core 13.9, Agents — Core 13.14, Agents — Core 13.15, Agents — Tools MCP Server 13.16, Agents — Tools MCP Server 13.17, Agents — Tools MCP Server 13.18, Agents — Tools MCP Server 13.20, Agents — Tools MCP Server 13.23, Agents — Tools MCP Server 13.24, Agents — Tools MCP Client 13.28, Agents — Tools MCP Client 13.30, Agents — Tools MCP Client 13.34</t>
  </si>
  <si>
    <t>Implementing single sign-on with an identity provider’s (IdP) multi-factor authentication is critical for secure authentication. It adds an extra layer of security, ensuring that only authorized users access the Databricks Platform.</t>
  </si>
  <si>
    <t>Databricks — Configuration</t>
  </si>
  <si>
    <t>Customer configured, Databricks enforced</t>
  </si>
  <si>
    <r>
      <rPr>
        <rFont val="&quot;DM Sans&quot;, sans-serif"/>
        <color rgb="FF1155CC"/>
        <u/>
      </rPr>
      <t>AWS</t>
    </r>
  </si>
  <si>
    <r>
      <rPr>
        <rFont val="&quot;DM Sans&quot;, sans-serif"/>
        <color rgb="FF1155CC"/>
        <u/>
      </rPr>
      <t>Azure</t>
    </r>
  </si>
  <si>
    <r>
      <rPr>
        <rFont val="&quot;DM Sans&quot;, sans-serif"/>
        <color rgb="FF1155CC"/>
        <u/>
      </rPr>
      <t>GCP</t>
    </r>
  </si>
  <si>
    <t>Access and Authentication</t>
  </si>
  <si>
    <t xml:space="preserve">Operations and Platform </t>
  </si>
  <si>
    <t>IA-1</t>
  </si>
  <si>
    <t>Traditional Control/Capability</t>
  </si>
  <si>
    <r>
      <rPr>
        <rFont val="DM Sans"/>
        <color rgb="FF1155CC"/>
        <sz val="10.0"/>
        <u/>
      </rPr>
      <t>M1036</t>
    </r>
    <r>
      <rPr>
        <rFont val="DM Sans"/>
        <sz val="10.0"/>
      </rPr>
      <t xml:space="preserve"> Account Use Policies
</t>
    </r>
    <r>
      <rPr>
        <rFont val="DM Sans"/>
        <color rgb="FF1155CC"/>
        <sz val="10.0"/>
        <u/>
      </rPr>
      <t>M1032</t>
    </r>
    <r>
      <rPr>
        <rFont val="DM Sans"/>
        <sz val="10.0"/>
      </rPr>
      <t xml:space="preserve"> Multi-factor Authentication
</t>
    </r>
    <r>
      <rPr>
        <rFont val="DM Sans"/>
        <color rgb="FF1155CC"/>
        <sz val="10.0"/>
        <u/>
      </rPr>
      <t>M1027</t>
    </r>
    <r>
      <rPr>
        <rFont val="DM Sans"/>
        <sz val="10.0"/>
      </rPr>
      <t xml:space="preserve"> Password Policies</t>
    </r>
  </si>
  <si>
    <r>
      <rPr>
        <rFont val="DM Sans"/>
        <color rgb="FF1155CC"/>
        <sz val="10.0"/>
        <u/>
      </rPr>
      <t>LLM01.1</t>
    </r>
    <r>
      <rPr>
        <rFont val="DM Sans"/>
        <sz val="10.0"/>
      </rPr>
      <t xml:space="preserve">: Prompt Injection
</t>
    </r>
    <r>
      <rPr>
        <rFont val="DM Sans"/>
        <color rgb="FF1155CC"/>
        <sz val="10.0"/>
        <u/>
      </rPr>
      <t>LLM02.1</t>
    </r>
    <r>
      <rPr>
        <rFont val="DM Sans"/>
        <sz val="10.0"/>
      </rPr>
      <t xml:space="preserve">: Insecure Output Handling
</t>
    </r>
    <r>
      <rPr>
        <rFont val="DM Sans"/>
        <color rgb="FF1155CC"/>
        <sz val="10.0"/>
        <u/>
      </rPr>
      <t>LLM03.CEV.5</t>
    </r>
    <r>
      <rPr>
        <rFont val="DM Sans"/>
        <sz val="10.0"/>
      </rPr>
      <t xml:space="preserve">: Training Data Poisoning
</t>
    </r>
    <r>
      <rPr>
        <rFont val="DM Sans"/>
        <color rgb="FF1155CC"/>
        <sz val="10.0"/>
        <u/>
      </rPr>
      <t>LLM06.3</t>
    </r>
    <r>
      <rPr>
        <rFont val="DM Sans"/>
        <sz val="10.0"/>
      </rPr>
      <t xml:space="preserve">: Sensitive Information Disclosure
</t>
    </r>
    <r>
      <rPr>
        <rFont val="DM Sans"/>
        <color rgb="FF1155CC"/>
        <sz val="10.0"/>
        <u/>
      </rPr>
      <t>LLM07.4,5, 6</t>
    </r>
    <r>
      <rPr>
        <rFont val="DM Sans"/>
        <sz val="10.0"/>
      </rPr>
      <t xml:space="preserve">: Insecure Plugin Design
</t>
    </r>
    <r>
      <rPr>
        <rFont val="DM Sans"/>
        <color rgb="FF1155CC"/>
        <sz val="10.0"/>
        <u/>
      </rPr>
      <t>LLM08.5, 7</t>
    </r>
    <r>
      <rPr>
        <rFont val="DM Sans"/>
        <sz val="10.0"/>
      </rPr>
      <t>: Excessive Agency</t>
    </r>
  </si>
  <si>
    <r>
      <rPr>
        <rFont val="DM Sans"/>
        <color rgb="FF1155CC"/>
        <sz val="10.0"/>
        <u/>
      </rPr>
      <t>ML02:2023</t>
    </r>
    <r>
      <rPr>
        <rFont val="DM Sans"/>
        <sz val="10.0"/>
      </rPr>
      <t xml:space="preserve"> Data Poisoning Attack
</t>
    </r>
    <r>
      <rPr>
        <rFont val="DM Sans"/>
        <color rgb="FF1155CC"/>
        <sz val="10.0"/>
        <u/>
      </rPr>
      <t>ML03:2023</t>
    </r>
    <r>
      <rPr>
        <rFont val="DM Sans"/>
        <sz val="10.0"/>
      </rPr>
      <t xml:space="preserve"> Model Inversion Attack
</t>
    </r>
    <r>
      <rPr>
        <rFont val="DM Sans"/>
        <color rgb="FF1155CC"/>
        <sz val="10.0"/>
        <u/>
      </rPr>
      <t>ML04:2023</t>
    </r>
    <r>
      <rPr>
        <rFont val="DM Sans"/>
        <sz val="10.0"/>
      </rPr>
      <t xml:space="preserve"> Membership Inference Attack
</t>
    </r>
    <r>
      <rPr>
        <rFont val="DM Sans"/>
        <color rgb="FF1155CC"/>
        <sz val="10.0"/>
        <u/>
      </rPr>
      <t>ML05:2023</t>
    </r>
    <r>
      <rPr>
        <rFont val="DM Sans"/>
        <sz val="10.0"/>
      </rPr>
      <t xml:space="preserve"> Model Theft
</t>
    </r>
    <r>
      <rPr>
        <rFont val="DM Sans"/>
        <color rgb="FF1155CC"/>
        <sz val="10.0"/>
        <u/>
      </rPr>
      <t>ML08:2023</t>
    </r>
    <r>
      <rPr>
        <rFont val="DM Sans"/>
        <sz val="10.0"/>
      </rPr>
      <t xml:space="preserve"> Model Skewing
</t>
    </r>
    <r>
      <rPr>
        <rFont val="DM Sans"/>
        <color rgb="FF1155CC"/>
        <sz val="10.0"/>
        <u/>
      </rPr>
      <t>ML09:2023</t>
    </r>
    <r>
      <rPr>
        <rFont val="DM Sans"/>
        <sz val="10.0"/>
      </rPr>
      <t xml:space="preserve"> Output Integrity Attack
</t>
    </r>
    <r>
      <rPr>
        <rFont val="DM Sans"/>
        <color rgb="FF1155CC"/>
        <sz val="10.0"/>
        <u/>
      </rPr>
      <t>ML10:2023</t>
    </r>
    <r>
      <rPr>
        <rFont val="DM Sans"/>
        <sz val="10.0"/>
      </rPr>
      <t xml:space="preserve"> Model Poisoning</t>
    </r>
  </si>
  <si>
    <t>A.5.16 Identity management
A.8.5 Secure authentication</t>
  </si>
  <si>
    <t xml:space="preserve">IA-2:Identification and Authentication (Organizational Users), 
IA-5:Authenticator Management, 
IA-12:Identity Proofing, 
SC-12:Cryptographic Key Establishment and Management,
SC-23:Session Authenticity </t>
  </si>
  <si>
    <t>Access to the AI system -&gt; Restrict access to data used for AI
Access to the AI system -&gt;  Restrict access to AI models
Access to the AI system -&gt; Restrict access to the AI engineering environment and AI code</t>
  </si>
  <si>
    <t>Apply a RBAC Model, Respecting the Least Privileged Principle.
Ensure ML Applications Comply with Identity Management, Authentication, and Access Control Policies.</t>
  </si>
  <si>
    <t>PR.AA-01
PR.AA-02
PR.AA-03
PR.AA-06
PR.IR-01</t>
  </si>
  <si>
    <t>B007: Enforce user access privileges to AI systems, B008: Protect model deployment environment</t>
  </si>
  <si>
    <t>DASF 2</t>
  </si>
  <si>
    <t xml:space="preserve">DASF 2: Sync users and groups
</t>
  </si>
  <si>
    <t>Raw data 1.1, Data Prep 2.1, Data Prep 2.2, Data Prep 2.3, Data Prep 2.4, Datasets 3.1, Evaluation 6.1, Model 7.2, Model Management 8.2, Model Management 8.4, Model Serving — Inference requests 9.1, Model Serving — Inference requests 9.2, Model Serving — Inference requests 9.5, Model Serving — Inference requests 9.6, Model Serving — Inference requests 9.7, Model Serving — Inference requests 9.9, Model Serving — Inference requests 9.10,Model Serving — Inference requests 9.11,  Model Serving — Inference requests 9.12, Model Serving — Inference response 10.3, Model Serving — Inference response 10.4,Platform 12.7, Agents — Core 13.1, Agents — Core 13.2, Agents — Core 13.3, Agents — Core 13.6, Agents — Core 13.7, Agents — Core 13.8, Agents — Core 13.9, Agents — Core 13.14, Agents — Core 13.15, Agents — Tools MCP Server 13.18, Agents — Tools MCP Server 13.20, Agents — Tools MCP Server 13.23, Agents — Tools MCP Server 13.24, Agents — Tools MCP Client 13.28, Agents — Tools MCP Client 13.30</t>
  </si>
  <si>
    <t>Synchronizing users and groups from your identity provider (IdP) with Databricks using the SCIM standard facilitates consistent and automated user provisioning for enhancing security.</t>
  </si>
  <si>
    <r>
      <rPr>
        <rFont val="&quot;DM Sans&quot;, sans-serif"/>
        <color rgb="FF1155CC"/>
        <u/>
      </rPr>
      <t>AWS</t>
    </r>
  </si>
  <si>
    <r>
      <rPr>
        <rFont val="&quot;DM Sans&quot;, sans-serif"/>
        <color rgb="FF1155CC"/>
        <u/>
      </rPr>
      <t>Azure</t>
    </r>
  </si>
  <si>
    <r>
      <rPr>
        <rFont val="&quot;DM Sans&quot;, sans-serif"/>
        <color rgb="FF1155CC"/>
        <u/>
      </rPr>
      <t>GCP</t>
    </r>
  </si>
  <si>
    <t>Control/Feature</t>
  </si>
  <si>
    <t>IA-2</t>
  </si>
  <si>
    <r>
      <rPr>
        <rFont val="DM Sans"/>
        <color rgb="FF1155CC"/>
        <sz val="10.0"/>
        <u/>
      </rPr>
      <t>M1015</t>
    </r>
    <r>
      <rPr>
        <rFont val="DM Sans"/>
        <sz val="10.0"/>
      </rPr>
      <t xml:space="preserve"> Active Directory Configuration
</t>
    </r>
    <r>
      <rPr>
        <rFont val="DM Sans"/>
        <color rgb="FF1155CC"/>
        <sz val="10.0"/>
        <u/>
      </rPr>
      <t>M1018</t>
    </r>
    <r>
      <rPr>
        <rFont val="DM Sans"/>
        <sz val="10.0"/>
      </rPr>
      <t xml:space="preserve"> User Account Management</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</si>
  <si>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Excessive Agency</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</si>
  <si>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</si>
  <si>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A.5.18 Access rights</t>
  </si>
  <si>
    <t>AC-2:Account Management, 
IA-4:Identifier Management, 
CM-2:Baseline Configuration</t>
  </si>
  <si>
    <t xml:space="preserve">Access to the AI system -&gt; Restrict access to data used for AI
Access to the AI system -&gt;  Restrict access to AI models
</t>
  </si>
  <si>
    <t>ID.AM-04
PR.AA-03
PR.AA-05
PR.IR-01</t>
  </si>
  <si>
    <t>B008: Protect model deployment environment, B007: Enforce user access privileges to AI systems</t>
  </si>
  <si>
    <t>DASF 3</t>
  </si>
  <si>
    <t>DASF 3: Restrict access using IP access lists</t>
  </si>
  <si>
    <t>Raw data 1.1, Data Prep 2.1, Data Prep 2.2, Data Prep 2.3, Data Prep 2.4, Datasets 3.1, Evaluation 6.1, Model 7.2, Model Management 8.2, Model Management 8.4, Model Serving — Inference requests 9.1, Model Serving — Inference requests 9.2, Model Serving — Inference requests 9.5, Model Serving — Inference requests 9.6, Model Serving — Inference requests 9.7, Model Serving — Inference requests 9.9, Model Serving — Inference requests 9.10,Model Serving — Inference requests 9.11,  Model Serving — Inference requests 9.12, Model Serving — Inference response 10.3, Model Serving — Inference response 10.4,Platform 12.7: Initial Access, Agents — Core 13.1, Agents — Core 13.2, Agents — Core 13.3, Agents — Core 13.6, Agents — Core 13.7, Agents — Core 13.8, Agents — Core 13.9, Agents — Core 13.14, Agents — Core 13.15, Agents — Tools MCP Server 13.16, Agents — Tools MCP Server 13.17, Agents — Tools MCP Server 13.18, Agents — Tools MCP Server 13.20, Agents — Tools MCP Server 13.23, Agents — Tools MCP Server 13.24, Agents — Tools MCP Server 13.25, Agents — Tools MCP Client 13.28, Agents — Tools MCP Client 13.30, Agents — Tools MCP Client 13.33, Agents — Tools MCP Client 13.34</t>
  </si>
  <si>
    <t>Configure IP access lists to restrict authentication to Databricks from specific IP ranges, such as VPNs or office networks, and strengthen network security by preventing unauthorized access from untrusted locations. 
Secure Egress Gateway (SEG) is a component of Databricks Platform Security that allows an administrator to implement policies that restrict access to internal or external endpoints. Currently, SEG only applies to Serverless runtimes.</t>
  </si>
  <si>
    <r>
      <rPr>
        <rFont val="&quot;DM Sans&quot;, sans-serif"/>
        <color rgb="FF1155CC"/>
        <u/>
      </rPr>
      <t>AWS</t>
    </r>
  </si>
  <si>
    <r>
      <rPr>
        <rFont val="&quot;DM Sans&quot;, sans-serif"/>
        <color rgb="FF1155CC"/>
        <u/>
      </rPr>
      <t>Azure</t>
    </r>
  </si>
  <si>
    <r>
      <rPr>
        <rFont val="&quot;DM Sans&quot;, sans-serif"/>
        <color rgb="FF1155CC"/>
        <u/>
      </rPr>
      <t>GCP</t>
    </r>
  </si>
  <si>
    <t>NS-5</t>
  </si>
  <si>
    <r>
      <rPr>
        <rFont val="DM Sans"/>
        <color rgb="FF1155CC"/>
        <sz val="10.0"/>
        <u/>
      </rPr>
      <t>M1035</t>
    </r>
    <r>
      <rPr>
        <rFont val="DM Sans"/>
        <sz val="10.0"/>
      </rPr>
      <t xml:space="preserve">  Limit Access to Resource Over Network</t>
    </r>
  </si>
  <si>
    <r>
      <rPr>
        <rFont val="DM Sans"/>
        <color rgb="FF1155CC"/>
        <u/>
      </rPr>
      <t>LLM01</t>
    </r>
    <r>
      <rPr>
        <rFont val="DM Sans"/>
      </rPr>
      <t xml:space="preserve">: Prompt Injection
</t>
    </r>
    <r>
      <rPr>
        <rFont val="DM Sans"/>
        <color rgb="FF1155CC"/>
        <u/>
      </rPr>
      <t>LLM03.4, 5</t>
    </r>
    <r>
      <rPr>
        <rFont val="DM Sans"/>
      </rPr>
      <t xml:space="preserve">: Training Data Poisoning
</t>
    </r>
    <r>
      <rPr>
        <rFont val="DM Sans"/>
        <color rgb="FF1155CC"/>
        <u/>
      </rPr>
      <t>LLM06.3</t>
    </r>
    <r>
      <rPr>
        <rFont val="DM Sans"/>
      </rPr>
      <t xml:space="preserve">: Sensitive Information Disclosure
</t>
    </r>
    <r>
      <rPr>
        <rFont val="DM Sans"/>
        <color rgb="FF1155CC"/>
        <u/>
      </rPr>
      <t>LLM10.2</t>
    </r>
    <r>
      <rPr>
        <rFont val="DM Sans"/>
      </rPr>
      <t>: Model Theft</t>
    </r>
  </si>
  <si>
    <r>
      <rPr>
        <rFont val="DM Sans"/>
        <color rgb="FF1155CC"/>
        <u/>
      </rPr>
      <t>ML02:2023</t>
    </r>
    <r>
      <rPr>
        <rFont val="DM Sans"/>
      </rPr>
      <t xml:space="preserve"> Data Poisoning Attack</t>
    </r>
  </si>
  <si>
    <t>A.8.20 Networks Security
A.8.21 Security of network services
A.8.22 Segregation of networks</t>
  </si>
  <si>
    <t>SC-7:Boundary Protection, 
AC-3:Access Enforcement</t>
  </si>
  <si>
    <t>PR.AA-01
PR.AA-02
PR.AA-05
PR.IR-01
PR.IR-03
PR.DS-01
PR.DS-02
PR.PS-01
DE.CM-01</t>
  </si>
  <si>
    <t>B004: Prevent AI endpoint scraping, E009: Monitor third-party access</t>
  </si>
  <si>
    <t>DASF 4</t>
  </si>
  <si>
    <t xml:space="preserve">DASF 4: Restrict access using private link
</t>
  </si>
  <si>
    <t>Raw data 1.1, Data prep 2.1, Data Prep 2.2, Data Prep 2.3, Data Prep 2.4, Datasets 3.1, Evaluation 6.1, Model 7.2, Model Management 8.2, Model Management 8.4, Model Serving — Inference requests 9.1, Model Serving — Inference requests 9.2, Model Serving — Inference requests 9.5, Model Serving — Inference requests 9.6, Model Serving — Inference requests 9.7, Model Serving — Inference requests 9.9, Model Serving — Inference requests 9.10, Model Serving — Inference requests 9.11, Model Serving — Inference response 10.3, Model Serving — Inference response 10.4,Platform 12.7, Agents — Core 13.1, Agents — Core 13.2, Agents — Core 13.3, Agents — Core 13.6, Agents — Core 13.7, Agents — Core 13.8, Agents — Core 13.9, Agents — Core 13.14, Agents — Core 13.15, Agents — Tools MCP Server 13.16, Agents — Tools MCP Server 13.17, Agents — Tools MCP Server 13.18, Agents — Tools MCP Server 13.20, Agents — Tools MCP Server 13.23, Agents — Tools MCP Server 13.24, Agents — Tools MCP Server 13.25, Agents — Tools MCP Client 13.28, Agents — Tools MCP Client 13.30, Agents — Tools MCP Client 13.33, Agents — Tools MCP Client 13.34</t>
  </si>
  <si>
    <t>Use AWS PrivateLink, Azure Private Link or GCP Private Service Connect to create a private network route between the customer and the Databricks control plane or the control plane and the customer’s compute plane environments to enhance data security by avoiding public internet exposure.</t>
  </si>
  <si>
    <r>
      <rPr>
        <rFont val="&quot;DM Sans&quot;, sans-serif"/>
        <color rgb="FF1155CC"/>
        <u/>
      </rPr>
      <t>AWS</t>
    </r>
  </si>
  <si>
    <r>
      <rPr>
        <rFont val="&quot;DM Sans&quot;, sans-serif"/>
        <color rgb="FF1155CC"/>
        <u/>
      </rPr>
      <t>Azure</t>
    </r>
  </si>
  <si>
    <r>
      <rPr>
        <rFont val="&quot;DM Sans&quot;, sans-serif"/>
        <color rgb="FF1155CC"/>
        <u/>
      </rPr>
      <t>GCP</t>
    </r>
  </si>
  <si>
    <t>NS-3</t>
  </si>
  <si>
    <r>
      <rPr>
        <rFont val="DM Sans"/>
        <color rgb="FF1155CC"/>
        <sz val="10.0"/>
        <u/>
      </rPr>
      <t>M1035</t>
    </r>
    <r>
      <rPr>
        <rFont val="DM Sans"/>
        <sz val="10.0"/>
      </rPr>
      <t xml:space="preserve">  Limit Access to Resource Over Network
</t>
    </r>
    <r>
      <rPr>
        <rFont val="DM Sans"/>
        <color rgb="FF1155CC"/>
        <sz val="10.0"/>
        <u/>
      </rPr>
      <t>M1030</t>
    </r>
    <r>
      <rPr>
        <rFont val="DM Sans"/>
        <sz val="10.0"/>
      </rPr>
      <t xml:space="preserve">  Network Segmentation</t>
    </r>
  </si>
  <si>
    <r>
      <rPr>
        <rFont val="DM Sans"/>
        <color rgb="FF1155CC"/>
        <u/>
      </rPr>
      <t>LLM01</t>
    </r>
    <r>
      <rPr>
        <rFont val="DM Sans"/>
      </rPr>
      <t xml:space="preserve">: Prompt Injection
</t>
    </r>
    <r>
      <rPr>
        <rFont val="DM Sans"/>
        <color rgb="FF1155CC"/>
        <u/>
      </rPr>
      <t>LLM03.4, 5</t>
    </r>
    <r>
      <rPr>
        <rFont val="DM Sans"/>
      </rPr>
      <t xml:space="preserve">: Training Data Poisoning
</t>
    </r>
    <r>
      <rPr>
        <rFont val="DM Sans"/>
        <color rgb="FF1155CC"/>
        <u/>
      </rPr>
      <t>LLM06.3</t>
    </r>
    <r>
      <rPr>
        <rFont val="DM Sans"/>
      </rPr>
      <t xml:space="preserve">: Sensitive Information Disclosure
</t>
    </r>
    <r>
      <rPr>
        <rFont val="DM Sans"/>
        <color rgb="FF1155CC"/>
        <u/>
      </rPr>
      <t>LLM10.2</t>
    </r>
    <r>
      <rPr>
        <rFont val="DM Sans"/>
      </rPr>
      <t>: Model Theft</t>
    </r>
  </si>
  <si>
    <r>
      <rPr>
        <rFont val="DM Sans"/>
        <color rgb="FF1155CC"/>
        <u/>
      </rPr>
      <t>ML02:2023</t>
    </r>
    <r>
      <rPr>
        <rFont val="DM Sans"/>
      </rPr>
      <t xml:space="preserve"> Data Poisoning Attack</t>
    </r>
  </si>
  <si>
    <t xml:space="preserve">SC-3:Security Function Isolation,
SC-7:Boundary Protection </t>
  </si>
  <si>
    <t>PR.AA-02
PR.AA-03
PR.AA-06
PR.IR-01
PR.DS-01
PR.DS-02
PR.DS-10
DE.CM-01</t>
  </si>
  <si>
    <t>DASF 5</t>
  </si>
  <si>
    <t>DASF 5: Control access to data and other objects</t>
  </si>
  <si>
    <t>Raw data 1.1, Raw data 1.4, Raw data 1.11,  Model Serving — Inference requests 9.12, Data Prep 2.1, Datasets 3.1, Datasets 3.2, Datasets 3.3, Governance 4.1, Evaluation 6.1, Model 7.1, Model 7.2, Model Management 8.1, Model Management 8.2, Model Management 8.3, Model Management 8.4, Model Serving — Inference requests 9.1, Model Serving — Inference requests 9.2, Model Serving — Inference requests 9.5, Model Serving — Inference requests 9.6, Model Serving — Inference requests 9.7, Model Serving — Inference requests 9.9, Model Serving — Inference requests 9.10, Model Serving — Inference requests 9.11,  Model Serving — Inference requests 9.12,Model Serving — Inference response 10.3, Model Serving — Inference response 10.4, Platform 12.7, Agents — Core 13.1, Agents — Core 13.2, Agents — Core 13.3, Agents — Core 13.6, Agents — Core 13.7, Agents — Core 13.8, Agents — Core 13.9, Agents — Core 13.14, Agents — Core 13.15, Agents — Tools MCP Server 13.16, Agents — Tools MCP Server 13.17, Agents — Tools MCP Server 13.18, Agents — Tools MCP Server 13.20, Agents — Tools MCP Server 13.22, Agents — Tools MCP Server 13.23, Agents — Tools MCP Server 13.24, Agents — Tools MCP Client 13.28, Agents — Tools MCP Client 13.30, Agents — Tools MCP Client 13.31, Agents — Tools MCP Client 13.34</t>
  </si>
  <si>
    <t>Implementing Unity Catalog for unified permissions management and assets simplifies access control and enhances security.</t>
  </si>
  <si>
    <t>Databricks — Implementation</t>
  </si>
  <si>
    <r>
      <rPr>
        <rFont val="&quot;DM Sans&quot;, sans-serif"/>
        <color rgb="FF1155CC"/>
        <u/>
      </rPr>
      <t>AWS</t>
    </r>
  </si>
  <si>
    <r>
      <rPr>
        <rFont val="&quot;DM Sans&quot;, sans-serif"/>
        <color rgb="FF1155CC"/>
        <u/>
      </rPr>
      <t>Azure</t>
    </r>
  </si>
  <si>
    <r>
      <rPr>
        <rFont val="&quot;DM Sans&quot;, sans-serif"/>
        <color rgb="FF1155CC"/>
        <u/>
      </rPr>
      <t>GCP</t>
    </r>
  </si>
  <si>
    <t>Catalog and governance, Model management</t>
  </si>
  <si>
    <t>GOV-16, GOV-20</t>
  </si>
  <si>
    <r>
      <rPr>
        <rFont val="DM Sans"/>
        <color rgb="FF1976D2"/>
        <sz val="10.0"/>
        <u/>
      </rPr>
      <t>AML.M0005</t>
    </r>
    <r>
      <rPr>
        <rFont val="DM Sans"/>
        <color rgb="FF000000"/>
        <sz val="10.0"/>
      </rPr>
      <t xml:space="preserve"> Control Access to ML Models and Data at Rest</t>
    </r>
  </si>
  <si>
    <r>
      <rPr>
        <rFont val="DM Sans"/>
        <color rgb="FF1155CC"/>
        <sz val="10.0"/>
        <u/>
      </rPr>
      <t>M1029</t>
    </r>
    <r>
      <rPr>
        <rFont val="DM Sans"/>
        <sz val="10.0"/>
      </rPr>
      <t xml:space="preserve"> Remote Data Storage
</t>
    </r>
    <r>
      <rPr>
        <rFont val="DM Sans"/>
        <color rgb="FF1155CC"/>
        <sz val="10.0"/>
        <u/>
      </rPr>
      <t>M1022</t>
    </r>
    <r>
      <rPr>
        <rFont val="DM Sans"/>
        <sz val="10.0"/>
      </rPr>
      <t xml:space="preserve">  Restrict File and Directory Permissions
</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</si>
  <si>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LLM10.1,4</t>
    </r>
    <r>
      <rPr>
        <rFont val="DM Sans"/>
      </rPr>
      <t>: Model Theft</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</si>
  <si>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</si>
  <si>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AC-1:Policy and Procedures, 
AC-2:Account Management, 
AC-3:Access Enforcement, 
AC-6:Least Privilege, 
AC-17:Remote Access, 
AC-20:Use of External Systems, 
SC:System and Communications Protection Family, 
IA:Identification and Authentication Family</t>
  </si>
  <si>
    <t xml:space="preserve">AI security governance -&gt; Humans can intervene if needed
Access to the AI system -&gt; Restrict access to data used for AI
</t>
  </si>
  <si>
    <t>Apply a RBAC model, respecting the least privileged principle.
Ensure ML applications comply with identity management, authentication, and access control policies.
Ensure ML applications comply with data security requirements.
Control all data used by the ML model.
Ensure appropriate protection is deployed for test environments.
Reduce the available information about the model.
Reduce the information given by the model.
Use federated learning to minimize the risk of data breaches.</t>
  </si>
  <si>
    <r>
      <rPr>
        <rFont val="DM Sans"/>
        <color rgb="FF1155CC"/>
        <u/>
      </rPr>
      <t>Article 5.4</t>
    </r>
    <r>
      <rPr>
        <rFont val="DM Sans"/>
      </rPr>
      <t xml:space="preserve"> Prohibited AI Practices
</t>
    </r>
    <r>
      <rPr>
        <rFont val="DM Sans"/>
        <color rgb="FF1155CC"/>
        <u/>
      </rPr>
      <t>Article 5.1</t>
    </r>
    <r>
      <rPr>
        <rFont val="DM Sans"/>
      </rPr>
      <t xml:space="preserve"> Prohibited AI Practices</t>
    </r>
  </si>
  <si>
    <t>PR.AA-02
PR.AA-03
PR.AA-05
PR.AA-06
PR.DS-01
PR.DS-02
PR.DS-10
PR.IR-01
PR.IR-03
PR.IR-04
PR.PS-01
ID.AM-03
ID.AM-04
ID.AM-05
ID.IM-03
DE.CM-01
DE.CM-03
DE.CM-09</t>
  </si>
  <si>
    <t>B007: Enforce user access privileges to AI systems</t>
  </si>
  <si>
    <t>DASF 6: Classify data</t>
  </si>
  <si>
    <t>Raw data 1.2,  Model Serving — Inference requests 9.13</t>
  </si>
  <si>
    <t>Data catalogs can have a vast amount of data, often containing known and unknown sensitive data. It is critical for data teams to understand what kind of sensitive data exists in each table so that they can both govern and democratize access to this data.
To address this problem, Databricks Data Classification automatically classifies and tags tables in your catalog. This allows you to discover sensitive data, as well as apply governance controls over the results, using tools such as role-based access control (RBAC) and attribute-based access control (ABAC) policies in Unity Catalog. You can also use tags manually or via API as attributes containing keys and optional values that you can apply to different securable objects in Unity Catalog. Organizing securable objects with tags in Unity Catalog aids in efficient data management, data discovery and classification, essential for handling large datasets. Additionally, use governed tags to manage and enforce a tag policy. Tag policies allow admins to define which tag keys are governed, specify the allowed values for those tags, and control who can assign or modify them. This provides organizations with centralized control over tag usage, supporting consistent data classification, compliance, and operational standards.</t>
  </si>
  <si>
    <t>AWS</t>
  </si>
  <si>
    <t>Azure</t>
  </si>
  <si>
    <t>GCP</t>
  </si>
  <si>
    <t>Data Governance and Quality</t>
  </si>
  <si>
    <t>Data preparation, Data sets</t>
  </si>
  <si>
    <t>Features available to implement control and manually verify</t>
  </si>
  <si>
    <t>May be</t>
  </si>
  <si>
    <r>
      <rPr>
        <rFont val="DM Sans"/>
        <color rgb="FF1155CC"/>
        <u/>
      </rPr>
      <t>M1057</t>
    </r>
    <r>
      <rPr>
        <rFont val="DM Sans"/>
        <color rgb="FF000000"/>
      </rPr>
      <t xml:space="preserve"> Data Loss Prevention</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</si>
  <si>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Sensitive Information Disclosure</t>
    </r>
  </si>
  <si>
    <r>
      <rPr>
        <rFont val="DM Sans"/>
        <color rgb="FF1155CC"/>
        <sz val="10.0"/>
        <u/>
      </rPr>
      <t>ML02:2023</t>
    </r>
    <r>
      <rPr>
        <rFont val="DM Sans"/>
        <sz val="10.0"/>
      </rPr>
      <t xml:space="preserve"> Data Poisoning Attack</t>
    </r>
  </si>
  <si>
    <t>RA-2:Security Categorization, 
AC-3:Access Enforcement, 
MP:Media Protection Family, 
PT:Personally Identifiable Information Processing and Transparency Family</t>
  </si>
  <si>
    <t>Control All Data Used by the ML Model.
Ensure ML Applications Comply with Data Security Requirements.
Ensure Appropriate Protection Is Deployed for Test Environments.</t>
  </si>
  <si>
    <t>DASF 7</t>
  </si>
  <si>
    <t xml:space="preserve">DASF 7: Enforce data quality checks on batch and streaming datasets
</t>
  </si>
  <si>
    <t>Raw data 1.3, Raw data 1.9, Raw data 1.11,  Data Prep 2.1, Datasets 3.1, Governance 4.1, Evaluation 6.1</t>
  </si>
  <si>
    <t>Databricks Delta Live Tables (DLT) simplifies ETL development with declarative pipelines that integrate quality control checks and performance monitoring.</t>
  </si>
  <si>
    <r>
      <rPr>
        <rFont val="&quot;DM Sans&quot;, sans-serif"/>
        <color rgb="FF1155CC"/>
        <u/>
      </rPr>
      <t>AWS</t>
    </r>
  </si>
  <si>
    <r>
      <rPr>
        <rFont val="&quot;DM Sans&quot;, sans-serif"/>
        <color rgb="FF1155CC"/>
        <u/>
      </rPr>
      <t>Azure</t>
    </r>
  </si>
  <si>
    <r>
      <rPr>
        <rFont val="&quot;DM Sans&quot;, sans-serif"/>
        <color rgb="FF1155CC"/>
        <u/>
      </rPr>
      <t>GCP</t>
    </r>
  </si>
  <si>
    <t>Data preparation</t>
  </si>
  <si>
    <t>Customer validated</t>
  </si>
  <si>
    <r>
      <rPr>
        <rFont val="DM Sans"/>
        <color rgb="FF1155CC"/>
        <sz val="10.0"/>
        <u/>
      </rPr>
      <t>AML.M0007</t>
    </r>
    <r>
      <rPr>
        <rFont val="DM Sans"/>
        <color rgb="FF000000"/>
        <sz val="10.0"/>
      </rPr>
      <t xml:space="preserve"> Sanitize Training Data</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</si>
  <si>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Sensitive Information Disclosure</t>
    </r>
  </si>
  <si>
    <t>A.7.4 Quality of data for AI systems
A.7.6 Data preparation</t>
  </si>
  <si>
    <t>SI-10:Information Input Validation, 
SI-11:Error Handling, 
SI-18:Personally Identifiable Information Quality Operations, 
AU-6:Audit Record Review, Analysis, and Reporting, 
CM:Configuration Management Family</t>
  </si>
  <si>
    <t>Filtering and sanitizing AI data, inputs, and outputs -&gt;  Dataset sanitization</t>
  </si>
  <si>
    <t>Control All Data Used by the ML Model.
Use Methods to Clean the Training Dataset from Suspicious Samples.</t>
  </si>
  <si>
    <t>GV.SC-07
ID.AM-03
ID.AM-08
ID.RA-07
ID.RA-10
PR.DS-01
PR.DS-02
PR.DS-10
PR.IR-01
PR.PS-01
PR.PS-05
DE.AE-02
DE.AE-03
DE.AE-06
DE.AE-07
DE.CM-01
DE.CM-03
DE.CM-06
DE.CM-09
RS.CO-02
RS.CO-04
RS.MA-02</t>
  </si>
  <si>
    <t>DASF 8</t>
  </si>
  <si>
    <t xml:space="preserve">DASF 8: Encrypt data at rest
</t>
  </si>
  <si>
    <t>Raw data 1.4, Datasets 3.2, Datasets 3.3, Agents — Tools MCP Client 13.27, Agents — Tools MCP Client 13.30, Agents — Tools MCP Server 13.19</t>
  </si>
  <si>
    <t>Databricks supports customer-managed encryption keys to strengthen data at rest protection and greater access control.</t>
  </si>
  <si>
    <r>
      <rPr>
        <rFont val="&quot;DM Sans&quot;, sans-serif"/>
        <color rgb="FF1155CC"/>
        <u/>
      </rPr>
      <t>AWS</t>
    </r>
  </si>
  <si>
    <r>
      <rPr>
        <rFont val="&quot;DM Sans&quot;, sans-serif"/>
        <color rgb="FF1155CC"/>
        <u/>
      </rPr>
      <t>Azure</t>
    </r>
  </si>
  <si>
    <r>
      <rPr>
        <rFont val="&quot;DM Sans&quot;, sans-serif"/>
        <color rgb="FF1155CC"/>
        <u/>
      </rPr>
      <t>GCP</t>
    </r>
  </si>
  <si>
    <t>Data and model security</t>
  </si>
  <si>
    <t>Model management, ML Operations</t>
  </si>
  <si>
    <t>DP-4, DP-2</t>
  </si>
  <si>
    <r>
      <rPr>
        <rFont val="DM Sans"/>
        <color rgb="FF1155CC"/>
        <sz val="10.0"/>
        <u/>
      </rPr>
      <t>AML.M0012</t>
    </r>
    <r>
      <rPr>
        <rFont val="DM Sans"/>
        <sz val="10.0"/>
      </rPr>
      <t xml:space="preserve"> Encrypt Sensitive Information</t>
    </r>
  </si>
  <si>
    <r>
      <rPr>
        <rFont val="DM Sans"/>
        <color rgb="FF1155CC"/>
        <sz val="10.0"/>
        <u/>
      </rPr>
      <t>M1041</t>
    </r>
    <r>
      <rPr>
        <rFont val="DM Sans"/>
        <sz val="10.0"/>
      </rPr>
      <t xml:space="preserve"> Encrypt Sensitive Information</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</si>
  <si>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xml:space="preserve">: Sensitive Information Disclosure
</t>
    </r>
    <r>
      <rPr>
        <rFont val="DM Sans"/>
        <color rgb="FF1155CC"/>
        <u/>
      </rPr>
      <t>LLM10</t>
    </r>
    <r>
      <rPr>
        <rFont val="DM Sans"/>
      </rPr>
      <t>: Model Theft</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</si>
  <si>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t>
    </r>
  </si>
  <si>
    <t>A.8.24 Use of cryptography</t>
  </si>
  <si>
    <t xml:space="preserve">SC-8:Transmission Confidentiality and Integrity, 
SC-12:Cryptographic Key Establishment and Management,
SC-28:Protection of Information at Rest, 
AU-9:Protection of Audit Information, 
CP-9:System Backup, 
MP-4:Media Storage, 
SI-7:Software, Firmware, and Information Integrity </t>
  </si>
  <si>
    <t>Ensure ML Applications Comply with Data Security Requirements.
Control All Data Used by the ML Model.</t>
  </si>
  <si>
    <r>
      <rPr>
        <rFont val="DM Sans"/>
        <color rgb="FF1155CC"/>
        <u/>
      </rPr>
      <t>Article 5.4</t>
    </r>
    <r>
      <rPr>
        <rFont val="DM Sans"/>
      </rPr>
      <t xml:space="preserve"> Prohibited AI Practices</t>
    </r>
  </si>
  <si>
    <t>PR.DS-01
PR.DS-11
PR.PS-01
DE.CM-09
RC.RP-03</t>
  </si>
  <si>
    <t>B008: Protect model deployment environment</t>
  </si>
  <si>
    <t>DASF 9</t>
  </si>
  <si>
    <t>DASF 9: Encrypt data in transit</t>
  </si>
  <si>
    <t>Raw data 1.4, Datasets 3.2, Datasets 3.3, Agents — Core 13.12, Agents — Tools MCP Server 13.19, Agents — Tools MCP Server 13.23, Agents — Tools MCP Server 13.24, Agents — Tools MCP Server 13.25, Agents — Tools MCP Client 13.26, Agents — Tools MCP Client 13.28, Agents — Tools MCP Client 13.29, Agents — Tools MCP Client 13.33, Agents — Tools MCP Client 13.34</t>
  </si>
  <si>
    <t>Databricks supports TLS 1.2+ encryption to protect customer data during transit. This applies to data transfer between the customer and the Databricks control plane and within the compute plane. Customers can also secure inter-cluster communications within the compute plane per their security requirements.</t>
  </si>
  <si>
    <t>Databricks — Out-of-the-box</t>
  </si>
  <si>
    <t>Databricks Managed</t>
  </si>
  <si>
    <r>
      <rPr>
        <rFont val="&quot;DM Sans&quot;, sans-serif"/>
        <color rgb="FF1155CC"/>
        <u/>
      </rPr>
      <t>AWS</t>
    </r>
  </si>
  <si>
    <r>
      <rPr>
        <rFont val="&quot;DM Sans&quot;, sans-serif"/>
        <color rgb="FF1155CC"/>
        <u/>
      </rPr>
      <t>Azure</t>
    </r>
  </si>
  <si>
    <r>
      <rPr>
        <rFont val="&quot;DM Sans&quot;, sans-serif"/>
        <color rgb="FF1155CC"/>
        <u/>
      </rPr>
      <t>GCP</t>
    </r>
  </si>
  <si>
    <t>Model Serving: Inference requests, Model Serving: Inference responses</t>
  </si>
  <si>
    <t>Out of the box</t>
  </si>
  <si>
    <r>
      <rPr>
        <rFont val="DM Sans"/>
        <color rgb="FF1155CC"/>
        <sz val="10.0"/>
        <u/>
      </rPr>
      <t>AML.M0012</t>
    </r>
    <r>
      <rPr>
        <rFont val="DM Sans"/>
        <sz val="10.0"/>
      </rPr>
      <t xml:space="preserve"> Encrypt Sensitive Information</t>
    </r>
  </si>
  <si>
    <r>
      <rPr>
        <rFont val="DM Sans"/>
        <color rgb="FF1155CC"/>
        <sz val="10.0"/>
        <u/>
      </rPr>
      <t>M1041</t>
    </r>
    <r>
      <rPr>
        <rFont val="DM Sans"/>
        <sz val="10.0"/>
      </rPr>
      <t xml:space="preserve"> Encrypt Sensitive Information
</t>
    </r>
    <r>
      <rPr>
        <rFont val="DM Sans"/>
        <color rgb="FF1155CC"/>
        <sz val="10.0"/>
        <u/>
      </rPr>
      <t>M1020</t>
    </r>
    <r>
      <rPr>
        <rFont val="DM Sans"/>
        <sz val="10.0"/>
      </rPr>
      <t xml:space="preserve"> SSL/TLS Inspection</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</si>
  <si>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xml:space="preserve">: Sensitive Information Disclosure
</t>
    </r>
    <r>
      <rPr>
        <rFont val="DM Sans"/>
        <color rgb="FF1155CC"/>
        <u/>
      </rPr>
      <t>LLM10</t>
    </r>
    <r>
      <rPr>
        <rFont val="DM Sans"/>
      </rPr>
      <t>: Model Theft</t>
    </r>
  </si>
  <si>
    <r>
      <rPr>
        <rFont val="DM Sans"/>
        <color rgb="FF1155CC"/>
        <u/>
      </rPr>
      <t>ML02:2023</t>
    </r>
    <r>
      <rPr>
        <rFont val="DM Sans"/>
      </rPr>
      <t xml:space="preserve"> Data Poisoning Attack</t>
    </r>
  </si>
  <si>
    <t>SC-7:Boundary Protection,
SC-8:Transmission Confidentiality and Integrity, 
AC-17:Remote Access, 
AC-18:Wireless Access</t>
  </si>
  <si>
    <t>Encryption -&gt; Encrypt traffic to and from the AI model</t>
  </si>
  <si>
    <t>Ensure ML Applications Comply with Data Security Requirements.
Control All Data Used by the ML Model.
Use Federated Learning to Minimize Risk of Data Breaches.</t>
  </si>
  <si>
    <r>
      <rPr>
        <rFont val="DM Sans"/>
        <color rgb="FF1155CC"/>
        <u/>
      </rPr>
      <t>Article 5.4</t>
    </r>
    <r>
      <rPr>
        <rFont val="DM Sans"/>
      </rPr>
      <t xml:space="preserve"> Prohibited AI Practices</t>
    </r>
  </si>
  <si>
    <t xml:space="preserve">PR.AA-06
PR.DS-01
PR.DS-02
PR.DS-10
PR.IR-01
DE.CM-01
</t>
  </si>
  <si>
    <t xml:space="preserve">DASF 10: Version data
</t>
  </si>
  <si>
    <t>Raw data 1.5, Raw data 1.7</t>
  </si>
  <si>
    <t>Store data in a lakehouse architecture using Delta tables. Delta tables can be versioned to revert any user or malicious actor poisoning of data. Data can be stored in a lakehouse architecture in the customer’s cloud account. Both raw data and feature tables are stored as Delta tables with access controls to determine who can read and modify them. Data lineage with UC helps track and audit changes and the origin of ML data sources. Each operation that modifies a Delta Lake table creates a new table version. User actions are tracked and audited, and lineage of transformations is available all in the same platform. You can use history information to audit operations, roll back a table or query a table at a specific point in time using time travel.</t>
  </si>
  <si>
    <r>
      <rPr>
        <rFont val="&quot;DM Sans&quot;, sans-serif"/>
        <color rgb="FF1155CC"/>
        <u/>
      </rPr>
      <t>AWS</t>
    </r>
  </si>
  <si>
    <r>
      <rPr>
        <rFont val="&quot;DM Sans&quot;, sans-serif"/>
        <color rgb="FF1155CC"/>
        <u/>
      </rPr>
      <t>Azure</t>
    </r>
  </si>
  <si>
    <r>
      <rPr>
        <rFont val="&quot;DM Sans&quot;, sans-serif"/>
        <color rgb="FF1155CC"/>
        <u/>
      </rPr>
      <t>GCP</t>
    </r>
  </si>
  <si>
    <t>Raw data, Data sets</t>
  </si>
  <si>
    <r>
      <rPr>
        <rFont val="DM Sans"/>
        <color rgb="FF1155CC"/>
        <sz val="10.0"/>
        <u/>
      </rPr>
      <t>M1053</t>
    </r>
    <r>
      <rPr>
        <rFont val="DM Sans"/>
        <sz val="10.0"/>
      </rPr>
      <t xml:space="preserve"> Data Backup</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</si>
  <si>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Sensitive Information Disclosure</t>
    </r>
  </si>
  <si>
    <t xml:space="preserve">CM-2:Baseline Configuration, 
CM-8:System Component Inventory, 
SI-7:Software, Firmware, and Information Integrity, 
SR-4:Provenance, 
SR-11:Component Authenticity </t>
  </si>
  <si>
    <t>Supply chain -&gt;  Verification of origin and integrity of AI assets</t>
  </si>
  <si>
    <t>Implement Processes to Maintain Security Levels of ML Components Over Time.
Apply a RBAC Model, Respecting the Least Privileged Principle".
Define and Monitor Indicators for Proper Functioning of the Model.
Ensure ML Projects Follow the Global Process for Integrating Security into Projects.</t>
  </si>
  <si>
    <t xml:space="preserve">ID.AM-01
ID.AM-02
ID.AM-03
ID.AM-07
ID.AM-08
PR.DS.01
PR.IR-01
PR.PS-01
PR.PS-03
PR.PS-05
DE.CM-01
DE.CM-03
DE.CM-06
DE.CM-09
</t>
  </si>
  <si>
    <t>DASF 11</t>
  </si>
  <si>
    <t>DASF 11: Capture and view data lineage</t>
  </si>
  <si>
    <t>Raw data 1.6, Raw data 1.11, Data Prep 2.1, Datasets 3.1, Governance 4.1, Evaluation 6.1, Model Serving — Inference requests 9.13</t>
  </si>
  <si>
    <t>Unity Catalog tracks and visualizes real-time data lineage across all languages to the column level, providing a traceable history of an object from notebooks, workflows, models and dashboards. This enhances transparency and compliance, with accessibility provided through the Catalog Explorer.</t>
  </si>
  <si>
    <r>
      <rPr>
        <rFont val="&quot;DM Sans&quot;, sans-serif"/>
        <color rgb="FF1155CC"/>
        <u/>
      </rPr>
      <t>AWS</t>
    </r>
  </si>
  <si>
    <r>
      <rPr>
        <rFont val="&quot;DM Sans&quot;, sans-serif"/>
        <color rgb="FF1155CC"/>
        <u/>
      </rPr>
      <t>Azure</t>
    </r>
  </si>
  <si>
    <r>
      <rPr>
        <rFont val="&quot;DM Sans&quot;, sans-serif"/>
        <color rgb="FF1155CC"/>
        <u/>
      </rPr>
      <t>GCP</t>
    </r>
  </si>
  <si>
    <t>GOV-16</t>
  </si>
  <si>
    <r>
      <rPr>
        <rFont val="DM Sans"/>
        <color rgb="FF1155CC"/>
        <u/>
      </rPr>
      <t>LLM03.2, 4, 5</t>
    </r>
    <r>
      <rPr>
        <rFont val="DM Sans"/>
      </rPr>
      <t xml:space="preserve">: Training Data Poisoning
</t>
    </r>
    <r>
      <rPr>
        <rFont val="DM Sans"/>
        <color rgb="FF1155CC"/>
        <u/>
      </rPr>
      <t>LLM05.1, 5</t>
    </r>
    <r>
      <rPr>
        <rFont val="DM Sans"/>
      </rPr>
      <t xml:space="preserve">: Supply Chain Vulnerabilities, 
</t>
    </r>
    <r>
      <rPr>
        <rFont val="DM Sans"/>
        <color rgb="FF1155CC"/>
        <u/>
      </rPr>
      <t>LLM06.3</t>
    </r>
    <r>
      <rPr>
        <rFont val="DM Sans"/>
      </rPr>
      <t>: Sensitive Information Disclosure</t>
    </r>
  </si>
  <si>
    <t>AU-2:Event Logging, 
AU-3:Content of Audit Records, 
AU-12:Audit Record Generation, 
CM-8:System Component Inventory, 
CM-12:Information Location, 
AC-4:Information Flow Enforcement, 
SA-8:Security and Privacy Engineering Principles</t>
  </si>
  <si>
    <t xml:space="preserve">Supply chain -&gt;  Verification of origin and integrity of AI assets
Documenting and inventorying AI systems -&gt; Maintain a catalog of trusted data sources for AI
Documenting and inventorying AI systems -&gt; AI data and data supply inventory
</t>
  </si>
  <si>
    <t>Control All Data Used by the ML Model.
Ensure Reliable Sources Are Used.
Use Methods to Clean the Training Dataset from Suspicious Samples.
Implement Processes to Maintain Security Levels of ML Components Over Time.</t>
  </si>
  <si>
    <t xml:space="preserve">GV.OC-04
ID.AM-01
ID.AM-02
ID.AM-03
ID.AM-07
ID.AM-08
PR.DS-01
PR.DS-02
PR.DS-10
PR.IR-01
PR.PS-04
PR.PS-05
PR.PS-06
DE.CM-01
DE.CM-03
DE.CM-06
DE.CM-09
</t>
  </si>
  <si>
    <t>DASF 12</t>
  </si>
  <si>
    <t>DASF 12: Delete records from datasets</t>
  </si>
  <si>
    <t>Raw data 1.8</t>
  </si>
  <si>
    <t>Data governance in Delta Lake, the lakehouse storage layer, utilizes its atomicity, consistency, isolation, durability (ACID) properties for effective data management. This includes the capability to remove data based on specific predicates from a Delta Table, including the complete removal of data’s history, supporting compliance with regulations like GDPR and CCPA.</t>
  </si>
  <si>
    <r>
      <rPr>
        <rFont val="&quot;DM Sans&quot;, sans-serif"/>
        <color rgb="FF1155CC"/>
        <u/>
      </rPr>
      <t>AWS</t>
    </r>
  </si>
  <si>
    <r>
      <rPr>
        <rFont val="&quot;DM Sans&quot;, sans-serif"/>
        <color rgb="FF1155CC"/>
        <u/>
      </rPr>
      <t>Azure</t>
    </r>
  </si>
  <si>
    <r>
      <rPr>
        <rFont val="&quot;DM Sans&quot;, sans-serif"/>
        <color rgb="FF1155CC"/>
        <u/>
      </rPr>
      <t>GCP</t>
    </r>
  </si>
  <si>
    <t>Catalog and governance, raw data, data sets</t>
  </si>
  <si>
    <t>Feature</t>
  </si>
  <si>
    <t xml:space="preserve">no mapping </t>
  </si>
  <si>
    <t>A.2.3 Alignment with other organizational policies
A.3.2 AI roles and responsibilities
A.7.2 Data for development and enhancement of AI system
A.9.3 Objectives for responsible use of AI system</t>
  </si>
  <si>
    <t>SI-7:Software, Firmware, and Information Integrity,
SI-18:Personally Identifiable Information Quality Operations, 
SI-19:De-identification, 
AU-2:Event Logging, 
AU-6:Audit Record Review, Analysis, and Reporting, 
RA-7:Risk Response</t>
  </si>
  <si>
    <t xml:space="preserve">AI legal and compliance -&gt; ID and evaluate compliance &amp; legal obligations for AI system development and deployment
AI legal and compliance -&gt;  ID and evaluate any constraints on data used for AI
</t>
  </si>
  <si>
    <t>Use Methods to Clean the Training Dataset From Suspicious Samples.
Control All Data Used by the ML Model.
Ensure ML Applications Comply with Data Security Requirements.</t>
  </si>
  <si>
    <t xml:space="preserve">GV.SC-07
ID.AM-08
ID.RA-06
ID.RA-08
ID.RA-10
PR.DS-01
PR.PS-04
DE.AE-02
DE.AE-03
DE.AE-06
DE.AE-07
DE.CM-09
RS.CO-02
RS.CO-04
RS.MA-02
</t>
  </si>
  <si>
    <t>A001: Establish input data policy, A003: Limit AI agent data collection</t>
  </si>
  <si>
    <t>DASF 13</t>
  </si>
  <si>
    <t xml:space="preserve">DASF 13: Use near real-time data
</t>
  </si>
  <si>
    <t>Raw data 1.9</t>
  </si>
  <si>
    <t>Use Databricks for near real-time data ingestion, processing, machine learning, and AI for streaming data.</t>
  </si>
  <si>
    <r>
      <rPr>
        <rFont val="&quot;DM Sans&quot;, sans-serif"/>
        <color rgb="FF1155CC"/>
        <u/>
      </rPr>
      <t>AWS</t>
    </r>
  </si>
  <si>
    <r>
      <rPr>
        <rFont val="&quot;DM Sans&quot;, sans-serif"/>
        <color rgb="FF1155CC"/>
        <u/>
      </rPr>
      <t>Azure</t>
    </r>
  </si>
  <si>
    <r>
      <rPr>
        <rFont val="&quot;DM Sans&quot;, sans-serif"/>
        <color rgb="FF1155CC"/>
        <u/>
      </rPr>
      <t>GCP</t>
    </r>
  </si>
  <si>
    <t>ML Platform</t>
  </si>
  <si>
    <r>
      <rPr>
        <rFont val="DM Sans"/>
        <color rgb="FF1155CC"/>
        <u/>
      </rPr>
      <t>LLM03.*, CEV.5</t>
    </r>
    <r>
      <rPr>
        <rFont val="DM Sans"/>
      </rPr>
      <t xml:space="preserve">: Training Data Poisoning
</t>
    </r>
    <r>
      <rPr>
        <rFont val="DM Sans"/>
        <color rgb="FF1155CC"/>
        <u/>
      </rPr>
      <t>LLM05.1, 5</t>
    </r>
    <r>
      <rPr>
        <rFont val="DM Sans"/>
      </rPr>
      <t>: Supply Chain Vulnerabilities</t>
    </r>
  </si>
  <si>
    <r>
      <rPr>
        <rFont val="DM Sans"/>
        <color rgb="FF1155CC"/>
        <u/>
      </rPr>
      <t>ML08:2023</t>
    </r>
    <r>
      <rPr>
        <rFont val="DM Sans"/>
      </rPr>
      <t xml:space="preserve"> Model Skewing</t>
    </r>
  </si>
  <si>
    <t>A.7.2 Data for development and enhancement of AI system</t>
  </si>
  <si>
    <t>SI-4:System Monitoring, 
SI-7:Software, Firmware, and Information Integrity, 
RA-3:Risk Assessment, 
RA-7:Risk Response</t>
  </si>
  <si>
    <t>Ensure That the Model is Sufficiently Resilient to the Environment in Which it Will Operate.
Implement Processes to Maintain Security Levels of ML Components Over Time.</t>
  </si>
  <si>
    <t xml:space="preserve">GV.RM-03
GV.OC-02
GV.SC-03
GV.SC-04
GV.SC-10
PR.DS-01
PR.DS-02
PR.DS-10
PR.PS-02
PR.PS-05
ID.RA-01
ID.RA-03
ID.RA-04
ID.RA-05
ID.RA-06
ID.RA-08
ID.RA-10
ID.AM-03
ID.IM-02
ID.IM-03
DE.AE-02
DE.AE-03
DE.AE-04
DE.AE-06
DE.AE-07
DE.CM-01
DE.CM-03
DE.CM-06
DE.CM-09
RS.MA-02
RS.MA-02, 
RS.MA-03
RS.MA-04
RS.AN-08
</t>
  </si>
  <si>
    <t>DASF 14</t>
  </si>
  <si>
    <t xml:space="preserve">DASF 14: Audit actions performed on datasets
</t>
  </si>
  <si>
    <t>Raw data 1.10, Datasets 3.1</t>
  </si>
  <si>
    <t>Databricks auditing, enhanced by Unity Catalog’s events, delivers fine-grained visibility into data access and user activities. This is vital for robust data governance and security, especially in regulated industries. It enables organizations to proactively identify and manage over entitled users, enhancing data security and ensuring compliance.</t>
  </si>
  <si>
    <r>
      <rPr>
        <rFont val="&quot;DM Sans&quot;, sans-serif"/>
        <color rgb="FF1155CC"/>
        <u/>
      </rPr>
      <t>AWS</t>
    </r>
  </si>
  <si>
    <r>
      <rPr>
        <rFont val="&quot;DM Sans&quot;, sans-serif"/>
        <color rgb="FF1155CC"/>
        <u/>
      </rPr>
      <t>Azure</t>
    </r>
  </si>
  <si>
    <r>
      <rPr>
        <rFont val="&quot;DM Sans&quot;, sans-serif"/>
        <color rgb="FF1155CC"/>
        <u/>
      </rPr>
      <t>GCP</t>
    </r>
  </si>
  <si>
    <t>All</t>
  </si>
  <si>
    <t>GOV-3, GOV-34</t>
  </si>
  <si>
    <r>
      <rPr>
        <rFont val="DM Sans"/>
        <color rgb="FF1155CC"/>
        <u/>
      </rPr>
      <t>LLM05.5, 7</t>
    </r>
    <r>
      <rPr>
        <rFont val="DM Sans"/>
      </rPr>
      <t>: Supply Chain Vulnerabilities</t>
    </r>
  </si>
  <si>
    <r>
      <rPr>
        <rFont val="DM Sans"/>
        <color rgb="FF1155CC"/>
        <u/>
      </rPr>
      <t>ML02:2023</t>
    </r>
    <r>
      <rPr>
        <rFont val="DM Sans"/>
      </rPr>
      <t xml:space="preserve"> Data Poisoning Attack
</t>
    </r>
    <r>
      <rPr>
        <rFont val="DM Sans"/>
        <color rgb="FF1155CC"/>
        <u/>
      </rPr>
      <t>ML08:2023</t>
    </r>
    <r>
      <rPr>
        <rFont val="DM Sans"/>
      </rPr>
      <t xml:space="preserve"> Model Skewing</t>
    </r>
  </si>
  <si>
    <t>A.6.2.8 AI system recording of event logs</t>
  </si>
  <si>
    <t>A.8.15 Logging</t>
  </si>
  <si>
    <t>AU-2:Event Logging, 
AU-3:Content of Audit Records, 
AU-6:Audit Record Review, Analysis, and Reporting, 
AU-9:Protection of Audit Information</t>
  </si>
  <si>
    <t xml:space="preserve">AI system logging and monitoring -&gt; Monitoring for data, models, and configs for suspicious changes
</t>
  </si>
  <si>
    <t>Apply a RBAC Model, Respecting the Least Privileged Principle.
Ensure ML Applications Comply with Data Security Requirements.
Implement Processes to Maintain Security Levels of ML Components Over Time.</t>
  </si>
  <si>
    <r>
      <rPr>
        <rFont val="DM Sans"/>
        <color rgb="FF1155CC"/>
        <u/>
      </rPr>
      <t>Article 12.3</t>
    </r>
    <r>
      <rPr>
        <rFont val="DM Sans"/>
      </rPr>
      <t xml:space="preserve"> Record Keeping</t>
    </r>
  </si>
  <si>
    <t>GV.SC-07
ID.AM-08
ID.RA-10
PR.AA-05
PR.PS-04
DE.AE-02
DE.AE-03
DE.AE-06
DE.AE-07
RS.CO-02
RS.CO-04
RS.MA-02</t>
  </si>
  <si>
    <t>DASF 15</t>
  </si>
  <si>
    <t xml:space="preserve">DASF 15: Explore datasets and identify problems
</t>
  </si>
  <si>
    <t>Iteratively explore, share and prep data for the machine learning lifecycle by creating reproducible, editable and shareable datasets, tables and visualizations. Within Databricks this EDA process can be accelerated with Mosaic AI AutoML. AutoML not only generates baseline models given a dataset, but also provides the underlying model training code in the form of a Python notebook. Notably for EDA, AutoML calculates summary statistics on the provided dataset, creating a notebook for the data scientist to review and adapt.</t>
  </si>
  <si>
    <t>Customer-managed</t>
  </si>
  <si>
    <r>
      <rPr>
        <rFont val="&quot;DM Sans&quot;, sans-serif"/>
        <color rgb="FF1155CC"/>
        <u/>
      </rPr>
      <t>AWS</t>
    </r>
  </si>
  <si>
    <r>
      <rPr>
        <rFont val="&quot;DM Sans&quot;, sans-serif"/>
        <color rgb="FF1155CC"/>
        <u/>
      </rPr>
      <t>Azure</t>
    </r>
  </si>
  <si>
    <r>
      <rPr>
        <rFont val="&quot;DM Sans&quot;, sans-serif"/>
        <color rgb="FF1155CC"/>
        <u/>
      </rPr>
      <t>GCP</t>
    </r>
  </si>
  <si>
    <t>Catalog and Governance, Data preparation, ML algorithm</t>
  </si>
  <si>
    <t>Novel AI control/capability</t>
  </si>
  <si>
    <r>
      <rPr>
        <rFont val="DM Sans"/>
        <color rgb="FF1155CC"/>
        <sz val="10.0"/>
        <u/>
      </rPr>
      <t>AML.M0007</t>
    </r>
    <r>
      <rPr>
        <rFont val="DM Sans"/>
        <sz val="10.0"/>
      </rPr>
      <t xml:space="preserve"> Sanitize Training Data</t>
    </r>
  </si>
  <si>
    <r>
      <rPr>
        <rFont val="DM Sans"/>
        <color rgb="FF1155CC"/>
        <u/>
      </rPr>
      <t>LLM03.5</t>
    </r>
    <r>
      <rPr>
        <rFont val="DM Sans"/>
      </rPr>
      <t xml:space="preserve">: Training Data Poisoning
</t>
    </r>
    <r>
      <rPr>
        <rFont val="DM Sans"/>
        <color rgb="FF1155CC"/>
        <u/>
      </rPr>
      <t>LLM05.7</t>
    </r>
    <r>
      <rPr>
        <rFont val="DM Sans"/>
      </rPr>
      <t>: Supply Chain Vulnerabilities</t>
    </r>
  </si>
  <si>
    <r>
      <rPr>
        <rFont val="DM Sans"/>
        <color rgb="FF1155CC"/>
        <u/>
      </rPr>
      <t>ML02:2023</t>
    </r>
    <r>
      <rPr>
        <rFont val="DM Sans"/>
      </rPr>
      <t xml:space="preserve"> Data Poisoning Attack</t>
    </r>
  </si>
  <si>
    <t>RA-3:Risk Assessment,
RA-5:Vulnerability Monitoring and Scanning, 
SI-7:Software, Firmware, and Information Integrity</t>
  </si>
  <si>
    <t>Control All Data Used by the ML Model.
Use Methods to Clean the Training Dataset from Suspicious Samples.
Ensure Reliable Sources Are Used.</t>
  </si>
  <si>
    <t>ID.AM-07
PR.DS-10
PR.DS-11</t>
  </si>
  <si>
    <t>DASF 16</t>
  </si>
  <si>
    <t xml:space="preserve">DASF 16: Secure model features
</t>
  </si>
  <si>
    <t>Data Prep 2.1, Data Prep 2.2, Datasets 3.1, Governance 4.1, Algorithms 5.2, Model Serving — Inference requests 9.10</t>
  </si>
  <si>
    <t>Databricks Feature Store is a centralized repository that enables data scientists to find and share features and also ensures that the same code used to compute the feature values is used for model training and inference. Unity Catalog’s capabilities, such as security, lineage, table history, tagging and cross-workspace access, are automatically available to the feature table to reduce the risk of malicious actors manipulating the features that feed into ML training.</t>
  </si>
  <si>
    <r>
      <rPr>
        <rFont val="&quot;DM Sans&quot;, sans-serif"/>
        <color rgb="FF1155CC"/>
        <u/>
      </rPr>
      <t>AWS</t>
    </r>
  </si>
  <si>
    <r>
      <rPr>
        <rFont val="&quot;DM Sans&quot;, sans-serif"/>
        <color rgb="FF1155CC"/>
        <u/>
      </rPr>
      <t>Azure</t>
    </r>
  </si>
  <si>
    <r>
      <rPr>
        <rFont val="&quot;DM Sans&quot;, sans-serif"/>
        <color rgb="FF1155CC"/>
        <u/>
      </rPr>
      <t>GCP</t>
    </r>
  </si>
  <si>
    <t>SC-3:Security Function Isolation, 
SC-8:Transmission Confidentiality and Integrity, 
SC-28:Protection of Information at Rest, 
SI-4:System Monitoring, 
SI-7:Software, Firmware, and Information Integrity, 
SI-10:Information Input Validation</t>
  </si>
  <si>
    <t>Access to the AI system -&gt; Restrict access to data used for AI</t>
  </si>
  <si>
    <r>
      <rPr>
        <rFont val="DM Sans"/>
        <color rgb="FF1155CC"/>
        <u/>
      </rPr>
      <t>Article 15.5</t>
    </r>
    <r>
      <rPr>
        <rFont val="DM Sans"/>
      </rPr>
      <t xml:space="preserve"> Accuracy, Robustness, and Cybersecurity
</t>
    </r>
    <r>
      <rPr>
        <rFont val="DM Sans"/>
        <color rgb="FF1155CC"/>
        <u/>
      </rPr>
      <t>Article 15.1</t>
    </r>
    <r>
      <rPr>
        <rFont val="DM Sans"/>
      </rPr>
      <t xml:space="preserve"> Accuracy, Robustness, and Cybersecurity</t>
    </r>
  </si>
  <si>
    <t>ID.AM-03
ID.AM-08
ID.IM-02
ID.IM-03
ID.RA-01
PR.AA-06
PR.DS-01
PR.DS-02
PR.DS-10
PR.IR-01
PR.PS-05
DE.AE (all)
DE.CM-01
DE.CM-03
DE.CM-06
DE.CM-09
RS.MA-02</t>
  </si>
  <si>
    <t>DASF 17</t>
  </si>
  <si>
    <t xml:space="preserve">DASF 17: Track and reproduce the training data used for ML model training
</t>
  </si>
  <si>
    <t>Raw data 1.11, Data Prep 2.4, Datasets 3.1, Governance 4.1, Algorithms 5.2, Model Serving — Inference requests 9.11</t>
  </si>
  <si>
    <t>MLflow with Delta Lake tracks the training data used for ML model training. It also enables the identification of specific ML models and runs derived from particular datasets for regulatory and auditable attribution.</t>
  </si>
  <si>
    <t>Data sets, ML algorithm, Model build</t>
  </si>
  <si>
    <r>
      <rPr>
        <rFont val="DM Sans"/>
        <color rgb="FF1155CC"/>
        <u/>
      </rPr>
      <t>ML02:2023</t>
    </r>
    <r>
      <rPr>
        <rFont val="DM Sans"/>
      </rPr>
      <t xml:space="preserve"> Data Poisoning Attack
</t>
    </r>
    <r>
      <rPr>
        <rFont val="DM Sans"/>
        <color rgb="FF1155CC"/>
        <u/>
      </rPr>
      <t>ML07:2023</t>
    </r>
    <r>
      <rPr>
        <rFont val="DM Sans"/>
      </rPr>
      <t xml:space="preserve"> Transfer Learning Attack</t>
    </r>
  </si>
  <si>
    <t>A.4.3 Data resources
A.7 Data for AI systems
A.7.2 Data for development and enhancement of AI system
A.7.3 Acquisition of data
A.7.4 Quality of data for AI systems
A.7.5 Data provenance</t>
  </si>
  <si>
    <t xml:space="preserve">Documenting and inventorying AI systems -&gt; Maintain a catalog of trusted data sources for AI
Documenting and inventorying AI systems -&gt; AI data and data supply inventory
</t>
  </si>
  <si>
    <t>Control All Data Used by the ML Model.
Ensure Reliable Sources are Used.
Ensure ML Applications Comply with Data Security Requirements.
Use Methods to Clean the Training Dataset from Suspicious Samples.
Apply Documentation Requirements to Artificial Intelligence Projects.</t>
  </si>
  <si>
    <r>
      <rPr>
        <rFont val="DM Sans"/>
        <color rgb="FF1155CC"/>
        <u/>
      </rPr>
      <t>Article 72</t>
    </r>
    <r>
      <rPr>
        <rFont val="DM Sans"/>
      </rPr>
      <t xml:space="preserve"> Post-market monitoring</t>
    </r>
  </si>
  <si>
    <t>ID.AM-07
ID.AM-08
PR.DS-01
PR.DS-11</t>
  </si>
  <si>
    <t>DASF 18</t>
  </si>
  <si>
    <t xml:space="preserve">DASF 18: Govern model assets
</t>
  </si>
  <si>
    <t>With Unity Catalog, organizations can implement a unified governance framework for their structured and unstructured data, machine learning models, notebooks, features, functions, and files, enhancing security and compliance across clouds and platforms. Maintain an updated inventory of high-impact AI use cases, including details on purpose, benefits, risks, and risk management practices.</t>
  </si>
  <si>
    <r>
      <rPr>
        <rFont val="&quot;DM Sans&quot;, sans-serif"/>
        <color rgb="FF1155CC"/>
        <u/>
      </rPr>
      <t>AWS</t>
    </r>
  </si>
  <si>
    <r>
      <rPr>
        <rFont val="&quot;DM Sans&quot;, sans-serif"/>
        <color rgb="FF1155CC"/>
        <u/>
      </rPr>
      <t>Azure</t>
    </r>
  </si>
  <si>
    <r>
      <rPr>
        <rFont val="&quot;DM Sans&quot;, sans-serif"/>
        <color rgb="FF1155CC"/>
        <u/>
      </rPr>
      <t>GCP</t>
    </r>
  </si>
  <si>
    <t>CM-2:Baseline Configuration, 
CM-3:Configuration Change Control, 
CM-8:System Component Inventory, 
AC-2:Account Management, 
AC-3:Access Enforcement, 
AC-6:Least Privilege</t>
  </si>
  <si>
    <t xml:space="preserve">Documenting and inventorying AI systems -&gt; Inventory deployed AI systems
</t>
  </si>
  <si>
    <t>Apply a RBAC Model, Respecting the Least Privileged Principle.
Ensure ML Applications Comply with Identity Management, Authentication, and Access Control Policies.
Ensure ML Applications Comply with Data Security Requirements.
Include ML Applications in Asset Management Processes.
Ensure ML Projects Follow the Global Process for Integrating Security into Projects.</t>
  </si>
  <si>
    <t xml:space="preserve">ID.AM-01
ID.AM-02
ID.AM-03
ID.AM-04
ID.AM-08
ID.IM-03
ID.RA-07
PR.AA-03
PR.AA-05
PR.IR-01
PR.PS-01
PR.PS-03
PR.PS-05
DE.CM-01
DE.CM-03
DE.CM-06
DE.CM-09
</t>
  </si>
  <si>
    <t>DASF 19</t>
  </si>
  <si>
    <t xml:space="preserve">DASF 19: Manage end-to-end machine learning lifecycle
</t>
  </si>
  <si>
    <t>Governance 4.2, Model 7.1</t>
  </si>
  <si>
    <t>Databricks includes a managed version of MLflow featuring enterprise security controls and high availability. It supports functionalities like experiments, run management and notebook revision capture. MLflow on Databricks allows tracking and measuring machine learning model training runs, logging model training artifacts and securing machine learning projects.</t>
  </si>
  <si>
    <r>
      <rPr>
        <rFont val="&quot;DM Sans&quot;, sans-serif"/>
        <color rgb="FF1155CC"/>
        <u/>
      </rPr>
      <t>AWS</t>
    </r>
  </si>
  <si>
    <r>
      <rPr>
        <rFont val="&quot;DM Sans&quot;, sans-serif"/>
        <color rgb="FF1155CC"/>
        <u/>
      </rPr>
      <t>Azure</t>
    </r>
  </si>
  <si>
    <r>
      <rPr>
        <rFont val="&quot;DM Sans&quot;, sans-serif"/>
        <color rgb="FF1155CC"/>
        <u/>
      </rPr>
      <t>GCP</t>
    </r>
  </si>
  <si>
    <t>Model Management and MLOps</t>
  </si>
  <si>
    <t>ML algorithm, Evaluation, Model build, Model management, ML Operations</t>
  </si>
  <si>
    <t>Novel AI Control/Capability</t>
  </si>
  <si>
    <t xml:space="preserve">A.6.1.2 Objectives for responsible development of AI system
A.6.2.6 AI system operation and monitoring
A.6.2.8 AI system recording of event logs
A.4.3 Data resources
A.7.2 Data for development and enhancement of AI system
A.7.4 Quality of data for AI systems
</t>
  </si>
  <si>
    <t>SA-3:System Development Life Cycle, 
SA-4:Acquisition Process, 
SA-8:Security and Privacy Engineering Principles, 
CM:Configuration Management Family, 
CA-2:Control Assessments, 
CA-7:Continuous Monitoring, 
CA-8:Penetration Testing</t>
  </si>
  <si>
    <t>Development of AI software -&gt; Change control over AI models</t>
  </si>
  <si>
    <t>Ensure ML Projects Follow the Global Process for Integrating Security into Projects.
Mapping Security Controls to the ML Lifecycle Stages.
Apply Documentation Requirements to AI Projects.
Implement Processes to Maintain Security Levels of ML Components Over Time.</t>
  </si>
  <si>
    <r>
      <rPr>
        <rFont val="DM Sans"/>
        <color rgb="FF1155CC"/>
        <u/>
      </rPr>
      <t>Article 14.2</t>
    </r>
    <r>
      <rPr>
        <rFont val="DM Sans"/>
      </rPr>
      <t xml:space="preserve"> High-Risk AI System 
</t>
    </r>
    <r>
      <rPr>
        <rFont val="DM Sans"/>
        <color rgb="FF1155CC"/>
        <u/>
      </rPr>
      <t xml:space="preserve">Article 9 </t>
    </r>
    <r>
      <rPr>
        <rFont val="DM Sans"/>
      </rPr>
      <t xml:space="preserve">High-Risk AI System </t>
    </r>
  </si>
  <si>
    <t>GV.OC-04
GV.RR-02
GV.SC-05
GV.SC-07
ID.AM-01
ID.AM-02
ID.AM-03
ID.AM-08
ID.IM-02
ID.IM-03
ID.IM-04
ID.RA-01
ID.RA-05
ID.RA-08
ID.RA-10
PR.IR-01
PR.IR-03
PR.PS-01
PR.PS-03
PR.PS-05
PR.PS-06
DE.AE (all)
DE.CM-01
DE.CM-03
DE.CM-06
DE.CM-08
DE.CM-09</t>
  </si>
  <si>
    <t>DASF 20</t>
  </si>
  <si>
    <t xml:space="preserve">DASF 20: Track ML training runs
</t>
  </si>
  <si>
    <t>Algorithms 5.1, Algorithms 5.3</t>
  </si>
  <si>
    <t>MLflow tracking facilitates the automated recording and retrieval of experiment details, including algorithms, code, datasets, parameters, configurations, signatures and artifacts.</t>
  </si>
  <si>
    <r>
      <rPr>
        <rFont val="&quot;DM Sans&quot;, sans-serif"/>
        <color rgb="FF1155CC"/>
        <u/>
      </rPr>
      <t>AWS</t>
    </r>
  </si>
  <si>
    <r>
      <rPr>
        <rFont val="&quot;DM Sans&quot;, sans-serif"/>
        <color rgb="FF1155CC"/>
        <u/>
      </rPr>
      <t>Azure</t>
    </r>
  </si>
  <si>
    <r>
      <rPr>
        <rFont val="&quot;DM Sans&quot;, sans-serif"/>
        <color rgb="FF1155CC"/>
        <u/>
      </rPr>
      <t>GCP</t>
    </r>
  </si>
  <si>
    <t>ML algorithm, Evaluation, Model build, ML Operations</t>
  </si>
  <si>
    <t>A.6.2.4 AI system verification and validation</t>
  </si>
  <si>
    <t>ID.AM-08
PR.PS-04
PR.PS-06
DE.CM-09</t>
  </si>
  <si>
    <t>DASF 21</t>
  </si>
  <si>
    <t xml:space="preserve">DASF 21: Monitor data and AI system from a single pane of glass
</t>
  </si>
  <si>
    <t>Raw data 1.3, Governance 4.2, Algorithms 5.2</t>
  </si>
  <si>
    <t>Databricks Lakehouse Monitoring offers a single pane of glass to centrally track tables’ data quality and statistical properties and automatically classifies data. It can also track the performance of machine learning models and model serving endpoints by monitoring inference tables containing model inputs and predictions through a single pane of glass.</t>
  </si>
  <si>
    <r>
      <rPr>
        <rFont val="&quot;DM Sans&quot;, sans-serif"/>
        <color rgb="FF1155CC"/>
        <u/>
      </rPr>
      <t>AWS</t>
    </r>
  </si>
  <si>
    <r>
      <rPr>
        <rFont val="&quot;DM Sans&quot;, sans-serif"/>
        <color rgb="FF1155CC"/>
        <u/>
      </rPr>
      <t>Azure</t>
    </r>
  </si>
  <si>
    <t>Monitoring and Evaluation</t>
  </si>
  <si>
    <t>Data preparation, Model Serving: Inference responses, ML Operations</t>
  </si>
  <si>
    <t xml:space="preserve">AI system logging and monitoring -&gt; Monitor AI system inputs and outputs
</t>
  </si>
  <si>
    <t>PR.AA-01
PR.AA-03
PR.AA-05
PR.AA-06
PR.DS (all)
PR.PS-01
PR.PS-02
PR.PS-04
PR.IR-01
PR.IR-04
ID.AM-07</t>
  </si>
  <si>
    <t>E009: Monitor third-party access, E015: Log model activity</t>
  </si>
  <si>
    <t>DASF 22</t>
  </si>
  <si>
    <t xml:space="preserve">DASF 22: Build models with all representative, accurate and relevant data sources
</t>
  </si>
  <si>
    <t>Evaluation 6.2, Model 7.3</t>
  </si>
  <si>
    <t>Harnessing internal data and intellectual property to customize large AI models can offer a significant competitive edge. However, this process can be complex, involving coordination across various parts of the organization. The Data Intelligence Platform addresses this challenge by integrating data across traditionally isolated departments and systems. This integration facilitates a more cohesive data and AI strategy, enabling the effective training, testing and evaluation of models using a comprehensive dataset. Use caution when preparing data for traditional models and GenAI training to ensure that you are not unintentionally including data that causes legal conflicts, such as copyright violations, privacy violations or HIPAA violations.</t>
  </si>
  <si>
    <r>
      <rPr>
        <rFont val="&quot;DM Sans&quot;, sans-serif"/>
        <color rgb="FF1155CC"/>
        <u/>
      </rPr>
      <t>AWS</t>
    </r>
  </si>
  <si>
    <r>
      <rPr>
        <rFont val="&quot;DM Sans&quot;, sans-serif"/>
        <color rgb="FF1155CC"/>
        <u/>
      </rPr>
      <t>Azure</t>
    </r>
  </si>
  <si>
    <r>
      <rPr>
        <rFont val="&quot;DM Sans&quot;, sans-serif"/>
        <color rgb="FF1155CC"/>
        <u/>
      </rPr>
      <t>GCP</t>
    </r>
  </si>
  <si>
    <t>Raw data, ML algorithm</t>
  </si>
  <si>
    <r>
      <rPr>
        <rFont val="DM Sans"/>
        <color rgb="FF1155CC"/>
        <u/>
      </rPr>
      <t>LLM03</t>
    </r>
    <r>
      <rPr>
        <rFont val="DM Sans"/>
      </rPr>
      <t xml:space="preserve">: Training Data Poisoning
</t>
    </r>
    <r>
      <rPr>
        <rFont val="DM Sans"/>
        <color rgb="FF1155CC"/>
        <u/>
      </rPr>
      <t>LLM05</t>
    </r>
    <r>
      <rPr>
        <rFont val="DM Sans"/>
      </rPr>
      <t>: Supply Chain Vulnerabilities</t>
    </r>
  </si>
  <si>
    <t>A.6.2.4 AI system verification and validation
A.7 Data for AI systems
A.7.2 Data for development and enhancement of AI system
A.7.3 Acquisition of data
A.7.4 Quality of data for AI systems
A.7.5 Data provenance
A.7.6 Data preparation
A.9 Use of AI systems
A.9.2 Processes for responsible use of AI systems
A.9.3 Objectives for responsible use of AI system
A.9.4 Intended use of the AI system</t>
  </si>
  <si>
    <t>SI-12:Information Management and Retention, 
SI-18:Personally Identifiable Information Quality Operations, 
RA-5:Vulnerability Monitoring and Scanning, 
RA-7:Risk Response</t>
  </si>
  <si>
    <t xml:space="preserve">Supply chain -&gt;  Verification of origin and integrity of AI assets
Model robustness -&gt; Adversarial training
</t>
  </si>
  <si>
    <t>Article 5.1 Prohibited AI Practices</t>
  </si>
  <si>
    <t xml:space="preserve">GV.RR-01
GV.RR-02
GV.SC-01
GV.SC-03
GV.SC-05
GV.SC-06
ID.AM-08
ID.RA-01
ID.RA-04
PR.AA (all)
PR.DS (all)
</t>
  </si>
  <si>
    <t>A005: Prevent cross-customer data exposure, A006: Prevent PII leakage</t>
  </si>
  <si>
    <t>DASF 23</t>
  </si>
  <si>
    <t xml:space="preserve">DASF 23: Register, version, approve, promote, deploy and monitor models
</t>
  </si>
  <si>
    <t>MLflow Model Registry supports managing the machine learning model lifecycle with capabilities for lineage tracking, versioning, staging and model serving.</t>
  </si>
  <si>
    <r>
      <rPr>
        <rFont val="&quot;DM Sans&quot;, sans-serif"/>
        <color rgb="FF1155CC"/>
        <u/>
      </rPr>
      <t>AWS</t>
    </r>
  </si>
  <si>
    <r>
      <rPr>
        <rFont val="&quot;DM Sans&quot;, sans-serif"/>
        <color rgb="FF1155CC"/>
        <u/>
      </rPr>
      <t>Azure</t>
    </r>
  </si>
  <si>
    <r>
      <rPr>
        <rFont val="&quot;DM Sans&quot;, sans-serif"/>
        <color rgb="FF1155CC"/>
        <u/>
      </rPr>
      <t>GCP</t>
    </r>
  </si>
  <si>
    <t>A.6.2.5 AI system deployment
A.6.2.6 AI system operation and monitoring
A.6.2.7 AI system technical documentation
A.6.2.8 AI system technical documentation</t>
  </si>
  <si>
    <t>CM-2:Baseline Configuration, 
CM-3:Configuration Change Control, 
CA-7:Least Functionality, 
CA-8:System Component Inventory</t>
  </si>
  <si>
    <t>Apply Documentation Requirements to AI Projects.
Ensure ML Projects Follow the Global Process for Integrating Security into Projects.
Include ML Applications in Asset Management Processes.
Implement Processes to Maintain Security Levels of ML Components Over Time.
Ensure ML Applications Comply with Protection Policies and are Integrated to Security Operations Processes.
Define and Monitor Indicators for Proper Functioning of the Model.</t>
  </si>
  <si>
    <t>Mappings based on integrating with 3rd party software (MLFlow):
GV.OC-05
GV.SC-01
GV.SC-03
GV-SC-04
GV-SC-08
GV.SC-09
ID.AM-02
ID.AM-04
ID.AM-05
ID.AM-08
ID.RA-01
ID.RA-04
ID.RA-09
PR.DS-02
PR.DS-10
PR.PS-01
PR.PS-02
PR.PS-04
PR.PS-06
PR.IR-01
PR.IR-02
PR.IR-04
DE.CM-01
DE.CM-03
DE.CM-09
DE.AE (all)</t>
  </si>
  <si>
    <t>DASF 24</t>
  </si>
  <si>
    <t xml:space="preserve">DASF 24: Control access to models and model assets
</t>
  </si>
  <si>
    <t>Model 7.2, Model Management 8.2, Model Management 8.3, Model Management 8.4, Model Serving — Inference requests 9.1, Model Serving — Inference requests 9.2, Model Serving — Inference requests 9.5, Model Serving — Inference requests 9.6, Model Serving — Inference requests 9.7, Model Serving — Inference response 10.3, Model Serving — Inference response 10.4, Agents — Core 13.1, Agents — Core 13.2, Agents — Core 13.3, Agents — Core 13.6, Agents — Core 13.7, Agents — Core 13.8, Agents — Core 13.9, Agents — Core 13.14, Agents — Core 13.15, Agents — Tools MCP Server 13.16, Agents — Tools MCP Server 13.17, Agents — Tools MCP Server 13.18</t>
  </si>
  <si>
    <t>Organizations commonly encounter challenges in tracking and controlling access to ML models, auditing their usage, and understanding their evolution in complex machine learning workflows. Unity Catalog integrates with the MLflow Model Registry across model lifecycles. This approach simplifies the management and oversight of ML models, proving particularly valuable in environments with multiple teams and diverse projects.</t>
  </si>
  <si>
    <r>
      <rPr>
        <rFont val="&quot;DM Sans&quot;, sans-serif"/>
        <color rgb="FF1155CC"/>
        <u/>
      </rPr>
      <t>AWS</t>
    </r>
  </si>
  <si>
    <r>
      <rPr>
        <rFont val="&quot;DM Sans&quot;, sans-serif"/>
        <color rgb="FF1155CC"/>
        <u/>
      </rPr>
      <t>Azure</t>
    </r>
  </si>
  <si>
    <r>
      <rPr>
        <rFont val="&quot;DM Sans&quot;, sans-serif"/>
        <color rgb="FF1155CC"/>
        <u/>
      </rPr>
      <t>GCP</t>
    </r>
  </si>
  <si>
    <r>
      <rPr>
        <rFont val="DM Sans"/>
        <color rgb="FF1976D2"/>
        <sz val="10.0"/>
        <u/>
      </rPr>
      <t>AML.M0005</t>
    </r>
    <r>
      <rPr>
        <rFont val="DM Sans"/>
        <color rgb="FF000000"/>
        <sz val="10.0"/>
        <u/>
      </rPr>
      <t xml:space="preserve"> Control Access to ML Models and Data at Rest</t>
    </r>
  </si>
  <si>
    <r>
      <rPr>
        <rFont val="DM Sans"/>
        <color rgb="FF1155CC"/>
        <u/>
      </rPr>
      <t>LLM01</t>
    </r>
    <r>
      <rPr>
        <rFont val="DM Sans"/>
      </rPr>
      <t xml:space="preserve">: Prompt Injection
</t>
    </r>
    <r>
      <rPr>
        <rFont val="DM Sans"/>
        <color rgb="FF1155CC"/>
        <u/>
      </rPr>
      <t>LLM03</t>
    </r>
    <r>
      <rPr>
        <rFont val="DM Sans"/>
      </rPr>
      <t xml:space="preserve">: Training Data Poisoning
</t>
    </r>
    <r>
      <rPr>
        <rFont val="DM Sans"/>
        <color rgb="FF1155CC"/>
        <u/>
      </rPr>
      <t>LLM10</t>
    </r>
    <r>
      <rPr>
        <rFont val="DM Sans"/>
      </rPr>
      <t>: Model Theft</t>
    </r>
  </si>
  <si>
    <r>
      <rPr>
        <rFont val="DM Sans"/>
        <color rgb="FF1155CC"/>
        <u/>
      </rPr>
      <t>ML03:2023</t>
    </r>
    <r>
      <rPr>
        <rFont val="DM Sans"/>
      </rPr>
      <t xml:space="preserve"> Model Inversion Attack
</t>
    </r>
    <r>
      <rPr>
        <rFont val="DM Sans"/>
        <color rgb="FF1155CC"/>
        <u/>
      </rPr>
      <t>ML05:2023</t>
    </r>
    <r>
      <rPr>
        <rFont val="DM Sans"/>
      </rPr>
      <t xml:space="preserve"> Model Theft
</t>
    </r>
    <r>
      <rPr>
        <rFont val="DM Sans"/>
        <color rgb="FF1155CC"/>
        <u/>
      </rPr>
      <t>ML10:2023</t>
    </r>
    <r>
      <rPr>
        <rFont val="DM Sans"/>
      </rPr>
      <t xml:space="preserve"> Model Poisoning</t>
    </r>
  </si>
  <si>
    <t>AC-2, AC-3, AC-6, CM-5, SC family</t>
  </si>
  <si>
    <t xml:space="preserve">AI security governance -&gt; Humans can intervene if needed
Access to the AI system -&gt; GenAI model Least Privilege 
Access to the AI system -&gt;  Restrict access to AI models
Access to the AI system -&gt; Restrict access to interact with the AI model
Access to the AI system-&gt;  Restrict access to the AI engineering environment and AI code
</t>
  </si>
  <si>
    <t xml:space="preserve">Apply a RBAC Model, Respecting the Least Privileged Principle.
Ensure ML Applications Comply with Identity Management, Authentication, and Access Control Policies.
Ensure ML Applications Comply with Data Security Requirements.
Ensure Appropriate Protection is Deployed for Test Environments.
Reduce the Available Information About the Model.
Ensure ML Applications Comply with Third Parties' Security Requirements.
	</t>
  </si>
  <si>
    <t>ID.AM-03
ID.AM-04
ID.AM-05
ID.IM-03
PR.AA-03
PR.AA-05
PR.AA-06
PR.DS-01
PR.DS-02
PR.DS-10
PR.IR-01
PR.IR-03
PR.IR-04
PR.PS-01
DS.CM-01
DS.CM-03
DS.CM-09</t>
  </si>
  <si>
    <t>DASF 25</t>
  </si>
  <si>
    <t xml:space="preserve">DASF 25: Use retrieval augmented generation (RAG) with large language models (LLMs)
</t>
  </si>
  <si>
    <t>Evaluation 6.2, Model Serving — Inference requests 9.8</t>
  </si>
  <si>
    <t>Generating relevant and accurate responses in large language models (LLMs) while avoiding hallucinations requires grounding them in domain-specific knowledge. Retrieval augmented generation (RAG) addresses this by breaking down extensive datasets into manageable segments (“chunks”) that are “vector embedded.” These vector embeddings are mathematical representations that help the model understand and quantify different data segments. As a result, LLMs produce responses that are contextually relevant and deeply rooted in the specific domain knowledge.</t>
  </si>
  <si>
    <t>Co-managed</t>
  </si>
  <si>
    <r>
      <rPr>
        <rFont val="&quot;DM Sans&quot;, sans-serif"/>
        <color rgb="FF1155CC"/>
        <u/>
      </rPr>
      <t>AWS</t>
    </r>
  </si>
  <si>
    <r>
      <rPr>
        <rFont val="&quot;DM Sans&quot;, sans-serif"/>
        <color rgb="FF1155CC"/>
        <u/>
      </rPr>
      <t>Azure</t>
    </r>
  </si>
  <si>
    <t>ML algorithm, Model Serving: Inference requests, ML Operations</t>
  </si>
  <si>
    <t>not available at the time of writing</t>
  </si>
  <si>
    <t>A.4.3 Data resources
A.6.1.2 Objectives for responsible development of AI system
A.6.1.3 Processes for responsible design and development of AI systems</t>
  </si>
  <si>
    <t>no clear mapping:
PR.AT-01
PR.AT-02
PR.DS-01
PR.DS-02
PR.DS-10</t>
  </si>
  <si>
    <t>D001: Prevent hallucinated outputs</t>
  </si>
  <si>
    <t>DASF 26</t>
  </si>
  <si>
    <t xml:space="preserve">DASF 26: Fine-tune large language models (LLMs)
</t>
  </si>
  <si>
    <t>Data is your competitive advantage. Use it to customize large AI models to beat your competition. Produce new model variants with tailored LLM response style and structure via fine-tuning.
Fine-tune your own LLM with open models to own your IP.</t>
  </si>
  <si>
    <r>
      <rPr>
        <rFont val="&quot;DM Sans&quot;, sans-serif"/>
        <color rgb="FF1155CC"/>
        <u/>
      </rPr>
      <t>AWS</t>
    </r>
  </si>
  <si>
    <r>
      <rPr>
        <rFont val="&quot;DM Sans&quot;, sans-serif"/>
        <color rgb="FF1155CC"/>
        <u/>
      </rPr>
      <t>Azure</t>
    </r>
  </si>
  <si>
    <t>N/A</t>
  </si>
  <si>
    <t>ML algorithm,</t>
  </si>
  <si>
    <r>
      <rPr>
        <rFont val="DM Sans"/>
        <color rgb="FF1155CC"/>
        <sz val="10.0"/>
        <u/>
      </rPr>
      <t>LLM09.3</t>
    </r>
    <r>
      <rPr>
        <rFont val="DM Sans"/>
        <sz val="10.0"/>
      </rPr>
      <t>: Overreliance</t>
    </r>
  </si>
  <si>
    <t>A.4.3 Data resources
A.6.1.2 Objectives for responsible development of AI system
A.6.1.3 Processes for responsible design and development of AI systems
A.6.2.3 Documentation of AI system design and development</t>
  </si>
  <si>
    <t>no clear mapping, but a case can be made for protecting data security, assets (AI models), and any software/hardware used to train:
PR.DS-01
PR.DS-02
PR.DS-10</t>
  </si>
  <si>
    <t>DASF 27</t>
  </si>
  <si>
    <t>DASF 27: Pretrain a large language model (LLM)</t>
  </si>
  <si>
    <t>Raw data 1.8, Model 7.3, Model Serving — Inference requests 9.8</t>
  </si>
  <si>
    <t>Data is your competitive advantage. Use it to customize large AI models to beat your competition by pretraining models with your data, imbuing the model with domain-specific knowledge, vocabulary and semantics. Pretrain your own LLM with MosaicML to own your IP.</t>
  </si>
  <si>
    <r>
      <rPr>
        <rFont val="&quot;DM Sans&quot;, sans-serif"/>
        <color rgb="FF1155CC"/>
        <u/>
      </rPr>
      <t>AWS</t>
    </r>
  </si>
  <si>
    <r>
      <rPr>
        <rFont val="&quot;DM Sans&quot;, sans-serif"/>
        <color rgb="FF1155CC"/>
        <u/>
      </rPr>
      <t>Azure</t>
    </r>
  </si>
  <si>
    <t>AI legal and compliance -&gt; ID and evaluate compliance &amp; legal obligations for AI system development and deployment
AI legal and compliance -&gt;  ID and evaluate any constraints on data used for AI
Supply chain -&gt;  Verification of origin and integrity of AI assets</t>
  </si>
  <si>
    <t>no clear mapping, but a case can be made for protecting data security, assets (AI models), and any software/hardware used to train:
PR.DS-01
PR.DS-02
PR.DS-11</t>
  </si>
  <si>
    <t>DASF 28</t>
  </si>
  <si>
    <t>DASF 28: Create model aliases, tags and annotations</t>
  </si>
  <si>
    <t>Model Management 8.1, Model Management 8.3, Model Serving — Inference requests 9.5, Model Serving — Inference requests 9.6, Model Serving — Inference response 10.3, Model Serving — Inference response 10.4</t>
  </si>
  <si>
    <t>Model aliases in machine learning workflows allow you to assign a mutable, named reference to a specific version of a registered model. This functionality is beneficial for tracking and managing different stages of a model’s lifecycle, indicating the current deployment status of any given model version.</t>
  </si>
  <si>
    <r>
      <rPr>
        <rFont val="&quot;DM Sans&quot;, sans-serif"/>
        <color rgb="FF1155CC"/>
        <u/>
      </rPr>
      <t>AWS</t>
    </r>
  </si>
  <si>
    <r>
      <rPr>
        <rFont val="&quot;DM Sans&quot;, sans-serif"/>
        <color rgb="FF1155CC"/>
        <u/>
      </rPr>
      <t>Azure</t>
    </r>
  </si>
  <si>
    <r>
      <rPr>
        <rFont val="&quot;DM Sans&quot;, sans-serif"/>
        <color rgb="FF1155CC"/>
        <u/>
      </rPr>
      <t>GCP</t>
    </r>
  </si>
  <si>
    <t>Catalog and governance, Model management,</t>
  </si>
  <si>
    <r>
      <rPr>
        <rFont val="DM Sans"/>
        <color rgb="FF1155CC"/>
        <sz val="10.0"/>
        <u/>
      </rPr>
      <t>LLM10.8</t>
    </r>
    <r>
      <rPr>
        <rFont val="DM Sans"/>
        <sz val="10.0"/>
      </rPr>
      <t>: Model Theft</t>
    </r>
  </si>
  <si>
    <r>
      <rPr>
        <rFont val="DM Sans"/>
        <color rgb="FF1155CC"/>
        <u/>
      </rPr>
      <t>ML05:2023</t>
    </r>
    <r>
      <rPr>
        <rFont val="DM Sans"/>
      </rPr>
      <t xml:space="preserve"> Model Theft</t>
    </r>
  </si>
  <si>
    <t xml:space="preserve">
A.4.2 Resource documentation
A.4.3 Data resources
A.6.2.6 AI system operation and monitoring</t>
  </si>
  <si>
    <t>CM-2:Baseline Configuration, 
CM-8:System Component Inventory, 
AC-3:Access Enforcement, 
AC-4:Information Flow Enforcement</t>
  </si>
  <si>
    <t>AI security governance -&gt; Humans can intervene if needed</t>
  </si>
  <si>
    <t>PR.IR-01
PR.DS-11
PR.PS-01
ID.AM-03</t>
  </si>
  <si>
    <t>DASF 29</t>
  </si>
  <si>
    <t>DASF 29: Build MLOps workflows</t>
  </si>
  <si>
    <t>Raw data 1.8, Model Management 8.1, Model Management 8.3</t>
  </si>
  <si>
    <t>The lakehouse forms the foundation of a data-centric AI platform. Key to this is the ability to manage both data and AI assets from a unified governance solution on the lakehouse. Databricks Unity Catalog enables this by providing centralized access control, auditing, approvals, model workflow, lineage, and data discovery capabilities across Databricks workspaces.
These benefits are now extended to MLflow Models with the introduction of Models in Unity Catalog. Through providing a hosted version of the MLflow Model Registry in Unity Catalog, the full lifecycle of an ML model can be managed while leveraging Unity Catalog’s capability to share assets across Databricks workspaces and trace lineage across both data and models.</t>
  </si>
  <si>
    <r>
      <rPr>
        <rFont val="&quot;DM Sans&quot;, sans-serif"/>
        <color rgb="FF1155CC"/>
        <u/>
      </rPr>
      <t>AWS</t>
    </r>
  </si>
  <si>
    <r>
      <rPr>
        <rFont val="&quot;DM Sans&quot;, sans-serif"/>
        <color rgb="FF1155CC"/>
        <u/>
      </rPr>
      <t>Azure</t>
    </r>
  </si>
  <si>
    <r>
      <rPr>
        <rFont val="&quot;DM Sans&quot;, sans-serif"/>
        <color rgb="FF1155CC"/>
        <u/>
      </rPr>
      <t>GCP</t>
    </r>
  </si>
  <si>
    <t>Catalog and governance, Model management, ML Operations</t>
  </si>
  <si>
    <r>
      <rPr>
        <rFont val="DM Sans"/>
        <color rgb="FF1155CC"/>
        <sz val="10.0"/>
        <u/>
      </rPr>
      <t>LLM05.5, 7</t>
    </r>
    <r>
      <rPr>
        <rFont val="DM Sans"/>
        <sz val="10.0"/>
      </rPr>
      <t xml:space="preserve">: Supply Chain Vulnerabilities
</t>
    </r>
    <r>
      <rPr>
        <rFont val="DM Sans"/>
        <color rgb="FF1155CC"/>
        <sz val="10.0"/>
        <u/>
      </rPr>
      <t>LLM10.4</t>
    </r>
    <r>
      <rPr>
        <rFont val="DM Sans"/>
        <sz val="10.0"/>
      </rPr>
      <t>: Model Theft</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</si>
  <si>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ML06:2023</t>
    </r>
    <r>
      <rPr>
        <rFont val="DM Sans"/>
      </rPr>
      <t xml:space="preserve"> AI Supply Chain Attacks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</si>
  <si>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A.6.2.5 AI system deployment
A.6.2.6 AI system operation and monitoring</t>
  </si>
  <si>
    <t>SA-3:System Development Life Cycle, 
SA-4:Acquisition Process, 
SA-8:Security and Privacy Engineering Principles, 
CM-2:Baseline Configuration, 
CM-3:Configuration Change Control, 
CM-8:System Component Inventory, 
AC-2:Account Management, 
AC-3:Access Enforcement, 
AU-3:Content of Audit Records, 
AU-6:Audit Record Review, Analysis, and Reporting, 
PM-31:Continuous Monitoring Strategy</t>
  </si>
  <si>
    <t>AI security governance -&gt; Humans can intervene if needed
Development of AI software -&gt; Change control over AI models
AI legal and compliance -&gt; ID and evaluate compliance &amp; legal obligations for AI system development and deployment
AI legal and compliance -&gt;  ID and evaluate any constraints on data used for AI</t>
  </si>
  <si>
    <t>Ensure ML applications comply with protection policies and are integrated to security operations processes.
Ensure ML projects follow the global process for integrating security into projects.
Implement processes to maintain security levels of ML components over time.
Apply documentation requirements to AI projects.</t>
  </si>
  <si>
    <t xml:space="preserve">GV.SC-07
ID.AM-01
ID.AM-02
ID.AM-04
ID.AM-08
ID.IM-03
ID.RA-10
PR.AA-03
PR.AA-05
PR.DS (all)
PR.IR-01
PR.PS-01
PR.PS-03
PR.PS-04
PR.PS-05
ID.RA-07
DE.CM-01
DE.CM-03
DE.CM-06
DE.CM-09
DE.AE-02
DE.AE-03
DE.AE-06
RS.CO-02
RS.CO-04
RS.MA-02
DE.AE-07
</t>
  </si>
  <si>
    <t>DASF 30</t>
  </si>
  <si>
    <t>DASF 30: Encrypt models</t>
  </si>
  <si>
    <t>Model Management 8.2, Model Management 8.4, Model Serving — Inference requests 9.1, Model Serving — Inference requests 9.2, Model Serving — Inference requests 9.5, Model Serving — Inference requests 9.6, Model Serving — Inference requests 9.7, Model Serving — Inference response 10.2, Model Serving — Inference response 10.3, Model Serving — Inference response 10.4, Model Serving — Inference response 10.5</t>
  </si>
  <si>
    <t>Databricks Platform secures model assets and their transfer with TLS 1.2+ in-transit encryption. Additionally, Unity Catalog’s managed model registry provides encryption at rest for persisting models, further enhancing security.</t>
  </si>
  <si>
    <r>
      <rPr>
        <rFont val="&quot;DM Sans&quot;, sans-serif"/>
        <color rgb="FF1155CC"/>
        <u/>
      </rPr>
      <t>AWS</t>
    </r>
  </si>
  <si>
    <r>
      <rPr>
        <rFont val="&quot;DM Sans&quot;, sans-serif"/>
        <color rgb="FF1155CC"/>
        <u/>
      </rPr>
      <t>Azure</t>
    </r>
  </si>
  <si>
    <r>
      <rPr>
        <rFont val="&quot;DM Sans&quot;, sans-serif"/>
        <color rgb="FF1155CC"/>
        <u/>
      </rPr>
      <t>GCP</t>
    </r>
  </si>
  <si>
    <t>Model Serving: Inference requests, ML Operations</t>
  </si>
  <si>
    <r>
      <rPr>
        <rFont val="DM Sans"/>
        <color rgb="FF1155CC"/>
        <sz val="10.0"/>
        <u/>
      </rPr>
      <t>AML.M0012</t>
    </r>
    <r>
      <rPr>
        <rFont val="DM Sans"/>
        <sz val="10.0"/>
      </rPr>
      <t xml:space="preserve"> Encrypt Sensitive Information</t>
    </r>
  </si>
  <si>
    <r>
      <rPr>
        <rFont val="DM Sans"/>
        <color rgb="FF1155CC"/>
        <sz val="10.0"/>
        <u/>
      </rPr>
      <t>M1041</t>
    </r>
    <r>
      <rPr>
        <rFont val="DM Sans"/>
        <sz val="10.0"/>
      </rPr>
      <t xml:space="preserve"> Encrypt Sensitive Information</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</si>
  <si>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t>
    </r>
  </si>
  <si>
    <t>SC-8:Transmission Confidentiality and Integrity, 
SC-28:Protection of Information at Rest, 
MP-4:Media Storage, 
AC-3:Access Enforcement, 
AU-9:Protection of Audit Information, 
AC-17:Remote Access</t>
  </si>
  <si>
    <t>Access to the AI system-&gt;  Restrict access to the AI engineering environment and AI code
Encryption -&gt; Encrypt AI artifacts at rest</t>
  </si>
  <si>
    <r>
      <rPr>
        <rFont val="DM Sans"/>
        <color rgb="FF1155CC"/>
        <u/>
      </rPr>
      <t>Article 15.5</t>
    </r>
    <r>
      <rPr>
        <rFont val="DM Sans"/>
      </rPr>
      <t xml:space="preserve"> Accuracy, Robustness, and Cybersecurity
</t>
    </r>
    <r>
      <rPr>
        <rFont val="DM Sans"/>
        <color rgb="FF1155CC"/>
        <u/>
      </rPr>
      <t>Article 15.1</t>
    </r>
    <r>
      <rPr>
        <rFont val="DM Sans"/>
      </rPr>
      <t xml:space="preserve"> Accuracy, Robustness, and Cybersecurity
</t>
    </r>
    <r>
      <rPr>
        <rFont val="DM Sans"/>
        <color rgb="FF1155CC"/>
        <u/>
      </rPr>
      <t>Article 72</t>
    </r>
    <r>
      <rPr>
        <rFont val="DM Sans"/>
      </rPr>
      <t xml:space="preserve"> Post-market monitoring</t>
    </r>
  </si>
  <si>
    <t>PR.DS (all)
ID.AM-02
ID.AM-03
ID.AM-05
ID.AM-07
ID.AM-08
PR.IR-01
PR.IR-04
DE.CM-01
DE.CM-09</t>
  </si>
  <si>
    <t>DASF 31</t>
  </si>
  <si>
    <t>DASF 31: Secure model serving endpoints</t>
  </si>
  <si>
    <t>Model Management 8.2, Model Management 8.4, Model Serving — Inference requests 9.1, Model Serving — Inference requests 9.2, Model Serving — Inference requests 9.5, Model Serving — Inference requests 9.6, Model Serving — Inference requests 9.7, Model Serving — Inference requests 9.11,  Model Serving — Inference requests 9.12, Model Serving — Inference response 10.2, Model Serving — Inference response 10.3, Model Serving — Inference response 10.4, Model Serving — Inference response 10.5,Model Serving — Inference response 10.6,Platform 12.7, Agents — Core 13.1, Agents — Core 13.2, Agents — Core 13.3, Agents — Core 13.4, Agents — Core 13.5, Agents — Core 13.6, Agents — Core 13.7, Agents — Core 13.8, Agents — Core 13.9, Agents — Core 13.14, Agents — Core 13.15, Agents — Tools MCP Server 13.16, Agents — Tools MCP Server 13.18, Agents — Tools MCP Server 13.20, Agents — Tools MCP Server 13.23, Agents — Tools MCP Server 13.24, Agents — Tools MCP Client 13.28</t>
  </si>
  <si>
    <t>Model serving involves risks of unauthorized data access and model tampering, which can compromise the integrity and reliability of machine learning deployments. Mosaic AI Model Serving addresses these concerns by providing secure-by-default REST API endpoints for MLflow machine learning models, featuring autoscaling, high availability and low latency.</t>
  </si>
  <si>
    <r>
      <rPr>
        <rFont val="&quot;DM Sans&quot;, sans-serif"/>
        <color rgb="FF1155CC"/>
        <u/>
      </rPr>
      <t>AWS</t>
    </r>
  </si>
  <si>
    <r>
      <rPr>
        <rFont val="&quot;DM Sans&quot;, sans-serif"/>
        <color rgb="FF1155CC"/>
        <u/>
      </rPr>
      <t>Azure</t>
    </r>
  </si>
  <si>
    <r>
      <rPr>
        <rFont val="&quot;DM Sans&quot;, sans-serif"/>
        <color rgb="FF1155CC"/>
        <u/>
      </rPr>
      <t>GCP</t>
    </r>
  </si>
  <si>
    <t>Model Serving: Inference requests,</t>
  </si>
  <si>
    <t>NS-7</t>
  </si>
  <si>
    <r>
      <rPr>
        <rFont val="DM Sans"/>
        <color rgb="FF1976D2"/>
        <sz val="10.0"/>
        <u/>
      </rPr>
      <t>AML.M0019</t>
    </r>
    <r>
      <rPr>
        <rFont val="DM Sans"/>
        <color rgb="FF000000"/>
        <sz val="10.0"/>
      </rPr>
      <t xml:space="preserve"> Control Access to ML Models and Data in Production</t>
    </r>
  </si>
  <si>
    <r>
      <rPr>
        <rFont val="DM Sans"/>
        <color rgb="FF1155CC"/>
        <u/>
      </rPr>
      <t>LLM01</t>
    </r>
    <r>
      <rPr>
        <rFont val="DM Sans"/>
      </rPr>
      <t xml:space="preserve">: Prompt Injection
</t>
    </r>
    <r>
      <rPr>
        <rFont val="DM Sans"/>
        <color rgb="FF1155CC"/>
        <u/>
      </rPr>
      <t>LLM02</t>
    </r>
    <r>
      <rPr>
        <rFont val="DM Sans"/>
      </rPr>
      <t xml:space="preserve">: Insecure Output Handling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LLM10</t>
    </r>
    <r>
      <rPr>
        <rFont val="DM Sans"/>
      </rPr>
      <t xml:space="preserve">: Model Theft </t>
    </r>
  </si>
  <si>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</si>
  <si>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AC-3:Access Enforcement, 
AC-17:Remote Access, 
SC-7:Boundary Protection, 
SC-23:Session Authenticity, 
SI-4:System Monitoring, 
SI-10:Information Input Validation, 
CM-7:Least Functionality</t>
  </si>
  <si>
    <t xml:space="preserve">Access to the AI system -&gt; GenAI model Least Privilege 
Access to the AI system -&gt; Restrict access to submit AI inputs and access outputs_x000b_(front-end and APIs)
</t>
  </si>
  <si>
    <t>Apply a RBAC model, respecting the least privileged principle.
Ensure ML applications comply with identity management, authentication, and access control policies.</t>
  </si>
  <si>
    <t xml:space="preserve">ID.AM-03
PR.AA-03
PR.AA-05
PR.AA-06
PR.IR-01
PR.PS-01
PR.DS-01
PR.DS-02
PR.DS-10
ID.RA-01
DE.AE-02
DE.AE-03
DE.AE-04
DE.AE-07
DE.CM-01
DE.CM-09
RS.OP-03
RS.OP-05
RS.CO-03
RS.CO-04
</t>
  </si>
  <si>
    <t>B004: Prevent AI endpoint scraping</t>
  </si>
  <si>
    <t>DASF 32</t>
  </si>
  <si>
    <t>DASF 32: Govern and monitor access of AI model and model serving endpoints</t>
  </si>
  <si>
    <t>Model Management 8.2, Model Management 8.4, Model Serving — Inference requests 9.1, Model Serving — Inference requests 9.2, Model Serving — Inference requests 9.5, Model Serving — Inference requests 9.6, Model Serving — Inference requests 9.7, Model Serving — Inference response 10.2, Model Serving — Inference response 10.3, Model Serving — Inference response 10.4, Model Serving — Inference response 10.5, Model Serving — Inference response 10.6, Agents — Tools MCP Server 13.16, Agents — Tools MCP Server 13.18</t>
  </si>
  <si>
    <t>Mosaic AI Gateway is designed to streamline the usage and management of generative AI models and agents within an organization. It is a centralized service that brings governance, monitoring, and production readiness to model serving endpoints. It also allows you to run, secure, and govern AI traffic to democratize and accelerate AI adoption for your organization. Supported by Model Serving AI Gateway, Databricks external models via the AI Gateway allow you to streamline the usage and management of various large language model (LLM) providers, such as OpenAI and Anthropic, within an organization. You can also use Mosaic AI Model Serving as a provider to serve predictive ML models, which offers rate limits for those endpoints. As part of this support, Model Serving offers a high-level interface that simplifies the interaction with these services by providing a unified endpoint to handle specific LLM-related requests. In addition, Databricks support for external models provides centralized credential management. By storing API keys in one secure location, organizations can enhance their security posture by minimizing the exposure of sensitive API keys throughout the system. It also helps to prevent exposing these keys within code or requiring end users to manage keys safely.</t>
  </si>
  <si>
    <t>DASF v 2.1</t>
  </si>
  <si>
    <r>
      <rPr>
        <rFont val="DM Sans"/>
        <color rgb="FF1976D2"/>
        <sz val="10.0"/>
        <u/>
      </rPr>
      <t>AML.M0009</t>
    </r>
    <r>
      <rPr>
        <rFont val="DM Sans"/>
        <color rgb="FF000000"/>
        <sz val="10.0"/>
      </rPr>
      <t xml:space="preserve"> Use Multi-Modal Sensors</t>
    </r>
  </si>
  <si>
    <r>
      <rPr>
        <rFont val="DM Sans"/>
        <color rgb="FF1155CC"/>
        <u/>
      </rPr>
      <t>LLM01</t>
    </r>
    <r>
      <rPr>
        <rFont val="DM Sans"/>
      </rPr>
      <t xml:space="preserve">: Prompt Injection
</t>
    </r>
    <r>
      <rPr>
        <rFont val="DM Sans"/>
        <color rgb="FF1155CC"/>
        <u/>
      </rPr>
      <t>LLM02</t>
    </r>
    <r>
      <rPr>
        <rFont val="DM Sans"/>
      </rPr>
      <t xml:space="preserve">: Insecure Output Handling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LLM10</t>
    </r>
    <r>
      <rPr>
        <rFont val="DM Sans"/>
      </rPr>
      <t xml:space="preserve">: Model Theft </t>
    </r>
  </si>
  <si>
    <t xml:space="preserve">Access to the AI system -&gt; Model Rate Limiting / Throttling
</t>
  </si>
  <si>
    <t>E009: Monitor third-party access</t>
  </si>
  <si>
    <t>DASF 33</t>
  </si>
  <si>
    <t>DASF 33: Manage credentials securely</t>
  </si>
  <si>
    <t>Model 7.2, Model Management 8.2, Model Serving — Inference requests 9.11,  Model Serving — Inference requests 9.12, Agents — Tools MCP Client 13.27, Agents — Tools MCP Client 13.28, Agents — Tools MCP Client 13.30, Agents — Tools MCP Server 13.19, Agents — Tools MCP Server 13.20, Agents — Tools MCP Server 13.23, Agents — Tools MCP Server 13.24</t>
  </si>
  <si>
    <t>Databricks Secrets stores your credentials and references them in notebooks, scripts, configuration properties and jobs.
Integrating with heterogeneous systems requires managing a potentially large set of credentials and safely distributing them across an organization. Instead of directly entering your credentials into a notebook, use Databricks Secrets to store your credentials and reference them in notebooks and jobs to prevent credential leaks through models. Databricks secret management allows users to use and share credentials within Databricks securely. You can also choose to use a third-party secret management service, such as AWS Secrets Manager or a third-party secret manager.</t>
  </si>
  <si>
    <r>
      <rPr>
        <rFont val="&quot;DM Sans&quot;, sans-serif"/>
        <color rgb="FF1155CC"/>
        <u/>
      </rPr>
      <t>AWS</t>
    </r>
  </si>
  <si>
    <r>
      <rPr>
        <rFont val="&quot;DM Sans&quot;, sans-serif"/>
        <color rgb="FF1155CC"/>
        <u/>
      </rPr>
      <t>Azure</t>
    </r>
  </si>
  <si>
    <r>
      <rPr>
        <rFont val="&quot;DM Sans&quot;, sans-serif"/>
        <color rgb="FF1155CC"/>
        <u/>
      </rPr>
      <t>GCP</t>
    </r>
  </si>
  <si>
    <t>Catalog and governance, Model Serving: Inference requests, ML Operations</t>
  </si>
  <si>
    <t>DP-1</t>
  </si>
  <si>
    <r>
      <rPr>
        <rFont val="DM Sans"/>
        <color rgb="FF1155CC"/>
        <sz val="10.0"/>
        <u/>
      </rPr>
      <t>M1043</t>
    </r>
    <r>
      <rPr>
        <rFont val="DM Sans"/>
        <sz val="10.0"/>
      </rPr>
      <t xml:space="preserve"> Credential Access Protection</t>
    </r>
  </si>
  <si>
    <t>A.8.5 Secure Authentication</t>
  </si>
  <si>
    <t>IA-2:Identification and Authentication (Organizational Users), 
IA-5:Authenticator Management, 
IA-8:Identification and Authentication (Non-Organizational Users), 
AC-2:Account Management, 
AC-6:Least Privilege, 
AU-2:Event Logging, 
CM-6:Configuration Settings, 
PS-4:Personnel Termination, 
PS-6:Access Agreements</t>
  </si>
  <si>
    <t>Access to the AI system-&gt;  Restrict access to the AI engineering environment and AI code</t>
  </si>
  <si>
    <t>GV.RR-04
ID.AM-04
PR.AA-02
PR.AA-03
PR.AA-05
PR.DS-01
PR.DS-02
PR.DS-10
PR.PS-01
PR.PS-04
PR.IR-01
ID.IM-03
DE.CM-03</t>
  </si>
  <si>
    <t>DASF 34</t>
  </si>
  <si>
    <t>DASF 34: Run models in multiple layers of isolation</t>
  </si>
  <si>
    <t>Model 7.1, Model Serving — Inference requests 9.3, Agents — Core 13.1, Agents — Core 13.2, Agents — Core 13.3, Agents — Core 13.4, Agents — Core 13.5, Agents — Core 13.6, Agents — Core 13.7, Agents — Core 13.11, Agents — Core 13.12, Agents — Core 13.13, Agents — Core 13.14, Agents — Core 13.15, Agents — Tools MCP Client 13.32</t>
  </si>
  <si>
    <t>Databricks Serverless Compute provides a secure-by-design model serving service featuring defense-in-depth controls like dedicated VMs, network segmentation, and encryption for data in transit and at rest. It adheres to the principle of least privilege for enhanced security.</t>
  </si>
  <si>
    <r>
      <rPr>
        <rFont val="&quot;DM Sans&quot;, sans-serif"/>
        <color rgb="FF1155CC"/>
        <u/>
      </rPr>
      <t>AWS</t>
    </r>
  </si>
  <si>
    <r>
      <rPr>
        <rFont val="&quot;DM Sans&quot;, sans-serif"/>
        <color rgb="FF1155CC"/>
        <u/>
      </rPr>
      <t>Azure</t>
    </r>
  </si>
  <si>
    <r>
      <rPr>
        <rFont val="&quot;DM Sans&quot;, sans-serif"/>
        <color rgb="FF1155CC"/>
        <u/>
      </rPr>
      <t>GCP</t>
    </r>
  </si>
  <si>
    <t>Platform and System Security</t>
  </si>
  <si>
    <r>
      <rPr>
        <rFont val="DM Sans"/>
        <color rgb="FF1976D2"/>
        <sz val="10.0"/>
        <u/>
      </rPr>
      <t>AML.M0017</t>
    </r>
    <r>
      <rPr>
        <rFont val="DM Sans"/>
        <color rgb="FF000000"/>
        <sz val="10.0"/>
      </rPr>
      <t xml:space="preserve"> Model Distribution Methods</t>
    </r>
  </si>
  <si>
    <r>
      <rPr>
        <rFont val="DM Sans"/>
        <color rgb="FF1155CC"/>
        <sz val="10.0"/>
        <u/>
      </rPr>
      <t>M1048</t>
    </r>
    <r>
      <rPr>
        <rFont val="DM Sans"/>
        <sz val="10.0"/>
      </rPr>
      <t xml:space="preserve">  Application Isolation and Sandboxing
</t>
    </r>
    <r>
      <rPr>
        <rFont val="DM Sans"/>
        <color rgb="FF1155CC"/>
        <sz val="10.0"/>
        <u/>
      </rPr>
      <t>M1038</t>
    </r>
    <r>
      <rPr>
        <rFont val="DM Sans"/>
        <sz val="10.0"/>
      </rPr>
      <t xml:space="preserve">  Execution Prevention
</t>
    </r>
    <r>
      <rPr>
        <rFont val="DM Sans"/>
        <color rgb="FF1155CC"/>
        <sz val="10.0"/>
        <u/>
      </rPr>
      <t>M1050</t>
    </r>
    <r>
      <rPr>
        <rFont val="DM Sans"/>
        <sz val="10.0"/>
      </rPr>
      <t xml:space="preserve">  Exploit Protection
</t>
    </r>
    <r>
      <rPr>
        <rFont val="DM Sans"/>
        <color rgb="FF1155CC"/>
        <sz val="10.0"/>
        <u/>
      </rPr>
      <t>M1026</t>
    </r>
    <r>
      <rPr>
        <rFont val="DM Sans"/>
        <sz val="10.0"/>
      </rPr>
      <t xml:space="preserve"> Privileged Account Management
</t>
    </r>
  </si>
  <si>
    <r>
      <rPr>
        <rFont val="DM Sans"/>
        <color rgb="FF1155CC"/>
        <u/>
      </rPr>
      <t>LLM10</t>
    </r>
    <r>
      <rPr>
        <rFont val="DM Sans"/>
      </rPr>
      <t xml:space="preserve">: Model Theft </t>
    </r>
  </si>
  <si>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</si>
  <si>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A.8.22 Segregation of networks</t>
  </si>
  <si>
    <t>SC-2:Separation of System and User Functionality, 
SC-3:Security Function Isolation, 
SC-7:Boundary Protection, 
SC-28:Protection of Information at Rest, 
SC-39:Process Isolation, 
CM-7:Least Functionality</t>
  </si>
  <si>
    <t>Access to the AI system -&gt;  Restrict access to AI models</t>
  </si>
  <si>
    <t>ID.AM-01
ID.AM-02
ID.AM-08
PR.DS-02
PR.DS-10
PR.IR-01
PR.IR-03
PR.IR-04</t>
  </si>
  <si>
    <t>A005: Prevent cross-customer data exposure</t>
  </si>
  <si>
    <t>DASF 35</t>
  </si>
  <si>
    <t xml:space="preserve">DASF 35: Track model performance
</t>
  </si>
  <si>
    <t>Evaluation 6.3,Model Serving — Inference response 10.1</t>
  </si>
  <si>
    <t>Databricks Lakehouse Monitoring provides performance metrics and data quality statistics across all account tables. It tracks the performance of machine learning models and model serving endpoints by observing inference tables with model inputs and predictions.</t>
  </si>
  <si>
    <r>
      <rPr>
        <rFont val="&quot;DM Sans&quot;, sans-serif"/>
        <color rgb="FF1155CC"/>
        <u/>
      </rPr>
      <t>AWS</t>
    </r>
  </si>
  <si>
    <r>
      <rPr>
        <rFont val="&quot;DM Sans&quot;, sans-serif"/>
        <color rgb="FF1155CC"/>
        <u/>
      </rPr>
      <t>Azure</t>
    </r>
  </si>
  <si>
    <t>Model Serving: Inference responses, ML Operations</t>
  </si>
  <si>
    <r>
      <rPr>
        <rFont val="DM Sans"/>
        <color rgb="FF1155CC"/>
        <u/>
      </rPr>
      <t>ML03:2023</t>
    </r>
    <r>
      <rPr>
        <rFont val="DM Sans"/>
      </rPr>
      <t xml:space="preserve"> Model Inversion Attack
</t>
    </r>
    <r>
      <rPr>
        <rFont val="DM Sans"/>
        <color rgb="FF1155CC"/>
        <u/>
      </rPr>
      <t>ML08:2023</t>
    </r>
    <r>
      <rPr>
        <rFont val="DM Sans"/>
      </rPr>
      <t xml:space="preserve"> Model Skewing</t>
    </r>
  </si>
  <si>
    <t xml:space="preserve">AU-2:Event Logging, 
AU-6:Audit Record Review, Analysis, and Reporting, 
CA-7:Continuous Monitoring </t>
  </si>
  <si>
    <t>Define and monitor indicators for proper functioning of the model.
Ensure that the model is sufficiently resilient to the environment in which it will operate.
Integrate poisoning control after the 'model evaluation' phase.</t>
  </si>
  <si>
    <r>
      <rPr>
        <rFont val="DM Sans"/>
        <color rgb="FF1155CC"/>
        <u/>
      </rPr>
      <t>Article 72</t>
    </r>
    <r>
      <rPr>
        <rFont val="DM Sans"/>
      </rPr>
      <t xml:space="preserve"> Post-market monitoring</t>
    </r>
  </si>
  <si>
    <t>GV.SC-07
ID.RA-10
PR.PS-01
PR.PS-04
DE.AE-02
DE.AE-03
DE.AE-06
DE.AE-07
RS.CO-02
RS.CO-04
RS.MA-02</t>
  </si>
  <si>
    <t>DASF 36</t>
  </si>
  <si>
    <t xml:space="preserve">DASF 36: Set up monitoring alerts
</t>
  </si>
  <si>
    <t>Raw data 1.3, Model Serving — Inference response 10.1, Agents — Core 13.4, Agents — Core 13.5, Agents — Core 13.10</t>
  </si>
  <si>
    <t>Databricks SQL alerts can monitor the metrics table for security-based conditions, ensuring data integrity and timely response to potential issues:
- Statistic range alert: Triggers when a specific statistic, such as the fraction of missing values, exceeds a predetermined threshold
- Data distribution shift alert: Activates upon shifts in data distribution, as indicated by the drift metrics table
- Baseline divergence alert: Alerts if data significantly diverges from a baseline, suggesting potential needs for data analysis or model retraining, particularly in InferenceLog analysis</t>
  </si>
  <si>
    <r>
      <rPr>
        <rFont val="&quot;DM Sans&quot;, sans-serif"/>
        <color rgb="FF1155CC"/>
        <u/>
      </rPr>
      <t>AWS</t>
    </r>
  </si>
  <si>
    <r>
      <rPr>
        <rFont val="&quot;DM Sans&quot;, sans-serif"/>
        <color rgb="FF1155CC"/>
        <u/>
      </rPr>
      <t>Azure</t>
    </r>
  </si>
  <si>
    <r>
      <rPr>
        <rFont val="DM Sans"/>
        <color rgb="FF1155CC"/>
        <u/>
      </rPr>
      <t>LLM03</t>
    </r>
    <r>
      <rPr>
        <rFont val="DM Sans"/>
      </rPr>
      <t xml:space="preserve">: Training Data Poisoning, 
</t>
    </r>
    <r>
      <rPr>
        <rFont val="DM Sans"/>
        <color rgb="FF1155CC"/>
        <u/>
      </rPr>
      <t>LLM10</t>
    </r>
    <r>
      <rPr>
        <rFont val="DM Sans"/>
      </rPr>
      <t xml:space="preserve">: Model Theft </t>
    </r>
  </si>
  <si>
    <r>
      <rPr>
        <rFont val="DM Sans"/>
        <color rgb="FF1155CC"/>
        <u/>
      </rPr>
      <t>ML08:2023</t>
    </r>
    <r>
      <rPr>
        <rFont val="DM Sans"/>
      </rPr>
      <t xml:space="preserve"> Model Skewing</t>
    </r>
  </si>
  <si>
    <t>AU-2:Event Logging, 
AU-5:Response to Audit Logging Process Failures, 
AU-6:Audit Record Review, Analysis, and Reporting, 
CA-7:Continuous Monitoring, 
SI-4:System Monitoring</t>
  </si>
  <si>
    <t xml:space="preserve">AI system logging and monitoring -&gt; Monitor AI system inputs and outputs
</t>
  </si>
  <si>
    <t>Define and monitor indicators for proper functioning of the model.
Include ML applications into detection and response to security incident processes.</t>
  </si>
  <si>
    <t>GV.SC-07
GV.RR-02
ID.RA-01
ID.RA-05
ID.RA-06
ID.RA-10
ID.IM-02
ID.IM-03
PR.PS-04
PR.PS-05
PR.DS-01
PR.DS-02
PR.DS-10
DE.AE-02
DE.AE-03
DE.AE-06
DE.AE-07
DE.CM-01
DE.CM-06
DE.CM-03
DE.CM-09
RS.CO-02
RS.CO-04
RS.MA-02</t>
  </si>
  <si>
    <t>C007: Flag high risk outputs, C008: Monitor AI risk categories</t>
  </si>
  <si>
    <t>DASF 37: Set up inference tables for monitoring and debugging models</t>
  </si>
  <si>
    <t>Model Serving — Inference requests 9.1, Model Serving — Inference requests 9.2, Model Serving — Inference requests 9.3, Model Serving — Inference requests 9.4, Model Serving — Inference requests 9.5, Model Serving — Inference requests 9.6, Model Serving — Inference requests 9.7, Model Serving — Inference response 10.1, Model Serving — Inference response 10.3, Model Serving — Inference response 10.4, Model Serving — Inference response 10.6, Agents — Core 13.1, Agents — Core 13.2, Agents — Core 13.3, Agents — Core 13.5, Agents — Core 13.6, Agents — Core 13.7, Agents — Core 13.8, Agents — Core 13.9, Agents — Core 13.10, Agents — Core 13.12, Agents — Core 13.13, Agents — Core 13.14, Agents — Core 13.15, Agents — Tools MCP Server 13.16, Agents — Tools MCP Server 13.18, Agents — Tools MCP Server 13.24</t>
  </si>
  <si>
    <t>Databricks inference tables automatically record incoming requests and outgoing responses to model serving endpoints, storing them as a Unity Catalog Delta table. This table can be used to monitor, debug and enhance ML models. By coupling inference tables with Lakehouse Monitoring, customers can also set up automated monitoring jobs and alerts on inference tables, such as monitoring text quality or toxicity from endpoints serving LLMs, etc.
Critical applications of an inference table include:
- Retraining dataset creation: Building datasets for the next iteration of your models
- Quality monitoring: Keeping track of production data and model performance
- Diagnostics and debugging: Investigating and resolving issues with suspicious inferences
- Mislabeled data identification: Compiling data that needs relabeling</t>
  </si>
  <si>
    <r>
      <rPr>
        <rFont val="&quot;DM Sans&quot;, sans-serif"/>
        <color rgb="FF1155CC"/>
        <u/>
      </rPr>
      <t>AWS</t>
    </r>
  </si>
  <si>
    <r>
      <rPr>
        <rFont val="&quot;DM Sans&quot;, sans-serif"/>
        <color rgb="FF1155CC"/>
        <u/>
      </rPr>
      <t>Azure</t>
    </r>
  </si>
  <si>
    <t>AU-2:Event Logging, 
AU-3:Content of Audit Records, 
AU-6:Audit Record Review, Analysis, and Reporting, 
CM-12:Information Location</t>
  </si>
  <si>
    <t xml:space="preserve">AI system logging and monitoring -&gt; Log AI system inputs and outputs
</t>
  </si>
  <si>
    <t>GV.SC-07
ID.RA-10
PR.PS-04
DE.AE-02
DE.AE-03
DE.AE-06
DE.AE-07
RS.CO-02
RS.CO-04
RS.MA-02</t>
  </si>
  <si>
    <t>E015: Log model activity</t>
  </si>
  <si>
    <t>DASF 38</t>
  </si>
  <si>
    <t xml:space="preserve">DASF 38: Platform security — penetration testing, red teaming, bug bounty and vulnerability management
</t>
  </si>
  <si>
    <t>Platform 12.1, Agents — Core 13.7, Agents — Core 13.11, Agents — Core 13.13, Agents — Core 13.14, Agents — Core 13.15, Agents — Tools MCP Server 13.17, Agents — Tools MCP Server 13.18, Agents — Tools MCP Server 13.21, Agents — Tools MCP Server 13.22, Agents — Tools MCP Client 13.26, Agents — Tools MCP Client 13.27, Agents — Tools MCP Client 13.29, Agents — Tools MCP Client 13.33, Agents — Tools MCP Client 13.35</t>
  </si>
  <si>
    <t>Mitigating attacks on infrastructure hosting AI services, including AI red teaming for large language models, is crucial for safe model development and deployment. Regular security and penetration testing help identify and address infrastructure vulnerabilities before attackers can exploit them.
Databricks operates a formal, documented vulnerability management program overseen by the Chief Security Officer (CSO). The program is management-approved, reviewed annually, and communicated to all relevant internal parties. The policy mandates that vulnerabilities be addressed based on severity: critical vulnerabilities within 14 days, high-severity vulnerabilities within 30 days, and medium-severity vulnerabilities within 60 days.
AI red teaming, especially for large language models, is an essential component of ensuring model safety and security. Databricks conducts regular AI red teaming on models and systems developed internally.</t>
  </si>
  <si>
    <r>
      <rPr>
        <rFont val="&quot;DM Sans&quot;, sans-serif"/>
        <color rgb="FF1155CC"/>
        <u/>
      </rPr>
      <t>AWS</t>
    </r>
  </si>
  <si>
    <r>
      <rPr>
        <rFont val="&quot;DM Sans&quot;, sans-serif"/>
        <color rgb="FF1155CC"/>
        <u/>
      </rPr>
      <t>Azure</t>
    </r>
  </si>
  <si>
    <r>
      <rPr>
        <rFont val="&quot;DM Sans&quot;, sans-serif"/>
        <color rgb="FF1155CC"/>
        <u/>
      </rPr>
      <t>GCP</t>
    </r>
  </si>
  <si>
    <t>Catalog and governance, ML Operations</t>
  </si>
  <si>
    <r>
      <rPr>
        <rFont val="DM Sans"/>
        <color rgb="FF1976D2"/>
        <sz val="10.0"/>
        <u/>
      </rPr>
      <t>AML.M0016</t>
    </r>
    <r>
      <rPr>
        <rFont val="DM Sans"/>
        <color rgb="FF000000"/>
        <sz val="10.0"/>
        <u/>
      </rPr>
      <t xml:space="preserve"> Vulnerability Scanning</t>
    </r>
  </si>
  <si>
    <r>
      <rPr>
        <rFont val="DM Sans"/>
        <color rgb="FF1155CC"/>
        <sz val="10.0"/>
        <u/>
      </rPr>
      <t>M1016</t>
    </r>
    <r>
      <rPr>
        <rFont val="DM Sans"/>
        <color rgb="FF1976D2"/>
        <sz val="10.0"/>
        <u/>
      </rPr>
      <t xml:space="preserve"> Vulnerability Scanning</t>
    </r>
  </si>
  <si>
    <t>Not applicable</t>
  </si>
  <si>
    <t>A.8.29 Security testing in development
and acceptance</t>
  </si>
  <si>
    <t xml:space="preserve">CA-8:Penetration Testing, 
RA-5:Vulnerability Monitoring and Scanning, 
SI-2:Flaw Remediation, 
SA-11:Developer Testing and Evaluation </t>
  </si>
  <si>
    <t xml:space="preserve">GV.SC-07
ID.RA-01
ID.RA-06
ID.RA-10
ID.AM-08
ID.IM-03
PR.PS-02
DE.AE-02
DE.AE-06
RS.MA-02
</t>
  </si>
  <si>
    <t>B001: Third-party testing of adversarial robustness, E001: AI failure plan for security breaches</t>
  </si>
  <si>
    <t xml:space="preserve">DASF 39: Platform security — Incident Response Team
</t>
  </si>
  <si>
    <t>Platform 12.2, Platform 12.3, Agents — Core 13.4, Agents — Core 13.5</t>
  </si>
  <si>
    <t>Databricks has established a formal incident response plan that outlines key elements such as roles, responsibilities, escalation paths and external communication protocols. The platform handles over 9TB of audit logs daily, aiding customer and Databricks security investigations. A dedicated security incident response team operates an internal Databricks instance, consolidating essential log sources for thorough security analysis. Databricks ensures continual operational readiness with a 24/7/365 on-call rotation. Additionally, a proactive hunting program and a specialized detection team support the incident response program and require periodic AI audits and establish protocols for incident reporting, including logs review, performance monitoring, and procedures to report and address misuse.</t>
  </si>
  <si>
    <r>
      <rPr>
        <rFont val="&quot;DM Sans&quot;, sans-serif"/>
        <color rgb="FF1155CC"/>
        <u/>
      </rPr>
      <t>AWS</t>
    </r>
  </si>
  <si>
    <r>
      <rPr>
        <rFont val="&quot;DM Sans&quot;, sans-serif"/>
        <color rgb="FF1155CC"/>
        <u/>
      </rPr>
      <t>Azure</t>
    </r>
  </si>
  <si>
    <r>
      <rPr>
        <rFont val="&quot;DM Sans&quot;, sans-serif"/>
        <color rgb="FF1155CC"/>
        <u/>
      </rPr>
      <t>GCP</t>
    </r>
  </si>
  <si>
    <r>
      <rPr>
        <rFont val="DM Sans"/>
        <color rgb="FF000000"/>
        <sz val="10.0"/>
      </rPr>
      <t xml:space="preserve">
</t>
    </r>
    <r>
      <rPr>
        <rFont val="DM Sans"/>
        <color rgb="FF1155CC"/>
        <sz val="10.0"/>
        <u/>
      </rPr>
      <t>M1040</t>
    </r>
    <r>
      <rPr>
        <rFont val="DM Sans"/>
        <sz val="10.0"/>
      </rPr>
      <t xml:space="preserve"> Behavior Prevention on Endpoint
</t>
    </r>
    <r>
      <rPr>
        <rFont val="DM Sans"/>
        <color rgb="FF1155CC"/>
        <sz val="10.0"/>
        <u/>
      </rPr>
      <t>M1031</t>
    </r>
    <r>
      <rPr>
        <rFont val="DM Sans"/>
        <sz val="10.0"/>
      </rPr>
      <t xml:space="preserve"> Network Intrusion Prevention
</t>
    </r>
    <r>
      <rPr>
        <rFont val="DM Sans"/>
        <color rgb="FF1155CC"/>
        <sz val="10.0"/>
        <u/>
      </rPr>
      <t>M1019</t>
    </r>
    <r>
      <rPr>
        <rFont val="DM Sans"/>
        <sz val="10.0"/>
      </rPr>
      <t xml:space="preserve">  Threat Intelligence Program</t>
    </r>
  </si>
  <si>
    <t>IR-1:Policy and Procedures, 
IR-2:Incident Response Training, 
IR-3:Incident Response Testing, 
IR-4:Incident Handling, 
IR-8:Incident Response Plan, 
AU-6:Audit Record Review, Analysis, and Reporting, 
CP-2:Contingency Plan</t>
  </si>
  <si>
    <t xml:space="preserve">Resilience of the AI system -&gt; Updating incident response for AI specifics
</t>
  </si>
  <si>
    <t>Include ML applications in detection and response to security incident processes.</t>
  </si>
  <si>
    <r>
      <rPr>
        <rFont val="Google Sans"/>
        <color rgb="FF1155CC"/>
        <sz val="9.0"/>
        <u/>
      </rPr>
      <t>Article 17.1</t>
    </r>
    <r>
      <rPr>
        <rFont val="Google Sans"/>
        <color rgb="FF1F1F1F"/>
        <sz val="9.0"/>
      </rPr>
      <t xml:space="preserve"> Quality Management System</t>
    </r>
  </si>
  <si>
    <t xml:space="preserve">GV.SC-07
GV.SC-08
ID.RA-10
ID.IM-02
ID.IM-03
ID.IM-04
PR.AT-01
PR.AT-02
PR.PS-04
DE.AE-02
DE.AE-03
DE.AE-04
DE.AE-06
DE.AE-07
DE.AE-08
RS.MA-01
RS.MA-03
RS.MA-04
RS.MA-05
RS.AN-03
RS.AN-06
RS.AN-08
RS.CO-02
RS.CO-03
RS.MI-01
RS.MI-02
RC.RP-01
RC.RP-02
RC.CO-03
RC.CO-04
</t>
  </si>
  <si>
    <t>E001: AI failure plan for security breaches</t>
  </si>
  <si>
    <t xml:space="preserve">DASF 40: Platform security — internal access
</t>
  </si>
  <si>
    <t>Databricks personnel, by default, do not have access to customer workspaces or production environments. Access may be temporarily requested by Databricks staff for purposes such as investigating outages, security events or supporting deployments. Customers have the option to disable this access. Additionally, staff activity within these environments is recorded in customer audit logs. Accessing these areas requires multi-factor authentication, and employees must connect to the Databricks VPN.</t>
  </si>
  <si>
    <r>
      <rPr>
        <rFont val="&quot;DM Sans&quot;, sans-serif"/>
        <color rgb="FF1155CC"/>
        <u/>
      </rPr>
      <t>AWS</t>
    </r>
  </si>
  <si>
    <r>
      <rPr>
        <rFont val="&quot;DM Sans&quot;, sans-serif"/>
        <color rgb="FF1155CC"/>
        <u/>
      </rPr>
      <t>Azure</t>
    </r>
  </si>
  <si>
    <r>
      <rPr>
        <rFont val="&quot;DM Sans&quot;, sans-serif"/>
        <color rgb="FF1155CC"/>
        <u/>
      </rPr>
      <t>GCP</t>
    </r>
  </si>
  <si>
    <r>
      <rPr>
        <rFont val="DM Sans"/>
        <color rgb="FF1155CC"/>
        <u/>
      </rPr>
      <t>ML08:2023</t>
    </r>
    <r>
      <rPr>
        <rFont val="DM Sans"/>
      </rPr>
      <t xml:space="preserve"> Model Skewing</t>
    </r>
  </si>
  <si>
    <t xml:space="preserve">AC-1:Policy and Procedures, 
AC-2:Account Management, 
AC-3:Access Enforcement, 
AC-6:Least Privilege, 
AT-2:Literacy Training and Awareness, 
AU-9:Protection of Audit Information, 
CM-5:Access Restrictions for Change, 
PS-2:Position Risk Designation </t>
  </si>
  <si>
    <t>Apply a RBAC model, respecting the least privileged principle.
Ensure ML applications comply with identity management, authentication, and access control policies.
Ensure appropriate protection is deployed for test environments.</t>
  </si>
  <si>
    <t>GV.OC-02
GV.OC-03
GV.OC-04
PR.AA (all)
PR.PS-04</t>
  </si>
  <si>
    <t xml:space="preserve">DASF 41: Platform security — secure SDLC
</t>
  </si>
  <si>
    <t>Databricks engineering integrates security throughout the software development lifecycle (SDLC), encompassing both technical and process-level controls under the oversight of our chief security officer (CSO). Activities within our SDLC include:
- Code peer reviews
- Static and dynamic scans for code and containers, including dependencies
- Feature-level security reviews
- Annual software engineering security training
- Cross-organizational collaborations between security, product management, product security and security champions
- Controls to prevent over-disclosure of technical information about AI systems and organizational details that could enable adversarial targeting
These development controls are augmented by internal and external penetration testing programs, with findings tracked for resolution and reported to our executive team. Databricks’ processes undergo an independent annual review, the results of which are published in our SOC 2 Type 2 report, available upon request.</t>
  </si>
  <si>
    <r>
      <rPr>
        <rFont val="&quot;DM Sans&quot;, sans-serif"/>
        <color rgb="FF1155CC"/>
        <u/>
      </rPr>
      <t>AWS</t>
    </r>
  </si>
  <si>
    <r>
      <rPr>
        <rFont val="&quot;DM Sans&quot;, sans-serif"/>
        <color rgb="FF1155CC"/>
        <u/>
      </rPr>
      <t>Azure</t>
    </r>
  </si>
  <si>
    <r>
      <rPr>
        <rFont val="&quot;DM Sans&quot;, sans-serif"/>
        <color rgb="FF1155CC"/>
        <u/>
      </rPr>
      <t>GCP</t>
    </r>
  </si>
  <si>
    <r>
      <rPr>
        <rFont val="DM Sans"/>
        <color rgb="FF1155CC"/>
        <sz val="10.0"/>
        <u/>
      </rPr>
      <t>M1054</t>
    </r>
    <r>
      <rPr>
        <rFont val="DM Sans"/>
        <sz val="10.0"/>
      </rPr>
      <t xml:space="preserve"> Software Configuration</t>
    </r>
  </si>
  <si>
    <t>SA-3:System Development Life Cycle, 
SA-4:Acquisition Process, 
SA-8:Security and Privacy Engineering Principles, 
SA-11:Developer Testing and Evaluation, 
CM-2:Baseline Configuration, 
CM-3:Configuration Change Control, 
PM-14:Testing, Training, and Monitoring</t>
  </si>
  <si>
    <t xml:space="preserve">Development of AI software -&gt; Provide AI security training to AI builders and deployers
Development of AI software -&gt; Change control over AI models
Development of AI software -&gt; Inspection of AI software assets
</t>
  </si>
  <si>
    <t>Ensure ML projects follow the global process for integrating security into projects.
Check the vulnerabilities of the components used so that they have an appropriate security level.
Implement processes to maintain security levels of ML components over time.
Integrate ML specificities to existing security policies.</t>
  </si>
  <si>
    <t>GV.OC-04
GV.SC-05
GV.SC-07
GV.RR-02
ID.AM-03
ID.AM-08
ID.RA-01
ID.RA-07
ID.RA-10
ID.IM-02
ID.IM-03
ID.IM-04
PR.PS-01
PR.PS-06
PR.DS-11
PR.IR-01
PR.AT-01
RC.RP-03
DE.CM-01
DE.CM-03
DE.CM-06
DE.CM-09</t>
  </si>
  <si>
    <t>B003: Manage public release of technical details, C002: Conduct pre-deployment testing</t>
  </si>
  <si>
    <t>DASF 42</t>
  </si>
  <si>
    <t xml:space="preserve">DASF 42: Employ data-centric MLOps and LLMOps
</t>
  </si>
  <si>
    <t>Data Prep 2.1,  Data Prep 2.2, Data Prep 2.3, Data Prep 2.4, Governance 4.2, Algorithms 5.1, Algorithms 5.3, Evaluation 6.1, Evaluation 6.3,Model 7.1, Model 7.2, Model 7.3, Model Management 8.3, Operations 11.1</t>
  </si>
  <si>
    <t>MLOps enhances efficiency, scalability, security and risk reduction in machine learning projects. Databricks integrates with MLflow, focusing on enterprise reliability, security and scalability for managing the machine learning lifecycle. The latest update to MLflow introduces new LLMOps features for better management and deployment of large language models (LLMs). This includes integrations with Hugging Face Transformers, OpenAI and the external models in Mosaic AI Model Serving.
MLflow also integrates with LangChain and a prompt engineering UI, facilitating generative AI application development for use cases such as chatbots, document summarization and text classification.</t>
  </si>
  <si>
    <r>
      <rPr>
        <rFont val="&quot;DM Sans&quot;, sans-serif"/>
        <color rgb="FF1155CC"/>
        <u/>
      </rPr>
      <t>AWS</t>
    </r>
  </si>
  <si>
    <r>
      <rPr>
        <rFont val="&quot;DM Sans&quot;, sans-serif"/>
        <color rgb="FF1155CC"/>
        <u/>
      </rPr>
      <t>Azure</t>
    </r>
  </si>
  <si>
    <r>
      <rPr>
        <rFont val="&quot;DM Sans&quot;, sans-serif"/>
        <color rgb="FF1155CC"/>
        <u/>
      </rPr>
      <t>GCP</t>
    </r>
  </si>
  <si>
    <t>ML algorithm, Model build, Model Serving: Inference requests, Model Serving: Inference responses, ML Operations</t>
  </si>
  <si>
    <r>
      <rPr>
        <rFont val="DM Sans"/>
        <color rgb="FF1155CC"/>
        <u/>
      </rPr>
      <t>LLM03</t>
    </r>
    <r>
      <rPr>
        <rFont val="DM Sans"/>
      </rPr>
      <t xml:space="preserve">: Training Data Poisoning, 
</t>
    </r>
    <r>
      <rPr>
        <rFont val="DM Sans"/>
        <color rgb="FF1155CC"/>
        <u/>
      </rPr>
      <t>LLM05</t>
    </r>
    <r>
      <rPr>
        <rFont val="DM Sans"/>
      </rPr>
      <t xml:space="preserve">: Supply Chain Vulnerabilities
</t>
    </r>
    <r>
      <rPr>
        <rFont val="DM Sans"/>
        <color rgb="FF1155CC"/>
        <u/>
      </rPr>
      <t>LLM10</t>
    </r>
    <r>
      <rPr>
        <rFont val="DM Sans"/>
      </rPr>
      <t xml:space="preserve">: Model Theft </t>
    </r>
  </si>
  <si>
    <r>
      <rPr>
        <rFont val="DM Sans"/>
        <color rgb="FF1155CC"/>
        <u/>
      </rPr>
      <t>ML08:2023</t>
    </r>
    <r>
      <rPr>
        <rFont val="DM Sans"/>
      </rPr>
      <t xml:space="preserve"> Model Skewing</t>
    </r>
  </si>
  <si>
    <t>SC-8:Transmission Confidentiality and Integrity, 
SC-12:Cryptographic Key Establishment and Management, 
SC-28:Protection of Information at Rest, 
AC-2:Account Management, 
AC-3:Access Enforcement, 
AC-5:Separation of Duties, 
AC-6:Least Privilege, 
SA-8:Security and Privacy Engineering Principles, 
AU-2:Event Logging, 
AU-6:Audit Record Review, Analysis, and Reporting, 
SI-2:Flaw Remediation, 
SI-7:Software, Firmware, and Information Integrity</t>
  </si>
  <si>
    <t>Development of AI software -&gt; Provide AI security training to AI builders and deployers
Development of AI software -&gt; Change control over AI models
Supply chain -&gt;  Verification of origin and integrity of AI assets</t>
  </si>
  <si>
    <t>GV.SC-07
GV.OC-04
ID.AM-04
ID.AM-08
ID.IM-03
ID.RA-01
ID.RA-10
PR.DS-01
PR.DS-02
PR.AA-03
PR.AA-05
PR.IR-01
PR.PS-01
PR.PS-02
PR.PS-03
PR.PS-04
PR.DS-01
DE.CM-03
DE.CM-09
DE.AE-02
DE.AE-03
DE.AE-06
DE.AE-07
RS.CO-02
RS.CO-04
RS.MA-02</t>
  </si>
  <si>
    <t>DASF 43</t>
  </si>
  <si>
    <t xml:space="preserve">DASF 43: Use access control lists
</t>
  </si>
  <si>
    <t>Data Prep 2.3, Algorithms 5.3, Model 7.1</t>
  </si>
  <si>
    <t>Databricks access control lists (ACLs) enable you to configure permissions for accessing and interacting with workspace objects, including folders, notebooks, experiments, models, clusters, pools, jobs, Delta Live Tables pipelines, alerts, dashboards, queries and SQL warehouses.</t>
  </si>
  <si>
    <r>
      <rPr>
        <rFont val="&quot;DM Sans&quot;, sans-serif"/>
        <color rgb="FF1155CC"/>
        <u/>
      </rPr>
      <t>AWS</t>
    </r>
  </si>
  <si>
    <r>
      <rPr>
        <rFont val="&quot;DM Sans&quot;, sans-serif"/>
        <color rgb="FF1155CC"/>
        <u/>
      </rPr>
      <t>Azure</t>
    </r>
  </si>
  <si>
    <r>
      <rPr>
        <rFont val="&quot;DM Sans&quot;, sans-serif"/>
        <color rgb="FF1155CC"/>
        <u/>
      </rPr>
      <t>GCP</t>
    </r>
  </si>
  <si>
    <t>Catalog and governance,</t>
  </si>
  <si>
    <t>INFO-8, INFO-9, INFO-10</t>
  </si>
  <si>
    <r>
      <rPr>
        <rFont val="DM Sans"/>
        <color rgb="FF1155CC"/>
        <sz val="10.0"/>
        <u/>
      </rPr>
      <t>M1039</t>
    </r>
    <r>
      <rPr>
        <rFont val="DM Sans"/>
        <sz val="10.0"/>
      </rPr>
      <t xml:space="preserve"> Environment Variable Permissions
</t>
    </r>
    <r>
      <rPr>
        <rFont val="DM Sans"/>
        <color rgb="FF1155CC"/>
        <sz val="10.0"/>
        <u/>
      </rPr>
      <t>M1052</t>
    </r>
    <r>
      <rPr>
        <rFont val="DM Sans"/>
        <sz val="10.0"/>
      </rPr>
      <t xml:space="preserve"> User Account Control
</t>
    </r>
    <r>
      <rPr>
        <rFont val="DM Sans"/>
        <color rgb="FF1155CC"/>
        <sz val="10.0"/>
        <u/>
      </rPr>
      <t>M1018</t>
    </r>
    <r>
      <rPr>
        <rFont val="DM Sans"/>
        <sz val="10.0"/>
      </rPr>
      <t xml:space="preserve"> User Account Management</t>
    </r>
  </si>
  <si>
    <t>AC-3:Access Enforcement, 
AC-6:Least Privilege, 
AC-17:Remote Access</t>
  </si>
  <si>
    <t>Access to the AI system -&gt; Restrict access to data used for AI
Access to the AI system -&gt;  Restrict access to AI models
Access to the AI system-&gt;  Restrict access to the AI engineering environment and AI code</t>
  </si>
  <si>
    <t>Apply a RBAC model, respecting the least privileged principle.
Ensure ML applications comply with identity management, authentication, and access control policies</t>
  </si>
  <si>
    <t xml:space="preserve">PR.AA-03
PR.AA-05
PR.IR-01
PR.PS-01
</t>
  </si>
  <si>
    <t>DASF 44</t>
  </si>
  <si>
    <t xml:space="preserve">DASF 44: Triggering actions in response to a specific event
</t>
  </si>
  <si>
    <t>Evaluation 6.1, Operations 11.1</t>
  </si>
  <si>
    <t>Webhooks in the MLflow Model Registry enable you to automate machine learning workflow by triggering actions in response to specific events. These webhooks facilitate seamless integrations, allowing for the automatic execution of various processes. For example, webhooks are used for:
- CI workflow trigger: Validate your model automatically when creating a new version
- Team notifications: Send alerts through a messaging app when a model stage transition request is received
- Model fairness evaluation: Invoke a workflow to assess model fairness and bias upon a production transition request
- Automated deployment: Trigger a deployment pipeline when a new tag is created on a model</t>
  </si>
  <si>
    <r>
      <rPr>
        <rFont val="&quot;DM Sans&quot;, sans-serif"/>
        <color rgb="FF1155CC"/>
        <u/>
      </rPr>
      <t>AWS</t>
    </r>
  </si>
  <si>
    <r>
      <rPr>
        <rFont val="&quot;DM Sans&quot;, sans-serif"/>
        <color rgb="FF1155CC"/>
        <u/>
      </rPr>
      <t>Azure</t>
    </r>
  </si>
  <si>
    <r>
      <rPr>
        <rFont val="&quot;DM Sans&quot;, sans-serif"/>
        <color rgb="FF1155CC"/>
        <u/>
      </rPr>
      <t>GCP</t>
    </r>
  </si>
  <si>
    <t>A.6.2.6 AI system operation and monitoring</t>
  </si>
  <si>
    <t>AU-2:Event Logging, 
SI-4:System Monitoring, 
CM-6:Configuration Settings</t>
  </si>
  <si>
    <t>Include ML applications into detection and response to security incident processes.
Define and monitor indicators for proper functioning of the model.</t>
  </si>
  <si>
    <t>ID.IM-02
ID.IM-03
ID.AM-03
PR.PS-01
PR.PS-04
PR.PS-05
PR.DS-01
PR.DS-02
PR.DS-10
DE.CM-01
DE.CM-03
DE.CM-04
DE.CM-06
DE.CM-09
DE.AE-02
DE.AE-03
DE.AE-06
DE.AE-07
RS.MA-02</t>
  </si>
  <si>
    <t>DASF 45</t>
  </si>
  <si>
    <t>DASF 45: Evaluate models</t>
  </si>
  <si>
    <t>Evaluation 6.1, Evaluation 6.2, Evaluation 6.3, Model 7.3, Model Serving — Inference requests 9.5, Model Serving — Inference requests 9.6, Model Serving — Inference response 10.4, Operations 11.1, Agents — Core 13.5, Agents — Core 13.7</t>
  </si>
  <si>
    <t>Model evaluation is a critical component of the machine learning lifecycle. It provides data scientists with the tools to measure, interpret and explain the performance of their models. MLflow plays a critical role in accelerating model development by offering insights into the reasons behind a model’s performance and guiding improvements and iterations. MLflow offers many industry-standard native evaluation metrics for classical machine learning algorithms and LLMs, and also facilitates the use of custom evaluation metrics.</t>
  </si>
  <si>
    <r>
      <rPr>
        <rFont val="&quot;DM Sans&quot;, sans-serif"/>
        <color rgb="FF1155CC"/>
        <u/>
      </rPr>
      <t>AWS</t>
    </r>
  </si>
  <si>
    <r>
      <rPr>
        <rFont val="&quot;DM Sans&quot;, sans-serif"/>
        <color rgb="FF1155CC"/>
        <u/>
      </rPr>
      <t>Azure</t>
    </r>
  </si>
  <si>
    <r>
      <rPr>
        <rFont val="&quot;DM Sans&quot;, sans-serif"/>
        <color rgb="FF1155CC"/>
        <u/>
      </rPr>
      <t>GCP</t>
    </r>
  </si>
  <si>
    <t>Evaluation,</t>
  </si>
  <si>
    <r>
      <rPr>
        <rFont val="DM Sans"/>
        <color rgb="FF1976D2"/>
        <sz val="10.0"/>
        <u/>
      </rPr>
      <t>AML.M0008</t>
    </r>
    <r>
      <rPr>
        <rFont val="DM Sans"/>
        <color rgb="FF000000"/>
        <sz val="10.0"/>
        <u/>
      </rPr>
      <t xml:space="preserve"> Validate ML Model</t>
    </r>
  </si>
  <si>
    <t>A.6.1.2 Objectives for responsible development of AI system
A.6.1.3 Processes for responsible AI system design and development
A.6.2.4 AI system verification and validation</t>
  </si>
  <si>
    <t>Define and monitor indicators for proper functioning of the model.
Conduct a risk analysis of the ML application.</t>
  </si>
  <si>
    <r>
      <rPr>
        <rFont val="DM Sans"/>
        <color rgb="FF1155CC"/>
        <u/>
      </rPr>
      <t>Article 72</t>
    </r>
    <r>
      <rPr>
        <rFont val="DM Sans"/>
      </rPr>
      <t xml:space="preserve"> Post-market monitoring</t>
    </r>
  </si>
  <si>
    <t>D002: Third-party testing for hallucinations, C012: Third-party testing for customer-defined risk</t>
  </si>
  <si>
    <t>DASF 46</t>
  </si>
  <si>
    <t xml:space="preserve">DASF 46: Store and retrieve embeddings securely </t>
  </si>
  <si>
    <t>Model Serving — Inference requests 9.1, Model Serving — Inference requests 9.2, Model Serving — Inference requests 9.5, Model Serving — Inference requests 9.6, Model Serving — Inference requests 9.7, Model Serving — Inference requests 9.8, Model Serving — Inference requests 9.9, Model Serving — Inference requests 9.10, Model Serving — Inference response 10.4, Agents — Core 13.1, Agents — Tools MCP Server 13.16, Agents — Tools MCP Server 13.18</t>
  </si>
  <si>
    <r>
      <rPr>
        <rFont val="DM Sans"/>
        <color rgb="FF000000"/>
        <sz val="10.0"/>
      </rPr>
      <t xml:space="preserve">Mosaic AI Vector Search is a vector database that is built into the Databricks Data Intelligence Platform and integrated with its governance and productivity tools. A vector database is a database that is optimized to store and retrieve embeddings. Embeddings are mathematical representations of the semantic content of data, typically text or image data. Embeddings are usually generated by feature extraction models for text, image, audio or multi-modal data, and are a key component of many GenAI applications that depend on finding documents or images that are similar to each other. Examples are RAG systems, recommender systems, and image and video recognition.
Databricks implements the following security controls to protect your data:
Every customer request to Vector Search is logically isolated, authenticated and authorized
Mosaic AI Vector Search encrypts all data at rest (AES-256) and in transit (TLS 1.2+)  and optionally can be encrypted with </t>
    </r>
    <r>
      <rPr>
        <rFont val="DM Sans"/>
        <color rgb="FF1155CC"/>
        <sz val="10.0"/>
        <u/>
      </rPr>
      <t>Customer Managed Keys</t>
    </r>
    <r>
      <rPr>
        <rFont val="DM Sans"/>
        <color rgb="FF000000"/>
        <sz val="10.0"/>
      </rPr>
      <t xml:space="preserve"> (CMK). </t>
    </r>
  </si>
  <si>
    <r>
      <rPr>
        <rFont val="&quot;DM Sans&quot;, sans-serif"/>
        <color rgb="FF1155CC"/>
        <u/>
      </rPr>
      <t>AWS</t>
    </r>
  </si>
  <si>
    <r>
      <rPr>
        <rFont val="&quot;DM Sans&quot;, sans-serif"/>
        <color rgb="FF1155CC"/>
        <u/>
      </rPr>
      <t>Azure</t>
    </r>
  </si>
  <si>
    <t>Model Serving: Inference responses,</t>
  </si>
  <si>
    <t>AC-2:Account Management, 
AC-3:Access Enforcement, 
AC-6:Least Privilege, 
AC-17:Remote Access, 
AU-2:Event Logging, 
AU-6:Audit Record Review, Analysis, and Reporting, 
AU-9:Protection of Audit Information, 
SC-7:Boundary Protection, 
SC-8:Transmission Confidentiality and Integrity, 
SC-12:Cryptographic Key Establishment and Management, 
SC-28:Protection of Information at Rest, 
SI-4:System Monitoring, 
SI-7:Software, Firmware, and Information Integrity</t>
  </si>
  <si>
    <t>Access to the AI system-&gt; GenAI model Least Privilege 
Encryption -&gt; Encrypt traffic to and from the AI model</t>
  </si>
  <si>
    <t>Apply a RBAC model, respecting the least privileged principle.
Ensure ML applications comply with data security requirements.
Ensure appropriate protection is deployed for test environments.
Control all data used by the ML model.</t>
  </si>
  <si>
    <t>GV.SC-07
ID.RA-01
ID.RA-10
ID.AM-04
ID.IM-02
ID.IM-03
PR.AA-03
PR.AA-05
PR.AA-06
PR.DS-01
PR.DS-02
PR.DS-10
PR.IR-01
PR.PS-01
PR.PS-04
DE.CM-01
DE.CM-03
DE.CM-09
DE.AE-02
DE.AE-03
DE.AE-06
DE.AE-07
RS.CO-02
RS.CO-04
RS.MA-02</t>
  </si>
  <si>
    <t>C006: Prevent output vulnerabilities</t>
  </si>
  <si>
    <t>DASF 47</t>
  </si>
  <si>
    <t xml:space="preserve">DASF 47: Compare LLM outputs on set prompts
</t>
  </si>
  <si>
    <t>New, no-code visual tools allow users to compare models’ output based on set prompts, which are automatically tracked within MLflow. With integration into Mosaic AI Model Serving, customers can deploy the best model to production. The AI Playground is a chat-like environment where you can test, prompt and compare LLMs.</t>
  </si>
  <si>
    <r>
      <rPr>
        <rFont val="&quot;DM Sans&quot;, sans-serif"/>
        <color rgb="FF1155CC"/>
        <u/>
      </rPr>
      <t>AWS</t>
    </r>
  </si>
  <si>
    <r>
      <rPr>
        <rFont val="&quot;DM Sans&quot;, sans-serif"/>
        <color rgb="FF1155CC"/>
        <u/>
      </rPr>
      <t>Azure</t>
    </r>
  </si>
  <si>
    <t>no clear CSF mapping</t>
  </si>
  <si>
    <t>C002: Conduct pre-deployment testing</t>
  </si>
  <si>
    <t>DASF 48</t>
  </si>
  <si>
    <t xml:space="preserve">DASF 48: Use hardened Runtime for Machine Learning
</t>
  </si>
  <si>
    <t>Databricks Runtime for Machine Learning (Databricks Runtime ML) now automates cluster creation with versatile infrastructure, encompassing pre-built ML/DL libraries and custom library integration. Enhanced scalability and cost management tools optimize performance and expenditure. The refined user interface caters to various expertise levels, while new collaboration features support team-based projects. Comprehensive training resources and detailed documentation complement these improvements.</t>
  </si>
  <si>
    <r>
      <rPr>
        <rFont val="&quot;DM Sans&quot;, sans-serif"/>
        <color rgb="FF1155CC"/>
        <u/>
      </rPr>
      <t>AWS</t>
    </r>
  </si>
  <si>
    <r>
      <rPr>
        <rFont val="&quot;DM Sans&quot;, sans-serif"/>
        <color rgb="FF1155CC"/>
        <u/>
      </rPr>
      <t>Azure</t>
    </r>
  </si>
  <si>
    <r>
      <rPr>
        <rFont val="&quot;DM Sans&quot;, sans-serif"/>
        <color rgb="FF1155CC"/>
        <u/>
      </rPr>
      <t>GCP</t>
    </r>
  </si>
  <si>
    <t>Model build,</t>
  </si>
  <si>
    <r>
      <rPr>
        <rFont val="DM Sans"/>
        <color rgb="FF1155CC"/>
        <sz val="10.0"/>
        <u/>
      </rPr>
      <t>M1046</t>
    </r>
    <r>
      <rPr>
        <rFont val="DM Sans"/>
        <sz val="10.0"/>
      </rPr>
      <t xml:space="preserve"> Boot Integrity</t>
    </r>
  </si>
  <si>
    <r>
      <rPr>
        <rFont val="DM Sans"/>
        <color rgb="FF1155CC"/>
        <sz val="10.0"/>
        <u/>
      </rPr>
      <t>M1028</t>
    </r>
    <r>
      <rPr>
        <rFont val="DM Sans"/>
        <sz val="10.0"/>
      </rPr>
      <t xml:space="preserve"> Operating System Configuration</t>
    </r>
  </si>
  <si>
    <t>A.8.9 Configuration management</t>
  </si>
  <si>
    <t>CM-2:Baseline Configuration, 
CM-7:Least Functionality, 
CM-11:User-Installed Software, 
SC-7:Boundary Protection, 
SC-8:Transmission Confidentiality and Integrity, 
SC-28:Protection of Information at Rest, 
SC-39:Process Isolation, 
SI-2:Flaw Remediation, 
SI-3:Malicious Code Protection, 
SI-4:System Monitoring, 
SI-7:Software, Firmware, and Information Integrity</t>
  </si>
  <si>
    <t>ID.AM-02
ID.AM-03
ID.AM-04
ID.AM-07
ID.AM-08
PR.AA-01
PR.DS-10</t>
  </si>
  <si>
    <t>DASF 49</t>
  </si>
  <si>
    <t xml:space="preserve">DASF 49: Automate LLM evaluation
</t>
  </si>
  <si>
    <t>Evaluation 6.1, Model Serving — Inference requests 9.8, Agents — Core 13.5, Agents — Core 13.6, Agents — Core 13.7, Agents — Core 13.10</t>
  </si>
  <si>
    <t>The “LLM-as-a-judge” feature in MLflow 2.8 automates LLM evaluation, offering a practical alternative to human judgment. It’s designed to be efficient and cost-effective, maintaining consistency with human scores. This tool supports various metrics, including standard and customizable GenAI metrics, and allows users to select an LLM as a judge and define specific grading criteria.</t>
  </si>
  <si>
    <r>
      <rPr>
        <rFont val="&quot;DM Sans&quot;, sans-serif"/>
        <color rgb="FF1155CC"/>
        <u/>
      </rPr>
      <t>AWS</t>
    </r>
  </si>
  <si>
    <r>
      <rPr>
        <rFont val="&quot;DM Sans&quot;, sans-serif"/>
        <color rgb="FF1155CC"/>
        <u/>
      </rPr>
      <t>Azure</t>
    </r>
  </si>
  <si>
    <t>A.6.2.4 AI system verification and validation
A.9.3 Objectives for responsible use of AI system</t>
  </si>
  <si>
    <t>No clear CSF mapping</t>
  </si>
  <si>
    <t>DASF 50: Platform compliance</t>
  </si>
  <si>
    <r>
      <rPr>
        <rFont val="DM Sans"/>
        <color rgb="FF000000"/>
        <sz val="10.0"/>
      </rPr>
      <t xml:space="preserve">Develop your solutions on a platform created using some of the most rigorous security and compliance standards in the world. Get independent audit reports verifying that Databricks adheres to security controls for ISO 27001, ISO 27018, SOC 1, SOC 2, FedRAMP, HITRUST, IRAP, etc.
Use platform with established data policy with </t>
    </r>
    <r>
      <rPr>
        <rFont val="DM Sans"/>
        <color rgb="FF1155CC"/>
        <sz val="10.0"/>
        <u/>
      </rPr>
      <t>trust and safety commitments</t>
    </r>
    <r>
      <rPr>
        <rFont val="DM Sans"/>
        <color rgb="FF000000"/>
        <sz val="10.0"/>
      </rPr>
      <t xml:space="preserve">. </t>
    </r>
  </si>
  <si>
    <r>
      <rPr>
        <rFont val="&quot;DM Sans&quot;, sans-serif"/>
        <color rgb="FF1155CC"/>
        <u/>
      </rPr>
      <t>AWS</t>
    </r>
  </si>
  <si>
    <r>
      <rPr>
        <rFont val="&quot;DM Sans&quot;, sans-serif"/>
        <color rgb="FF1155CC"/>
        <u/>
      </rPr>
      <t>Azure</t>
    </r>
  </si>
  <si>
    <r>
      <rPr>
        <rFont val="&quot;DM Sans&quot;, sans-serif"/>
        <color rgb="FF1155CC"/>
        <u/>
      </rPr>
      <t>GCP</t>
    </r>
  </si>
  <si>
    <t>Ensure ML applications comply with security policies.
Assess the regulations and laws the ML application must comply with.
Ensure ML applications comply with data security requirements.
Ensure ML applications comply with identity management, authentication, and access control policies.
Ensure ML applications comply with third parties' security requirements.
Ensure ML projects follow the global process for integrating security into projects.</t>
  </si>
  <si>
    <r>
      <rPr>
        <rFont val="DM Sans"/>
        <color rgb="FF1155CC"/>
        <u/>
      </rPr>
      <t>Article 72</t>
    </r>
    <r>
      <rPr>
        <rFont val="DM Sans"/>
      </rPr>
      <t xml:space="preserve"> Post-market monitoring</t>
    </r>
  </si>
  <si>
    <t>No clear CSF mapping - this Mitigation Control definition reads broadly</t>
  </si>
  <si>
    <t>E010: Establish AI acceptable use policy, E012: Document regulatory compliance, E013: Implement quality management system, E016: Implement AI disclosure mechanisms, E017: Document system transparency policy</t>
  </si>
  <si>
    <t>DASF 51</t>
  </si>
  <si>
    <t>DASF 51: Share data and AI assets securely</t>
  </si>
  <si>
    <t>Raw data 1.1, Raw data 1.6, Raw data 1.7, Datasets 3.1, Model Management 8.1, Model Management 8.2</t>
  </si>
  <si>
    <t>Databricks Delta Sharing lets you share data and AI assets securely in Databricks with users outside your organization, whether those users use Databricks or not.</t>
  </si>
  <si>
    <r>
      <rPr>
        <rFont val="&quot;DM Sans&quot;, sans-serif"/>
        <color rgb="FF1155CC"/>
        <u/>
      </rPr>
      <t>AWS</t>
    </r>
  </si>
  <si>
    <r>
      <rPr>
        <rFont val="&quot;DM Sans&quot;, sans-serif"/>
        <color rgb="FF1155CC"/>
        <u/>
      </rPr>
      <t>Azure</t>
    </r>
  </si>
  <si>
    <r>
      <rPr>
        <rFont val="&quot;DM Sans&quot;, sans-serif"/>
        <color rgb="FF1155CC"/>
        <u/>
      </rPr>
      <t>GCP</t>
    </r>
  </si>
  <si>
    <t>GOV-17, GOV-18, GOV-19, INFO-18</t>
  </si>
  <si>
    <t>AC-3:Access Enforcement, 
AC-6:Least Privilege, 
AC-21:Information Sharing, 
SC-8:Transmission Confidentiality and Integrity, 
SC-28:Protection of Information at Rest, 
SI-7:Software, Firmware, and Information Integrity, 
SR-2:Supply Chain Risk Management Plan, 
SR-8:Notification Agreements</t>
  </si>
  <si>
    <t>Apply a RBAC model, respecting the least privilege principle.
Ensure ML applications comply with identity management, authentication, and access control policies.
Ensure ML applications comply with data security requirements.
Ensure ML applications comply with third parties' security requirements.
Conduct a risk analysis of the ML application.</t>
  </si>
  <si>
    <t>GV.OC-02
GV.OC-04
GV.OC-05
GV.RM-05
GV.SC-01
GV.SC-03
GV.SC-05
GV.SC-06
GV.SC-09
GV.SC-10
PR.AA-05
PR.PS-01
ID.IM-03
ID.RA-10
PR.DS-01
PR.DS-02
DE.CM-09</t>
  </si>
  <si>
    <t>DASF 52</t>
  </si>
  <si>
    <t xml:space="preserve">DASF 52: Source code control
</t>
  </si>
  <si>
    <t>Data Prep 2.1, Model 7.4</t>
  </si>
  <si>
    <t>Databricks’ Git Repository integration supports effective code and third-party libraries management, enhancing customer control over their development environment.</t>
  </si>
  <si>
    <r>
      <rPr>
        <rFont val="&quot;DM Sans&quot;, sans-serif"/>
        <color rgb="FF1155CC"/>
        <u/>
      </rPr>
      <t>AWS</t>
    </r>
  </si>
  <si>
    <r>
      <rPr>
        <rFont val="&quot;DM Sans&quot;, sans-serif"/>
        <color rgb="FF1155CC"/>
        <u/>
      </rPr>
      <t>Azure</t>
    </r>
  </si>
  <si>
    <r>
      <rPr>
        <rFont val="&quot;DM Sans&quot;, sans-serif"/>
        <color rgb="FF1155CC"/>
        <u/>
      </rPr>
      <t>GCP</t>
    </r>
  </si>
  <si>
    <t>Special Security Measures</t>
  </si>
  <si>
    <t>Data Preparation, Development, Evaluation</t>
  </si>
  <si>
    <t xml:space="preserve">INFO-11, INFO-38 </t>
  </si>
  <si>
    <t>CM-2:Baseline Configuration, 
CM-3:Configuration Change Control, 
CM-10:Software Usage Restrictions, 
SI-7:Software, Firmware, and Information Integrity, 
SA-10:Information Input Validation, 
SA-11:Error Handling</t>
  </si>
  <si>
    <t xml:space="preserve">Development of AI software -&gt; Version control code specific to AI
</t>
  </si>
  <si>
    <t>GV.SC-07
ID.AM-03
ID.AM-08
ID.RA-01
ID.RA-07
ID.RA-09
ID.RA-10
PR.IR-01
PR.PS-01
PR.PS-05
PR.PS-06
DE.CM-01
DE.CM-03
DE.CM-06
DE.CM-09</t>
  </si>
  <si>
    <t xml:space="preserve">DASF 53: Third-party library control
</t>
  </si>
  <si>
    <t>Algorithms 5.4, Model 7.3, Model 7.4, Agents — Tools MCP Client 13.35, Agents — Tools MCP Server 13.21</t>
  </si>
  <si>
    <t>Databricks’ library management system allows administrators to manage the installation and usage of third-party libraries effectively. This feature enhances the security and efficiency of systems, pipelines and data by giving administrators precise control over their development environment.</t>
  </si>
  <si>
    <r>
      <rPr>
        <rFont val="&quot;DM Sans&quot;, sans-serif"/>
        <color rgb="FF1155CC"/>
        <u/>
      </rPr>
      <t>AWS</t>
    </r>
  </si>
  <si>
    <r>
      <rPr>
        <rFont val="&quot;DM Sans&quot;, sans-serif"/>
        <color rgb="FF1155CC"/>
        <u/>
      </rPr>
      <t>Azure</t>
    </r>
  </si>
  <si>
    <r>
      <rPr>
        <rFont val="&quot;DM Sans&quot;, sans-serif"/>
        <color rgb="FF1155CC"/>
        <u/>
      </rPr>
      <t>GCP</t>
    </r>
  </si>
  <si>
    <t>INFO-11</t>
  </si>
  <si>
    <r>
      <rPr>
        <rFont val="DM Sans"/>
        <color rgb="FF1155CC"/>
        <sz val="10.0"/>
        <u/>
      </rPr>
      <t>AML.M0011</t>
    </r>
    <r>
      <rPr>
        <rFont val="DM Sans"/>
        <sz val="10.0"/>
      </rPr>
      <t xml:space="preserve"> Restrict Library Loading</t>
    </r>
  </si>
  <si>
    <r>
      <rPr>
        <rFont val="DM Sans"/>
        <color rgb="FF1155CC"/>
        <sz val="10.0"/>
        <u/>
      </rPr>
      <t>M1033</t>
    </r>
    <r>
      <rPr>
        <rFont val="DM Sans"/>
        <sz val="10.0"/>
      </rPr>
      <t xml:space="preserve"> Limit Software Installation
</t>
    </r>
    <r>
      <rPr>
        <rFont val="DM Sans"/>
        <color rgb="FF1155CC"/>
        <sz val="10.0"/>
        <u/>
      </rPr>
      <t>M1044</t>
    </r>
    <r>
      <rPr>
        <rFont val="DM Sans"/>
        <sz val="10.0"/>
      </rPr>
      <t xml:space="preserve"> Restrict Library Loading</t>
    </r>
  </si>
  <si>
    <t>CM-7:Least Functionality, 
CM-10:Software Usage Restrictions, 
SI-2:Flaw Remediation, 
SI-7:Software, Firmware, and Information Integrity, 
SR-2:Supply Chain Risk Management Plan, 
SR-6:Supplier Assessments and Reviews</t>
  </si>
  <si>
    <t>Development of AI software -&gt; Inspection of AI software assets
Supply chain -&gt;  Verification of origin and integrity of AI assets</t>
  </si>
  <si>
    <t>Ensure reliable sources are used</t>
  </si>
  <si>
    <t xml:space="preserve">GV.OC-02
GV.SC-03
GV.OC-04
GV.OC-05
GV.RM-05
GV.SC-01
GV.SC-05
GV.SC-06
GV.SC-09
GV.SC-10
ID.RA-01
ID.RA-08
ID.RA-10
PR.PS-01
PR.PS-02
DE.CM-03
DE.CM-09
</t>
  </si>
  <si>
    <t>DASF 54</t>
  </si>
  <si>
    <t>DASF 54: Implement AI guardrails</t>
  </si>
  <si>
    <t xml:space="preserve">Model Serving — Inference requests 9.1, Model Serving — Inference requests 9.2, Model Serving — Inference requests 9.5, Model Serving — Inference requests 9.6, Model Serving — Inference requests 9.8,  Model Serving — Inference requests 9.12,Model Serving — Inference response 10.6, Agents — Core 13.1, Agents — Core 13.2, Agents — Core 13.3, Agents — Core 13.5, Agents — Core 13.6, Agents — Core 13.7, Agents — Core 13.8, Agents — Core 13.9, Agents — Core 13.15, Agents — Tools MCP Server 13.16, Agents — Tools MCP Server 13.18, Agents — Tools MCP Server 13.24, Agents — Tools MCP Client 13.32 </t>
  </si>
  <si>
    <t xml:space="preserve">AI Guardrails allow users to configure and enforce data compliance at the model serving endpoint level and to reduce harmful content on any requests sent to the underlying model. Bad requests and responses are blocked, and a default message is returned to the user. You can configure and enforce data compliance at the model serving endpoint level and reduce harmful content on any requests sent to the underlying model with AI Guardrails. With AI Guardrails, you can configure the following controls on your AI system:
- Safety filtering prevents your model from interacting with unsafe and harmful content, like violent crime, self-harm, and hate speech.
- Personally identifiable information (PII) detection to detect any sensitive information (such as names, addresses, and credit card numbers) for users
- Topic moderation to list a set of allowed topics. Given a chat request, this guardrail flags the request if its topic is not one of the permitted topics.
- Keyword filtering will specify different sets of invalid keywords for both the input and the output. One potential use case for keyword filtering is so the model does not talk about competitors.
</t>
  </si>
  <si>
    <r>
      <rPr>
        <rFont val="&quot;DM Sans&quot;, sans-serif"/>
        <color rgb="FF1155CC"/>
        <u/>
      </rPr>
      <t>AWS</t>
    </r>
  </si>
  <si>
    <r>
      <rPr>
        <rFont val="&quot;DM Sans&quot;, sans-serif"/>
        <color rgb="FF1155CC"/>
        <u/>
      </rPr>
      <t>Azure</t>
    </r>
  </si>
  <si>
    <t>DASF v 1.1</t>
  </si>
  <si>
    <t>Filtering and sanitizing AI data, inputs, and outputs -&gt; Output filtering</t>
  </si>
  <si>
    <r>
      <rPr>
        <rFont val="Google Sans"/>
        <color rgb="FF1155CC"/>
        <sz val="9.0"/>
        <u/>
      </rPr>
      <t>Article 5.1</t>
    </r>
    <r>
      <rPr>
        <rFont val="Google Sans"/>
        <color rgb="FF1F1F1F"/>
        <sz val="9.0"/>
      </rPr>
      <t xml:space="preserve"> Prohibited AI Practices</t>
    </r>
  </si>
  <si>
    <t>no clear mapping</t>
  </si>
  <si>
    <t>A006: Prevent PII leakage, A007: Prevent IP violations, B005: Implement real-time input filtering, B009: Limit output over-exposure, C003: Prevent harmful outputs, C004: Prevent out-of-scope outputs, C005: Prevent customer-defined high risk outputs, C006: Prevent output vulnerabilities, D001: Prevent hallucinated outputs, F001: Prevent AI cyber misuse, F002: Prevent catastrophic misuse</t>
  </si>
  <si>
    <t>DASF 55</t>
  </si>
  <si>
    <t>DASF 55: Monitor audit logs</t>
  </si>
  <si>
    <t>Raw Data 1.1, Raw Data 1.10, Data Prep 2.1, Datasets 3.1, Governance 4.1, Algorithms 5.1, Model 7.1, Model 7.2, Model Management 8.2, Model Management 8.4, Model Serving — Inference requests 9.10, Model Serving — Inference requests 9.11,  Model Serving — Inference requests 9.12, Model Serving — Inference requests 9.13,  Model Serving — Inference response 10.1, Platform 12.7, Agents — Core 13.1, Agents — Core 13.2, Agents — Core 13.3, Agents — Core 13.4, Agents — Core 13.6, Agents — Core 13.7, Agents — Core 13.8, Agents — Core 13.9, Agents — Core 13.11, Agents — Core 13.12, Agents — Core 13.13, Agents — Core 13.14, Agents — Core 13.15, Agents — Tools MCP Server 13.16, Agents — Tools MCP Server 13.17, Agents — Tools MCP Server 13.18, Agents — Tools MCP Server 13.19, Agents — Tools MCP Server 13.20, Agents — Tools MCP Server 13.21, Agents — Tools MCP Server 13.22, Agents — Tools MCP Server 13.23, Agents — Tools MCP Server 13.24, Agents — Tools MCP Server 13.25, Agents — Tools MCP Client 13.26, Agents — Tools MCP Client 13.27, Agents — Tools MCP Client 13.28, Agents — Tools MCP Client 13.29, Agents — Tools MCP Client 13.30, Agents — Tools MCP Client 13.31, Agents — Tools MCP Client 13.32, Agents — Tools MCP Client 13.33, Agents — Tools MCP Client 13.34, Agents — Tools MCP Client 13.35</t>
  </si>
  <si>
    <r>
      <rPr>
        <rFont val="DM Sans"/>
        <color rgb="FF1155CC"/>
        <sz val="10.0"/>
        <u/>
      </rPr>
      <t>Audit logs</t>
    </r>
    <r>
      <rPr>
        <rFont val="DM Sans"/>
        <sz val="10.0"/>
      </rPr>
      <t xml:space="preserve"> and </t>
    </r>
    <r>
      <rPr>
        <rFont val="DM Sans"/>
        <color rgb="FF1155CC"/>
        <sz val="10.0"/>
        <u/>
      </rPr>
      <t>system tables</t>
    </r>
    <r>
      <rPr>
        <rFont val="DM Sans"/>
        <sz val="10.0"/>
      </rPr>
      <t xml:space="preserve"> serve as a centralized operational data store, backed by Delta Lake and governed by </t>
    </r>
    <r>
      <rPr>
        <rFont val="DM Sans"/>
        <color rgb="FF1155CC"/>
        <sz val="10.0"/>
        <u/>
      </rPr>
      <t>Unity Catalog</t>
    </r>
    <r>
      <rPr>
        <rFont val="DM Sans"/>
        <sz val="10.0"/>
      </rPr>
      <t xml:space="preserve">. Audit logs and system tables can be used for a variety of purposes, from user activity, model serving events, and cost monitoring to </t>
    </r>
    <r>
      <rPr>
        <rFont val="DM Sans"/>
        <color rgb="FF1155CC"/>
        <sz val="10.0"/>
        <u/>
      </rPr>
      <t>audit logging</t>
    </r>
    <r>
      <rPr>
        <rFont val="DM Sans"/>
        <sz val="10.0"/>
      </rPr>
      <t xml:space="preserve">. Databricks recommends that customers configure system tables and set up automated monitoring and alerting to meet their needs. The blog post </t>
    </r>
    <r>
      <rPr>
        <rFont val="DM Sans"/>
        <color rgb="FF1155CC"/>
        <sz val="10.0"/>
        <u/>
      </rPr>
      <t>Improve Lakehouse Security Monitoring Using System Tables in Databricks Unity Catalog</t>
    </r>
    <r>
      <rPr>
        <rFont val="DM Sans"/>
        <sz val="10.0"/>
      </rPr>
      <t xml:space="preserve"> is a good starting point to help customers get started. 
Customers that are using </t>
    </r>
    <r>
      <rPr>
        <rFont val="DM Sans"/>
        <color rgb="FF1155CC"/>
        <sz val="10.0"/>
        <u/>
      </rPr>
      <t>Enhanced Security Monitoring or the Compliance Security Profile</t>
    </r>
    <r>
      <rPr>
        <rFont val="DM Sans"/>
        <sz val="10.0"/>
      </rPr>
      <t xml:space="preserve"> can </t>
    </r>
    <r>
      <rPr>
        <rFont val="DM Sans"/>
        <color rgb="FF1155CC"/>
        <sz val="10.0"/>
        <u/>
      </rPr>
      <t>monitor and alert</t>
    </r>
    <r>
      <rPr>
        <rFont val="DM Sans"/>
        <sz val="10.0"/>
      </rPr>
      <t xml:space="preserve"> on suspicious activity detected by the behavior-based malware and file integrity monitoring agents.</t>
    </r>
  </si>
  <si>
    <r>
      <rPr>
        <rFont val="&quot;DM Sans&quot;, sans-serif"/>
        <color rgb="FF1155CC"/>
        <u/>
      </rPr>
      <t>AWS</t>
    </r>
  </si>
  <si>
    <r>
      <rPr>
        <rFont val="&quot;DM Sans&quot;, sans-serif"/>
        <color rgb="FF1155CC"/>
        <u/>
      </rPr>
      <t>Azure</t>
    </r>
  </si>
  <si>
    <r>
      <rPr>
        <rFont val="&quot;DM Sans&quot;, sans-serif"/>
        <color rgb="FF1155CC"/>
        <u/>
      </rPr>
      <t>GCP</t>
    </r>
  </si>
  <si>
    <r>
      <rPr>
        <rFont val="DM Sans"/>
        <color rgb="FF1155CC"/>
        <sz val="10.0"/>
        <u/>
      </rPr>
      <t>M1047</t>
    </r>
    <r>
      <rPr>
        <rFont val="DM Sans"/>
        <sz val="10.0"/>
      </rPr>
      <t xml:space="preserve"> Audit</t>
    </r>
  </si>
  <si>
    <r>
      <rPr>
        <rFont val="DM Sans"/>
        <color rgb="FF1155CC"/>
        <u/>
      </rPr>
      <t>ML09:2023</t>
    </r>
    <r>
      <rPr>
        <rFont val="DM Sans"/>
      </rPr>
      <t xml:space="preserve"> Output Integrity Attack</t>
    </r>
  </si>
  <si>
    <t>AU-6:Audit Record Review, Analysis, and Reporting, 
AU-7:Audit Record Reduction and Report Generation, 
AU-12:Audit Record Generation</t>
  </si>
  <si>
    <t xml:space="preserve">AI system logging and monitoring -&gt; Monitor AI system inputs and outputs
AI system logging and monitoring -&gt; Monitoring for data, models, and configs for suspicious changes
</t>
  </si>
  <si>
    <t>Include ML applications into detection and response to security incident processes.
Define and monitor indicators for proper functioning of the model.
Implement processes to maintain security levels of ML components over time.</t>
  </si>
  <si>
    <r>
      <rPr>
        <rFont val="Google Sans"/>
        <color rgb="FF1155CC"/>
        <sz val="9.0"/>
        <u/>
      </rPr>
      <t>Article 17.1</t>
    </r>
    <r>
      <rPr>
        <rFont val="Google Sans"/>
        <color rgb="FF1F1F1F"/>
        <sz val="9.0"/>
      </rPr>
      <t xml:space="preserve"> Quality Management System</t>
    </r>
  </si>
  <si>
    <t>GV.SC-07
ID.RA-10
ID.IM-03
PR.PS-04
PR.PS-05
DE.CM-01
DE.CM-03
DE.CM-09
DE.AE-02
DE.AE-03
DE.AE-06
DE.AE-07
RS.CO-02
RS.CO-04
RS.MA-02
RS.AN-03
RS.AN-06</t>
  </si>
  <si>
    <t>DASF 56</t>
  </si>
  <si>
    <t xml:space="preserve">DASF 56: Restrict outbound connections from models </t>
  </si>
  <si>
    <t xml:space="preserve">
Model 7.1, Model 7.3, Model 7.4, Model Serving — Inference requests 9.1, Model Serving — Inference requests 9.3, Model Serving — Inference requests 9.9, Agents — Core 13.2, Agents — Core 13.3, Agents — Core 13.6, Agents — Core 13.7, Agents — Core 13.11, Agents — Core 13.13, Agents — Tools MCP Server 13.16, Agents — Tools MCP Server 13.18, Agents — Tools MCP Server 13.23</t>
  </si>
  <si>
    <t>Egress Control enables you to control outbound connections from your Model Serving compute resources. 
With this feature, you can restrict access to the internet while allowing access via Unity Catalog Connections or Private Link. Further, this feature blocks direct access to cloud storage (over the shared S3 gateway) to ensure that all data access occurs via Unity Catalog-controlled paths to reduce the risk of data exfiltration.</t>
  </si>
  <si>
    <r>
      <rPr>
        <rFont val="&quot;DM Sans&quot;, sans-serif"/>
        <color rgb="FF1155CC"/>
        <u/>
      </rPr>
      <t>AWS</t>
    </r>
  </si>
  <si>
    <r>
      <rPr>
        <rFont val="&quot;DM Sans&quot;, sans-serif"/>
        <color rgb="FF1155CC"/>
        <u/>
      </rPr>
      <t>Azure</t>
    </r>
  </si>
  <si>
    <t>Model Serving</t>
  </si>
  <si>
    <r>
      <rPr>
        <rFont val="DM Sans"/>
        <color rgb="FF1155CC"/>
        <sz val="10.0"/>
        <u/>
      </rPr>
      <t>M1037</t>
    </r>
    <r>
      <rPr>
        <rFont val="DM Sans"/>
        <sz val="10.0"/>
      </rPr>
      <t xml:space="preserve"> Filter Network Traffic</t>
    </r>
  </si>
  <si>
    <r>
      <rPr>
        <rFont val="DM Sans"/>
        <color rgb="FF1155CC"/>
        <u/>
      </rPr>
      <t>LLM01</t>
    </r>
    <r>
      <rPr>
        <rFont val="DM Sans"/>
      </rPr>
      <t xml:space="preserve">: Prompt Injection
</t>
    </r>
    <r>
      <rPr>
        <rFont val="DM Sans"/>
        <color rgb="FF1155CC"/>
        <u/>
      </rPr>
      <t>LLM03.4, 5</t>
    </r>
    <r>
      <rPr>
        <rFont val="DM Sans"/>
      </rPr>
      <t xml:space="preserve">: Training Data Poisoning, 
</t>
    </r>
    <r>
      <rPr>
        <rFont val="DM Sans"/>
        <color rgb="FF1155CC"/>
        <u/>
      </rPr>
      <t>LLM06.3</t>
    </r>
    <r>
      <rPr>
        <rFont val="DM Sans"/>
      </rPr>
      <t xml:space="preserve">: Sensitive Information Disclosure
</t>
    </r>
    <r>
      <rPr>
        <rFont val="DM Sans"/>
        <color rgb="FF1155CC"/>
        <u/>
      </rPr>
      <t>LLM10.2</t>
    </r>
    <r>
      <rPr>
        <rFont val="DM Sans"/>
      </rPr>
      <t xml:space="preserve">: Model Theft </t>
    </r>
  </si>
  <si>
    <t>A.8.20 Networks Security
A.8.23 Web filtering</t>
  </si>
  <si>
    <t>AC-4:Information Flow Enforcement, 
AC-17:Remote Access, 
SC-7:Boundary Protection, 
SI-4:System Monitoring</t>
  </si>
  <si>
    <r>
      <rPr>
        <rFont val="DM Sans"/>
        <color rgb="FF1155CC"/>
        <u/>
      </rPr>
      <t>Article 15.5</t>
    </r>
    <r>
      <rPr>
        <rFont val="DM Sans"/>
      </rPr>
      <t xml:space="preserve"> Accuracy, Robustness, and Cybersecurity
</t>
    </r>
    <r>
      <rPr>
        <rFont val="DM Sans"/>
        <color rgb="FF1155CC"/>
        <u/>
      </rPr>
      <t>Article 15.1</t>
    </r>
    <r>
      <rPr>
        <rFont val="DM Sans"/>
      </rPr>
      <t xml:space="preserve"> Accuracy, Robustness, and Cybersecurity</t>
    </r>
  </si>
  <si>
    <t>ID.AM-03
ID.AM-07
ID.IM-02
ID.IM-03
ID.RA-01
PR.AA-03
PR.AA-05
PR.AA-06
PR.IR-01
PR.DS-01
PR.DS-02
PR.DS-10
DE.CM-01
DE.CM-09
DE.AE (all)
RS.MA-02</t>
  </si>
  <si>
    <t>D003: Restrict unsafe tool calls</t>
  </si>
  <si>
    <t>DASF 57</t>
  </si>
  <si>
    <t xml:space="preserve">DASF 57: Use attribute-based access controls (ABAC) 
</t>
  </si>
  <si>
    <t>Model Serving — Inference requests 9.10,Model Serving — Inference requests 9.13</t>
  </si>
  <si>
    <t>Attribute-based access controls (ABAC) allow data stewards to set policies on data and AI assets using various criteria like user-defined tags, workspace details, location, identity and time. Whether it’s restricting sensitive data to authorized personnel or adjusting access dynamically based on project needs, ABAC ensures security measures are applied with detailed accuracy. Implement attribute-based access controls (ABAC) to define access policies based on attributes or characteristics of the user or the resource being accessed. Use row level filters and column masking for fine-grained access controls.</t>
  </si>
  <si>
    <r>
      <rPr>
        <rFont val="&quot;DM Sans&quot;, sans-serif"/>
        <color rgb="FF1155CC"/>
        <u/>
      </rPr>
      <t>AWS</t>
    </r>
  </si>
  <si>
    <r>
      <rPr>
        <rFont val="&quot;DM Sans&quot;, sans-serif"/>
        <color rgb="FF1155CC"/>
        <u/>
      </rPr>
      <t>Azure</t>
    </r>
  </si>
  <si>
    <r>
      <rPr>
        <rFont val="&quot;DM Sans&quot;, sans-serif"/>
        <color rgb="FF1155CC"/>
        <u/>
      </rPr>
      <t>GCP</t>
    </r>
  </si>
  <si>
    <t>Governance and Quality</t>
  </si>
  <si>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LLM06.3</t>
    </r>
    <r>
      <rPr>
        <rFont val="DM Sans"/>
      </rPr>
      <t xml:space="preserve">: Sensitive Information Disclosure
</t>
    </r>
    <r>
      <rPr>
        <rFont val="DM Sans"/>
        <color rgb="FF1155CC"/>
        <u/>
      </rPr>
      <t>LLM07.4, 5, 6</t>
    </r>
    <r>
      <rPr>
        <rFont val="DM Sans"/>
      </rPr>
      <t xml:space="preserve">: Insecure Plugin Design
</t>
    </r>
    <r>
      <rPr>
        <rFont val="DM Sans"/>
        <color rgb="FF1155CC"/>
        <u/>
      </rPr>
      <t>LLM08.5, 7</t>
    </r>
    <r>
      <rPr>
        <rFont val="DM Sans"/>
      </rPr>
      <t xml:space="preserve">: Excessive Agency
</t>
    </r>
    <r>
      <rPr>
        <rFont val="DM Sans"/>
        <color rgb="FF1155CC"/>
        <u/>
      </rPr>
      <t>LLM10.1, 4</t>
    </r>
    <r>
      <rPr>
        <rFont val="DM Sans"/>
      </rPr>
      <t xml:space="preserve">: Model Theft </t>
    </r>
  </si>
  <si>
    <t>AC-3:Access Enforcement, 
AC-16:Security and Privacy Attributes</t>
  </si>
  <si>
    <t>Ensure ML applications comply with identity management, authentication, and access control policies</t>
  </si>
  <si>
    <t>PR.AA-02
PR.AA-05
PR.AA-06
PR.IR-01</t>
  </si>
  <si>
    <t>DASF 58</t>
  </si>
  <si>
    <t xml:space="preserve">DASF 58: Protect data with filters and masking
</t>
  </si>
  <si>
    <t>Model Serving — Inference requests 9.10, Model Serving — Inference requests 9.13</t>
  </si>
  <si>
    <t>Implement filters on sensitive table data using row filters and column masks by harnessing the power of Unity Catalog to secure your data at a granular level. Row filters allow you to apply a filter to a table so that queries return only rows that meet the filter criteria. Column masks let you apply a masking function to a table column.</t>
  </si>
  <si>
    <r>
      <rPr>
        <rFont val="&quot;DM Sans&quot;, sans-serif"/>
        <color rgb="FF1155CC"/>
        <u/>
      </rPr>
      <t>AWS</t>
    </r>
  </si>
  <si>
    <r>
      <rPr>
        <rFont val="&quot;DM Sans&quot;, sans-serif"/>
        <color rgb="FF1155CC"/>
        <u/>
      </rPr>
      <t>Azure</t>
    </r>
  </si>
  <si>
    <r>
      <rPr>
        <rFont val="&quot;DM Sans&quot;, sans-serif"/>
        <color rgb="FF1155CC"/>
        <u/>
      </rPr>
      <t>GCP</t>
    </r>
  </si>
  <si>
    <t>A.8.11 Data masking</t>
  </si>
  <si>
    <t>AC-3:Access Enforcement, 
AC-4:Information Flow Enforcement, 
SI-15:Information Output Filtering, 
PT-7:Specific Categories of Personally Identifiable Information</t>
  </si>
  <si>
    <t xml:space="preserve">Model robustness -&gt; Data minimization during training
Filtering and sanitizing AI data, inputs, and outputs -&gt;  Input filtering
</t>
  </si>
  <si>
    <t>No mapping</t>
  </si>
  <si>
    <r>
      <rPr>
        <rFont val="Google Sans"/>
        <color rgb="FF1155CC"/>
        <sz val="9.0"/>
        <u/>
      </rPr>
      <t>Article 5.1</t>
    </r>
    <r>
      <rPr>
        <rFont val="Google Sans"/>
        <color rgb="FF1F1F1F"/>
        <sz val="9.0"/>
      </rPr>
      <t xml:space="preserve"> Prohibited AI Practices
</t>
    </r>
    <r>
      <rPr>
        <rFont val="Google Sans"/>
        <color rgb="FF1155CC"/>
        <sz val="9.0"/>
        <u/>
      </rPr>
      <t>Article 10.3</t>
    </r>
    <r>
      <rPr>
        <rFont val="Google Sans"/>
        <color rgb="FF1F1F1F"/>
        <sz val="9.0"/>
      </rPr>
      <t xml:space="preserve"> Requirements for data and data governance
</t>
    </r>
    <r>
      <rPr>
        <rFont val="Google Sans"/>
        <color rgb="FF1155CC"/>
        <sz val="9.0"/>
        <u/>
      </rPr>
      <t>Article 10.5</t>
    </r>
    <r>
      <rPr>
        <rFont val="Google Sans"/>
        <color rgb="FF1F1F1F"/>
        <sz val="9.0"/>
      </rPr>
      <t xml:space="preserve"> Requirements for data and data governance</t>
    </r>
  </si>
  <si>
    <t>ID.AM-03
ID.AM-07
PR.AA-05
PR.PS-01
PR.IR-01
PR.DS-01
PR.DS-02
PR.DS-10</t>
  </si>
  <si>
    <t>A006: Prevent PII leakage</t>
  </si>
  <si>
    <t>DASF 59</t>
  </si>
  <si>
    <t>DASF 59: Use clean rooms</t>
  </si>
  <si>
    <t>Raw data 1.1, Raw data 1.7, Model Management 8.2, Model Serving — Inference requests 9.10</t>
  </si>
  <si>
    <t>Building AI applications today necessitates collaborative efforts across organizations and teams, emphasizing a commitment to privacy and data security. Databricks Clean Rooms offer a secure environment for private collaboration on diverse data and AI tasks, spanning machine learning, SQL queries, Python, R and more. Designed to facilitate seamless collaboration across different cloud and data platforms, Databricks Clean Rooms ensure multiparty collaboration without compromising data privacy or security and enables organizations to build scalable AI applications in a privacy-safe manner.</t>
  </si>
  <si>
    <r>
      <rPr>
        <rFont val="&quot;DM Sans&quot;, sans-serif"/>
        <color rgb="FF1155CC"/>
        <u/>
      </rPr>
      <t>AWS</t>
    </r>
  </si>
  <si>
    <r>
      <rPr>
        <rFont val="&quot;DM Sans&quot;, sans-serif"/>
        <color rgb="FF1155CC"/>
        <u/>
      </rPr>
      <t>Azure</t>
    </r>
  </si>
  <si>
    <r>
      <rPr>
        <rFont val="&quot;DM Sans&quot;, sans-serif"/>
        <color rgb="FF1155CC"/>
        <u/>
      </rPr>
      <t>GCP</t>
    </r>
  </si>
  <si>
    <t>PE-3:Physical Access Control, 
SA-3:System Development Life Cycle, 
MP-6:Media Sanitization, 
AC-4:Information Flow Enforcement, 
SR-9:Tamper Resistance and Detection</t>
  </si>
  <si>
    <t xml:space="preserve">ID.AM-03
ID.AM-07
ID.AM-08
PR.PS-06
PR.DS-01
PR.DS-02
PR.DS-10
PR.PS-03
PR.AA-06
PR.IR-01
DE.AE (all)
</t>
  </si>
  <si>
    <t>DASF 60</t>
  </si>
  <si>
    <t>DASF 60: Rate limit number of inference queries</t>
  </si>
  <si>
    <t>Model Serving — Inference requests 9.1, Model Serving — Inference requests 9.2, Model Serving — Inference requests 9.5, Model Serving — Inference requests 9.6, Model Serving — Inference requests 9.7, Model Serving — Inference response 10.2, Model Serving — Inference response 10.3, Model Serving — Inference response 10.4, Model Serving — Inference response 10.5, Model Serving — Inference response 10.6, Agents — Core 13.4, Agents — Core 13.5, Agents — Core 13.10, Agents — Tools MCP Server 13.16, Agents — Tools MCP Server 13.18</t>
  </si>
  <si>
    <t>Enforce request rate limits to manage traffic at the endpoint level on a per-user and per-endpoint basis, effectively controlling access levels and volume.</t>
  </si>
  <si>
    <r>
      <rPr>
        <rFont val="&quot;DM Sans&quot;, sans-serif"/>
        <color rgb="FF1155CC"/>
        <u/>
      </rPr>
      <t>AWS</t>
    </r>
  </si>
  <si>
    <r>
      <rPr>
        <rFont val="&quot;DM Sans&quot;, sans-serif"/>
        <color rgb="FF1155CC"/>
        <u/>
      </rPr>
      <t>Azure</t>
    </r>
  </si>
  <si>
    <r>
      <rPr>
        <rFont val="&quot;DM Sans&quot;, sans-serif"/>
        <color rgb="FF1155CC"/>
        <u/>
      </rPr>
      <t>GCP</t>
    </r>
  </si>
  <si>
    <r>
      <rPr>
        <rFont val="DM Sans"/>
        <color rgb="FF1155CC"/>
        <sz val="10.0"/>
        <u/>
      </rPr>
      <t>AML.M0004</t>
    </r>
    <r>
      <rPr>
        <rFont val="DM Sans"/>
        <sz val="10.0"/>
      </rPr>
      <t xml:space="preserve"> Restrict Number of ML Model Queries</t>
    </r>
  </si>
  <si>
    <t>LLM04.3: Model denial of service 
LLM10.6: Model theft</t>
  </si>
  <si>
    <t>AU-2:Event Logging, 
SI-4:System Monitoring, 
SI-19:De-identification,
AC-3:Access Enforcement, 
SC-43:Usage Restrictions</t>
  </si>
  <si>
    <t>Access to the AI system -&gt;Model Rate Limiting / Throttling</t>
  </si>
  <si>
    <t>Define and Monitor Indicators for Proper Functioning of the Model.</t>
  </si>
  <si>
    <r>
      <rPr>
        <rFont val="DM Sans"/>
        <color rgb="FF1155CC"/>
        <u/>
      </rPr>
      <t>Article 15.5</t>
    </r>
    <r>
      <rPr>
        <rFont val="DM Sans"/>
      </rPr>
      <t xml:space="preserve"> Accuracy, Robustness, and Cybersecurity
</t>
    </r>
    <r>
      <rPr>
        <rFont val="DM Sans"/>
        <color rgb="FF1155CC"/>
        <u/>
      </rPr>
      <t>Article 15.1</t>
    </r>
    <r>
      <rPr>
        <rFont val="DM Sans"/>
      </rPr>
      <t xml:space="preserve"> Accuracy, Robustness, and Cybersecurity</t>
    </r>
  </si>
  <si>
    <t>ID.IM-03
ID.AM-03
PR.AA-05
PR.PS-01
PR.PS-04
PR.PS-05
PR.DS-01
PR.DS-02
PR.DS-10
DE.CM-01
DE.CM-06
DE.CM-09
DE.AE-03
DE.AE-04
DE.AE-07
RS.MA-02</t>
  </si>
  <si>
    <t>DASF 61</t>
  </si>
  <si>
    <t>DASF 61: Train users on AI risk taxonomy and AI/ML security</t>
  </si>
  <si>
    <r>
      <rPr>
        <rFont val="DM Sans"/>
        <color rgb="FF000000"/>
      </rPr>
      <t xml:space="preserve">Provide secure coding education and AI vulnerability awareness for model developers. Training personnel who manage AI infrastructure on cybersecurity best practices is essential to prevent human errors that could lead to security breaches.
Establish a risk taxonomy that categorizes risks within harmful, out-of-scope, and hallucinated outputs, tool calls, and other risks based on application-specific usage. 
https://www.databricks.com/trust/responsibleAI
</t>
    </r>
    <r>
      <rPr>
        <rFont val="DM Sans"/>
        <color rgb="FF1155CC"/>
        <u/>
      </rPr>
      <t>https://www.databricks.com/trust/ai-security</t>
    </r>
  </si>
  <si>
    <t>Databricks - academy</t>
  </si>
  <si>
    <r>
      <rPr>
        <rFont val="DM Sans"/>
        <color rgb="FF1155CC"/>
        <u/>
      </rPr>
      <t>AWS</t>
    </r>
    <r>
      <rPr>
        <rFont val="DM Sans"/>
        <color rgb="FF000000"/>
      </rPr>
      <t xml:space="preserve"> </t>
    </r>
  </si>
  <si>
    <t>Education</t>
  </si>
  <si>
    <t>Education Certification</t>
  </si>
  <si>
    <r>
      <rPr>
        <rFont val="DM Sans"/>
        <color rgb="FF1976D2"/>
        <sz val="10.0"/>
        <u/>
      </rPr>
      <t>AML.M0018</t>
    </r>
    <r>
      <rPr>
        <rFont val="DM Sans"/>
        <color rgb="FF000000"/>
        <sz val="10.0"/>
      </rPr>
      <t xml:space="preserve"> User Training</t>
    </r>
  </si>
  <si>
    <r>
      <rPr>
        <rFont val="DM Sans"/>
        <color rgb="FF1155CC"/>
        <sz val="10.0"/>
        <u/>
      </rPr>
      <t>M1013</t>
    </r>
    <r>
      <rPr>
        <rFont val="DM Sans"/>
        <sz val="10.0"/>
      </rPr>
      <t xml:space="preserve"> </t>
    </r>
    <r>
      <rPr>
        <rFont val="DM Sans"/>
        <color rgb="FF000000"/>
        <sz val="10.0"/>
      </rPr>
      <t xml:space="preserve">Application Developer Guidance
</t>
    </r>
    <r>
      <rPr>
        <rFont val="DM Sans"/>
        <color rgb="FF1155CC"/>
        <sz val="10.0"/>
        <u/>
      </rPr>
      <t>M1017</t>
    </r>
    <r>
      <rPr>
        <rFont val="DM Sans"/>
        <sz val="10.0"/>
      </rPr>
      <t xml:space="preserve"> User Training</t>
    </r>
  </si>
  <si>
    <t>A.4.1 Resource documentation
A.6.1.3 Processes for responsible design and development of AI systems
A.8.2 System documentation and information for users</t>
  </si>
  <si>
    <t>A.6.3 Information security awareness,
education and training</t>
  </si>
  <si>
    <t>AT-2:Literacy Training and Awareness, 
AT-3:Role-Based Training</t>
  </si>
  <si>
    <t>Development of AI software -&gt; Provide AI security training to AI builders and deployers</t>
  </si>
  <si>
    <t>Governments and related institutions have new responsibilities in raising awareness regarding the impact of threats on machine learning.
It is important to educate data scientists on the perils of threats and on the design of security controls before machine learning algorithms are used in organisations’ environments.
Integrate ML specificities to awareness strategy and ensure all ML stakeholders are receiving it.(Not from the controls...)</t>
  </si>
  <si>
    <t>PR.AT-01
PR.AT-02</t>
  </si>
  <si>
    <t>DASF 62</t>
  </si>
  <si>
    <t>DASF 62: Implement network segmentation</t>
  </si>
  <si>
    <t>Model Serving — Inference requests 9.13, Agents — Core 13.11, Agents — Core 13.13, Agents — Tools MCP Server 13.25, Agents — Tools MCP Client 13.32</t>
  </si>
  <si>
    <t>Establish network and security policies to define and enforce egress rules from models and outbound network connections from your serverless compute resources.</t>
  </si>
  <si>
    <r>
      <rPr>
        <rFont val="&quot;DM Sans&quot;, sans-serif"/>
        <color rgb="FF1155CC"/>
        <u/>
      </rPr>
      <t>AWS</t>
    </r>
  </si>
  <si>
    <r>
      <rPr>
        <rFont val="&quot;DM Sans&quot;, sans-serif"/>
        <color rgb="FF1155CC"/>
        <u/>
      </rPr>
      <t>Azure</t>
    </r>
  </si>
  <si>
    <r>
      <rPr>
        <rFont val="DM Sans"/>
        <color rgb="FF1155CC"/>
        <sz val="10.0"/>
        <u/>
      </rPr>
      <t>M1030</t>
    </r>
    <r>
      <rPr>
        <rFont val="DM Sans"/>
        <sz val="10.0"/>
      </rPr>
      <t xml:space="preserve"> Network Segmentation</t>
    </r>
  </si>
  <si>
    <t>LLM01.4: Prompt injection
LLM10.2: Model theft</t>
  </si>
  <si>
    <t>AC-4:Information Flow Enforcement, 
SC-3:Security Function Isolation, 
SC-7:Boundary Protection, 
SC-32:System Partitioning</t>
  </si>
  <si>
    <t>Ensure ML applications comply with protection policies and are integrated to security operations processes</t>
  </si>
  <si>
    <t xml:space="preserve">ID.AM-03
ID.AM-07
PR.AA-06
PR.IR-01
PR.DS-01
PR.DS-02
PR.DS-10
DE.CM-01
</t>
  </si>
  <si>
    <t>B006: Prevent unauthorized AI agent actions, D003: Restrict unsafe tool calls</t>
  </si>
  <si>
    <t>DASF 63</t>
  </si>
  <si>
    <t>DASF 63: Update software</t>
  </si>
  <si>
    <t>Platform 12.1, Agents — Core 13.11, Agents — Tools MCP Server 13.21, Agents — Tools MCP Client 13.33, Agents — Tools MCP Client 13.35</t>
  </si>
  <si>
    <t>Patch and update software regularly to address existing and potential vulnerabilities throughout the AI lifecycle. In Databricks, automatic cluster updates ensure that all clusters within a workspace receive the latest OS images and security patches periodically. Account administrators can customize the maintenance window frequency, start date, and time.</t>
  </si>
  <si>
    <r>
      <rPr>
        <rFont val="&quot;DM Sans&quot;, sans-serif"/>
        <color rgb="FF1155CC"/>
        <u/>
      </rPr>
      <t>AWS</t>
    </r>
  </si>
  <si>
    <r>
      <rPr>
        <rFont val="&quot;DM Sans&quot;, sans-serif"/>
        <color rgb="FF1155CC"/>
        <u/>
      </rPr>
      <t>Azure</t>
    </r>
  </si>
  <si>
    <r>
      <rPr>
        <rFont val="DM Sans"/>
        <color rgb="FF1155CC"/>
        <sz val="10.0"/>
        <u/>
      </rPr>
      <t>M1051</t>
    </r>
    <r>
      <rPr>
        <rFont val="DM Sans"/>
        <sz val="10.0"/>
      </rPr>
      <t xml:space="preserve"> Update Software</t>
    </r>
  </si>
  <si>
    <t>LLM05.3, 4, 9: Supply Chain Vulnerabilities</t>
  </si>
  <si>
    <t>ML06:2023 AI Supply Chain Attacks</t>
  </si>
  <si>
    <t>A.8.8 Management of technical vulnerabilities</t>
  </si>
  <si>
    <t>SI-2:Flaw Remediation, 
CM-6:Configuration Settings, 
MA-3:Maintenance Tools</t>
  </si>
  <si>
    <t>Implement processes to maintain security levels of ML components over time.
Check the vulnerabilities of the components used so that they have an appropriate security level.
Ensure ML applications comply with protection policies and are integrated to security operations processes.
Ensure ML projects follow the global process for integrating security into projects.</t>
  </si>
  <si>
    <t>ID.RA-01
ID.AM-08
PR.PS-01
PR.PS-02
PR.PS-03</t>
  </si>
  <si>
    <t>DASF 64</t>
  </si>
  <si>
    <t>DASF 64: Limit access from AI models and agents</t>
  </si>
  <si>
    <t>Model Serving — Inference requests 9.12, Model Serving — Inference requests 9.13, Agents — Core 13.1, Agents — Core 13.2, Agents — Core 13.3, Agents — Core 13.6, Agents — Core 13.7, Agents — Core 13.9, Agents — Core 13.11, Agents — Core 13.12, Agents — Core 13.13, Agents — Core 13.14, Agents — Core 13.15, Agents — Tools MCP Server 13.16, Agents — Tools MCP Server 13.17, Agents — Tools MCP Server 13.18, Agents — Tools MCP Server 13.19, Agents — Tools MCP Server 13.20, Agents — Tools MCP Server 13.22, Agents — Tools MCP Server 13.23, Agents — Tools MCP Server 13.24, Agents — Tools MCP Client 13.28, Agents — Tools MCP Client 13.30, Agents — Tools MCP Client 13.31, Agents — Tools MCP Client 13.34</t>
  </si>
  <si>
    <t xml:space="preserve">Allow AI models and agents access to enterprise resources based on the principle of least privilege. In Unity Catalog, a "securable object" is any object that can be permissioned to a principal (e.g., user, service principal, or group) and is organized hierarchically. Treat AI as a principal and assign permissions accordingly. 
With on-behalf-of-user authentication, agents deployed via Mosaic AI model serving can access Databricks resources using the identity of the Databricks end user who queried the agent. This enables accessing sensitive information on a per-user basis, with fine-grained enforcement of data access control in Unity Catalog.
</t>
  </si>
  <si>
    <t>LLM08: Excessive Agency</t>
  </si>
  <si>
    <t>A.5.15 Access control</t>
  </si>
  <si>
    <t>AC-2:Account Management, 
AC-3:Access Enforcement, 
AC-5:Separation of Duties, 
AC-6:Least Privilege,
CM-7:Least Functionality</t>
  </si>
  <si>
    <t>Access to the AI system -&gt; GenAI model least privilege</t>
  </si>
  <si>
    <t>Ensure ML applications comply with security policies.</t>
  </si>
  <si>
    <r>
      <rPr>
        <rFont val="Arial"/>
        <color rgb="FF1155CC"/>
        <u/>
      </rPr>
      <t>Article 5.4</t>
    </r>
    <r>
      <rPr>
        <rFont val="Arial"/>
      </rPr>
      <t xml:space="preserve"> Prohibited AI Practices
</t>
    </r>
    <r>
      <rPr>
        <rFont val="Arial"/>
        <color rgb="FF1155CC"/>
        <u/>
      </rPr>
      <t>Article 5.1</t>
    </r>
    <r>
      <rPr>
        <rFont val="Arial"/>
      </rPr>
      <t xml:space="preserve"> Prohibited AI Practices</t>
    </r>
  </si>
  <si>
    <t>PR.AA-03
PR.AA-05
PR.DS-05
PR.IR-01
ID.RA-01</t>
  </si>
  <si>
    <t>A003: Limit AI agent data collection, D003: Restrict unsafe tool calls, B006: Prevent unauthorized AI agent actions</t>
  </si>
  <si>
    <t>DASF 65</t>
  </si>
  <si>
    <t>Datasets 3.1, Governance 4.1, Algorithms 5.2, Evaluation 6.3, Model Serving — Inference requests 9.11, Agents — Core 13.1, Agents — Core 13.2, Agents — Core 13.3, Agents — Core 13.5, Agents — Core 13.6, Agents — Core 13.7, Agents — Core 13.8, Agents — Core 13.9, Agents — Core 13.12, Agents — Core 13.13, Agents — Core 13.14, Agents — Core 13.15, Agents — Tools MCP Server 13.16, Agents — Tools MCP Server 13.17, Agents — Tools MCP Server 13.18, Agents — Tools MCP Client 13.28</t>
  </si>
  <si>
    <t>MLflow Tracing is a powerful feature that provides end-to-end observability for gen AI applications, including complex agent-based systems. It records inputs, outputs, intermediate steps, and metadata to give you a complete picture of how your app behaves.
Tracing allows you to:
• Debug and understand your application
• Monitor performance and optimize cost
• Evaluate and enhance application quality
• Ensure auditability and compliance
• Integrate tracing with many popular third-party frameworks</t>
  </si>
  <si>
    <t xml:space="preserve">Data sets, ML algorithm, Model build, Evaluation, governance, </t>
  </si>
  <si>
    <r>
      <rPr>
        <rFont val="DM Sans"/>
        <color rgb="FF1155CC"/>
        <sz val="10.0"/>
        <u/>
      </rPr>
      <t>ML02:2023</t>
    </r>
    <r>
      <rPr>
        <rFont val="DM Sans"/>
        <sz val="10.0"/>
      </rPr>
      <t xml:space="preserve"> Data Poisoning Attack
</t>
    </r>
    <r>
      <rPr>
        <rFont val="DM Sans"/>
        <color rgb="FF1155CC"/>
        <sz val="10.0"/>
        <u/>
      </rPr>
      <t>ML07:2023</t>
    </r>
    <r>
      <rPr>
        <rFont val="DM Sans"/>
        <sz val="10.0"/>
      </rPr>
      <t xml:space="preserve"> Transfer Learning Attack</t>
    </r>
  </si>
  <si>
    <r>
      <rPr>
        <rFont val="Arial"/>
        <color rgb="FF1155CC"/>
        <u/>
      </rPr>
      <t>Article 72</t>
    </r>
    <r>
      <rPr>
        <rFont val="Arial"/>
      </rPr>
      <t xml:space="preserve"> Post-market monitoring</t>
    </r>
  </si>
  <si>
    <t>ID.AM-03
DE.CM-01
PR.PS-04
ID.IM-03</t>
  </si>
  <si>
    <t>DASF 66</t>
  </si>
  <si>
    <t>Model Management 8.3, Agents — Core 13.5, Agents — Core 13.6, Agents — Core 13.7, Agents — Core 13.10, Agents — Core 13.15, Agents — Tools MCP Client 13.28</t>
  </si>
  <si>
    <t>End-user feedback is invaluable for understanding how your GenAI application performs in real-world scenarios. MLflow provides tools to capture, store, and analyze feedback directly from the users of your deployed applications.</t>
  </si>
  <si>
    <r>
      <rPr>
        <rFont val="DM Sans"/>
        <color rgb="FF1155CC"/>
        <sz val="10.0"/>
        <u/>
      </rPr>
      <t xml:space="preserve">AML.M0022 </t>
    </r>
    <r>
      <rPr>
        <rFont val="DM Sans"/>
        <sz val="10.0"/>
      </rPr>
      <t xml:space="preserve">       
Generative AI Model Alignment</t>
    </r>
  </si>
  <si>
    <t>LLM01:2025 - 5. Require human approval for high-risk actions
LLM06:2025 - 6. Require user approval</t>
  </si>
  <si>
    <t>B.3.2 AI roles and responsibilities
B.5.3 Documentation of AI system impact assessments
B.6.1.3 Processes for responsible design and development of AI systems
B.9.4 Intended use of the AI system</t>
  </si>
  <si>
    <t>Explainability and Accuracy
Control all data used by the
ML model
Assessing source reliability</t>
  </si>
  <si>
    <r>
      <rPr>
        <rFont val="Arial"/>
        <color rgb="FF1155CC"/>
        <u/>
      </rPr>
      <t>Article 14: Human Oversigh</t>
    </r>
    <r>
      <rPr>
        <rFont val="Arial"/>
      </rPr>
      <t>t</t>
    </r>
  </si>
  <si>
    <t>GV.OC-04
RS.MA-02
PR.AT-01
ID.IM-03</t>
  </si>
  <si>
    <t>C009: Enable real-time feedback and intervention, C007: Flag high risk outputs</t>
  </si>
  <si>
    <t>DASF 67</t>
  </si>
  <si>
    <t>Raw data 1.1, Data Prep 2.1, Data Prep 2.2, Data Prep 2.3, Data Prep 2.4, Datasets 3.1, Evaluation 6.1, Model 7.1, Model 7.2, Model Management 8.2, Model Management 8.4, Model Serving — Inference requests 9.1, Model Serving — Inference requests 9.2, Model Serving — Inference requests 9.5, Model Serving — Inference requests 9.6, Model Serving — Inference requests 9.7, Model Serving — Inference requests 9.9, Model Serving — Inference requests 9.10,Model Serving — Inference requests 9.11, Model Serving — Inference requests 9.12 ,Model Serving — Inference response 10.3, Model Serving — Inference response 10.4, Platform 12.7, Agents — Core 13.1, Agents — Core 13.2, Agents — Core 13.3, Agents — Core 13.6, Agents — Core 13.7, Agents — Core 13.8, Agents — Core 13.9, Agents — Core 13.12, Agents — Core 13.13, Agents — Core 13.14, Agents — Tools MCP Server 13.16, Agents — Tools MCP Server 13.17, Agents — Tools MCP Server 13.18, Agents — Tools MCP Server 13.19, Agents — Tools MCP Server 13.20, Agents — Tools MCP Server 13.22, Agents — Tools MCP Server 13.23, Agents — Tools MCP Server 13.24, Agents — Tools MCP Client 13.27, Agents — Tools MCP Client 13.28, Agents — Tools MCP Client 13.29, Agents — Tools MCP Client 13.31, Agents — Tools MCP Client 13.34</t>
  </si>
  <si>
    <t>OAuth token federation is a simpler and more secure method for authenticating to Databricks, especially for automated workloads. Token federation allows applications to authenticate to Databricks using tokens from your trusted IdP, eliminating the need to store Databricks secrets like static tokens or passwords. Databricks OAuth token federation enables your users and applications to securely access Databricks AI APIs using tokens from your identity provider (IdP). Workloads authenticate to Databricks as a service principal in the  Databricks account, using workload identity tokens issued by the automation environment. The Databricks SDKs and Databricks CLI automatically fetch these workload identity tokens and exchange them for Databricks OAuth tokens, which eliminates the need manage and rotate Databricks secrets.</t>
  </si>
  <si>
    <r>
      <rPr>
        <rFont val="DM Sans"/>
        <color rgb="FF1155CC"/>
        <u/>
      </rPr>
      <t>M1036</t>
    </r>
    <r>
      <rPr>
        <rFont val="DM Sans"/>
      </rPr>
      <t xml:space="preserve"> Account Use Policies
</t>
    </r>
    <r>
      <rPr>
        <rFont val="DM Sans"/>
        <color rgb="FF1155CC"/>
        <u/>
      </rPr>
      <t>M1027</t>
    </r>
    <r>
      <rPr>
        <rFont val="DM Sans"/>
      </rPr>
      <t xml:space="preserve"> Password Policies</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</si>
  <si>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Excessive Agency</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</si>
  <si>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</si>
  <si>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t>Article 9 Risk management system
Article 26 Obligations of deployers of high-risk AI systems</t>
  </si>
  <si>
    <t>DASF 68</t>
  </si>
  <si>
    <t>Agents — Tools MCP Server 13.16, Agents — Tools MCP Server 13.17, Agents — Tools MCP Server 13.18, Agents — Tools MCP Server 13.19, Agents — Tools MCP Server 13.20, Agents — Tools MCP Server 13.21, Agents — Tools MCP Server 13.22, Agents — Tools MCP Server 13.23, Agents — Tools MCP Server 13.24, Agents — Tools MCP Server 13.25, Agents — Tools MCP Client 13.26, Agents — Tools MCP Client 13.27, Agents — Tools MCP Client 13.28, Agents — Tools MCP Client 13.29, Agents — Tools MCP Client 13.31, Agents — Tools MCP Client 13.32, Agents — Tools MCP Client 13.33, Agents — Tools MCP Client 13.34, Agents — Tools MCP Client 13.35</t>
  </si>
  <si>
    <t xml:space="preserve">Model Context Protocol (MCP) servers act as bridges that let AI agents access external data and tools. Instead of building these connections from scratch, you can use securely hosted Databricks managed MCP servers to instantly connect your agents to data stored in Unity Catalog, vector search indexes, and custom functions.
</t>
  </si>
  <si>
    <t>AML.M0005 Control Access to ML Models and Data at Rest
AML.M0019 Control Access to ML Models and Data in Production</t>
  </si>
  <si>
    <t>M1026 Privileged Account Management
M1037 Filter Network Traffic</t>
  </si>
  <si>
    <r>
      <rPr>
        <rFont val="Arial"/>
        <color rgb="FF1155CC"/>
        <u/>
      </rPr>
      <t>LLM08</t>
    </r>
    <r>
      <rPr>
        <rFont val="Arial"/>
        <color rgb="FF000000"/>
      </rPr>
      <t xml:space="preserve">: Excessive Agency 
</t>
    </r>
    <r>
      <rPr>
        <rFont val="Arial"/>
        <color rgb="FF1155CC"/>
        <u/>
      </rPr>
      <t>LLM03</t>
    </r>
    <r>
      <rPr>
        <rFont val="Arial"/>
        <color rgb="FF000000"/>
      </rPr>
      <t>: Supply Chain</t>
    </r>
  </si>
  <si>
    <t>A.5.19 Information security in supplier relationships
A.5.20 Addressing information security in supplier agreements
A.8.8 Management of technical vulnerabilities</t>
  </si>
  <si>
    <t>SA-9:External System Services
CM-7:Least Functionality
SC-7:Boundary Protection</t>
  </si>
  <si>
    <t>AI supply chain security → Prefer managed, vendor-vetted MCP servers to minimise third-party attack surface</t>
  </si>
  <si>
    <t>Use vendor-managed or platform-hosted AI integrations to reduce attack surface / Validate third-party AI tool providers</t>
  </si>
  <si>
    <t>Article 9 Risk management system
Article 25 Responsibilities of deployers</t>
  </si>
  <si>
    <t>GV.SC-07
PR.PS-01
ID.RA-01
DE.CM-06</t>
  </si>
  <si>
    <t>E009: Monitor third-party access, D003: Restrict unsafe tool calls</t>
  </si>
  <si>
    <t>DASF 69</t>
  </si>
  <si>
    <t>Agents — Tools MCP Server 13.18, Agents — Tools MCP Server 13.19, Agents — Tools MCP Server 13.20, Agents — Tools MCP Server 13.21, Agents — Tools MCP Server 13.22, Agents — Tools MCP Server 13.23, Agents — Tools MCP Server 13.24, Agents — Tools MCP Server 13.25, Agents — Tools MCP Client 13.26, Agents — Tools MCP Client 13.27, Agents — Tools MCP Client 13.28, Agents — Tools MCP Client 13.29, Agents — Tools MCP Client 13.31, Agents — Tools MCP Client 13.32, Agents — Tools MCP Client 13.33, Agents — Tools MCP Client 13.34, Agents — Tools MCP Client 13.35</t>
  </si>
  <si>
    <t>Host your own custom or third-party MCP servers as secure Databricks apps. Custom MCP servers are useful if you already have an MCP server you want to deploy or if you want to run a third-party MCP server as a source of tools.</t>
  </si>
  <si>
    <t>AML.M0005 Control Access to ML Models and Data at Rest
 AML.M0016 Vulnerability Scanning</t>
  </si>
  <si>
    <t>M1051 Update Software
 M1054 Software Configuration
 M1026 Privileged Account Management</t>
  </si>
  <si>
    <r>
      <rPr>
        <rFont val="Arial"/>
        <color rgb="FF1155CC"/>
        <u/>
      </rPr>
      <t>LLM08</t>
    </r>
    <r>
      <rPr>
        <rFont val="Arial"/>
        <color rgb="FF000000"/>
      </rPr>
      <t xml:space="preserve">: Excessive Agency 
</t>
    </r>
    <r>
      <rPr>
        <rFont val="Arial"/>
        <color rgb="FF1155CC"/>
        <u/>
      </rPr>
      <t>LLM03</t>
    </r>
    <r>
      <rPr>
        <rFont val="Arial"/>
        <color rgb="FF000000"/>
      </rPr>
      <t>: Supply Chain</t>
    </r>
  </si>
  <si>
    <t>A.8.8 Management of technical vulnerabilities
A.8.9 Configuration management
A.8.25 Secure development lifecycle</t>
  </si>
  <si>
    <t>CM-6:Configuration Settings
CM-7:Least Functionality
SA-8:Security and Privacy Engineering Principles
SI-2:Flaw Remediation</t>
  </si>
  <si>
    <t>AI system configuration → Apply hardened minimal configurations for self-hosted MCP server infrastructure</t>
  </si>
  <si>
    <t>Apply security hardening to self-hosted AI tool servers / Implement secure software development lifecycle for custom AI integrations</t>
  </si>
  <si>
    <t>Article 9 Risk management system
Article 15 Accuracy, robustness and cybersecurity</t>
  </si>
  <si>
    <t>PR.PS-01
PR.PS-02
PR.PS-06
GV.SC-07
ID.RA-01</t>
  </si>
  <si>
    <t>DASF 70</t>
  </si>
  <si>
    <t>Agents — Tools MCP Server 13.20, Agents — Tools MCP Server 13.21, Agents — Tools MCP Server 13.22, Agents — Tools MCP Server 13.23, Agents — Tools MCP Server 13.24, Agents — Tools MCP Server 13.25, Agents — Tools MCP Client 13.26, Agents — Tools MCP Client 13.27, Agents — Tools MCP Client 13.28, Agents — Tools MCP Client 13.29, Agents — Tools MCP Client 13.31, Agents — Tools MCP Client 13.32, Agents — Tools MCP Client 13.33, Agents — Tools MCP Client 13.34</t>
  </si>
  <si>
    <t xml:space="preserve">Connect Databricks to external Model Context Protocol (MCP) servers to give your agents access to a wider range of tools that are hosted outside of Databricks. Databricks uses managed MCP proxies and Unity Catalog HTTP connections to securely handle authentication to your workspace. With OAuth, Databricks automatically handles token exchange and refreshes on expiry—users don't need to manage tokens manually.
</t>
  </si>
  <si>
    <t>AML.M0005 Control Access to ML Models and Data at Rest</t>
  </si>
  <si>
    <t>M1031 Network Intrusion Prevention
M1037 Filter Network Traffic
M1054 Software Configuration</t>
  </si>
  <si>
    <r>
      <rPr>
        <rFont val="Arial"/>
        <color rgb="FF1155CC"/>
        <u/>
      </rPr>
      <t>LLM08</t>
    </r>
    <r>
      <rPr>
        <rFont val="Arial"/>
        <color rgb="FF000000"/>
      </rPr>
      <t xml:space="preserve">: Excessive Agency 
</t>
    </r>
    <r>
      <rPr>
        <rFont val="Arial"/>
        <color rgb="FF1155CC"/>
        <u/>
      </rPr>
      <t>LLM03</t>
    </r>
    <r>
      <rPr>
        <rFont val="Arial"/>
        <color rgb="FF000000"/>
      </rPr>
      <t>: Supply Chain</t>
    </r>
  </si>
  <si>
    <t>A.5.19 Information security in supplier relationships
A.5.20 Addressing information security in supplier agreements
A.8.22 Segregation of networks</t>
  </si>
  <si>
    <t>SA-9:External System Services
SC-7:Boundary Protection
SC-8:Transmission Confidentiality and Integrity
IA-3:Device Identification and Authentication</t>
  </si>
  <si>
    <t>Third-party AI system validation → Validate and monitor all connections to external MCP servers using managed OAuth flows</t>
  </si>
  <si>
    <t>Enforce strict validation of external AI tool providers / Apply network controls for outbound AI agent connections</t>
  </si>
  <si>
    <t>GV.SC-07
PR.AA-05
ID.SC-02
DE.CM-06</t>
  </si>
  <si>
    <t>D003: Restrict unsafe tool calls, E009: Monitor third-party access</t>
  </si>
  <si>
    <t>DASF 71</t>
  </si>
  <si>
    <t>Agents — Core 13.1, Agents — Core 13.2, Agents — Core 13.3, Agents — Core 13.6, Agents — Core 13.7, Agents — Core 13.8, Agents — Core 13.9, Agents — Core 13.11, Agents — Core 13.12, Agents — Core 13.13, Agents — Core 13.14, Agents — Core 13.15, Agents — Tools MCP Server 13.17, Agents — Tools MCP Server 13.19</t>
  </si>
  <si>
    <r>
      <rPr>
        <rFont val="DM Sans"/>
        <color theme="1"/>
      </rPr>
      <t xml:space="preserve">Logging an agent and registering it with catalog is the basis of the development and deployment process of agentica AI. The use of the Databricks AI Agent Framework, leveraging MLflow, to log and register all AI agents. Logging is the foundational step, capturing a specific "point in time" version of the agent's code, configuration, and Python environment to ensure traceability and evaluation quality.
The standard logging mechanism is MLflow Models from Code, which ensures the agent is packaged reliably for deployment. Key requirements during logging include:
</t>
    </r>
    <r>
      <rPr>
        <rFont val="DM Sans"/>
        <b/>
        <color theme="1"/>
      </rPr>
      <t>1. Model Signature:</t>
    </r>
    <r>
      <rPr>
        <rFont val="DM Sans"/>
        <color theme="1"/>
      </rPr>
      <t xml:space="preserve"> Defining the MLflow Model Signature to validate agent inputs and outputs, ensuring correct interaction with tools and other downstream applications.
</t>
    </r>
    <r>
      <rPr>
        <rFont val="DM Sans"/>
        <b/>
        <color theme="1"/>
      </rPr>
      <t xml:space="preserve">2. Resource Declaration: </t>
    </r>
    <r>
      <rPr>
        <rFont val="DM Sans"/>
        <color theme="1"/>
      </rPr>
      <t>Explicitly declaring all external Databricks-managed resources (e.g., Vector Search indices, Foundation Model Serving Endpoints) that the agent requires for execution.
Following successful logging, the agent must be registered to Unity Catalog (UC). This registration packages the agent as a model within UC, enabling the use of Unity Catalog permissions for authorization over the agent and its associated resources.</t>
    </r>
  </si>
  <si>
    <t>AML.M0024 AI Telemetry Logging</t>
  </si>
  <si>
    <t>M1047 Audit</t>
  </si>
  <si>
    <t>A.8.15 Logging
A.8.16 Monitoring activities
A.8.9 Configuration management</t>
  </si>
  <si>
    <t>AU-2:Event Logging
AU-3:Content of Audit Records
AU-6:Audit Record Review
CM-2:Baseline Configuration
CM-8:System Component Inventory</t>
  </si>
  <si>
    <t>Monitor AI system inputs and outputs / Register and track all AI agents in a centralized Unity Catalog model registry</t>
  </si>
  <si>
    <t>Maintain an inventory of deployed AI agents / Log agent activity for auditability and incident response</t>
  </si>
  <si>
    <t>Article 12 Record-keeping
Article 17.1 Quality management system</t>
  </si>
  <si>
    <t>ID.AM-02
ID.AM-03
DE.CM-01
PR.PS-01
PR.PS-04
RS.AN-03</t>
  </si>
  <si>
    <t>DASF 72</t>
  </si>
  <si>
    <t>Agents — Core 13.1, Agents — Tools MCP Client 13.34</t>
  </si>
  <si>
    <t>Managing Agent state is critical to secure multi-agent systems because it provides a centralized, protected layer for agents to store their short-term memory (such as conversation history, decision logs, or temporary tasks) directly within this governed perimeter, rather than exporting sensitive data to disconnected, insecure external databases.</t>
  </si>
  <si>
    <t>AML.M0012 Encrypt Sensitive Information
AML.M0005 Control Access to ML Models and Data at Rest</t>
  </si>
  <si>
    <t>M1041 Encrypt Sensitive Information
 M1022 Restrict File and Directory Permissions</t>
  </si>
  <si>
    <r>
      <rPr>
        <rFont val="Arial"/>
        <color rgb="FF1155CC"/>
        <u/>
      </rPr>
      <t>LLM02</t>
    </r>
    <r>
      <rPr>
        <rFont val="Arial"/>
        <color rgb="FF000000"/>
      </rPr>
      <t>: Sensitive Information Disclosure</t>
    </r>
  </si>
  <si>
    <t>A.8.24 Use of cryptography
A.5.15 Access control
A.8.10 Information deletion</t>
  </si>
  <si>
    <t>SC-28:Protection of Information at Rest
AC-3:Access Enforcement
MP-2:Media Access
IA-5:Authenticator Management</t>
  </si>
  <si>
    <t>Protect AI agent session data → Encrypt and access-control all stored agent state within governed Databricks infrastructure</t>
  </si>
  <si>
    <t>Protect ML system state and session data / Apply encryption and access controls to agent memory and conversation stores</t>
  </si>
  <si>
    <t>PR.DS-01
PR.DS-10
PR.AA-01
PR.AA-05</t>
  </si>
  <si>
    <t>A003: Limit AI agent data collection, B006: Prevent unauthorized AI agent actions</t>
  </si>
  <si>
    <t>DASF 73</t>
  </si>
  <si>
    <t>Agents — Core 13.2, Agents — Core 13.6, Agents — Core 13.7, Agents — Core 13.15, Agents — Tools MCP Server 13.16</t>
  </si>
  <si>
    <t>Although not quite as strong a control as a good safety filtering, prompt injection or jailbreak detection model, a good system prompt can sometimes be the difference between an attack being successful or not. MLflow prompt registry is a powerful tool that streamlines prompt engineering and management in your GenAI applications. It enables you to version, track, test  and reuse prompts across your organization, helping maintain consistency and improving collaboration in effective prompt development.</t>
  </si>
  <si>
    <t>Agentic AI,Model build, Evaluation, governance,</t>
  </si>
  <si>
    <t>AML.M0021 Generative AI Guidelines
AML.M0015 Adversarial Input Detection</t>
  </si>
  <si>
    <t>M1054 Software Configuration</t>
  </si>
  <si>
    <r>
      <rPr>
        <rFont val="Arial"/>
        <color rgb="FF1155CC"/>
        <u/>
      </rPr>
      <t>LLM01.1</t>
    </r>
    <r>
      <rPr>
        <rFont val="Arial"/>
        <color rgb="FF000000"/>
      </rPr>
      <t>: Prompt Injection</t>
    </r>
  </si>
  <si>
    <t>A.6.1 Policies for use of AI
A.8.3 Development and testing</t>
  </si>
  <si>
    <t>A.8.9 Configuration management
A.8.32 Change management</t>
  </si>
  <si>
    <t>CM-2:Baseline Configuration
CM-3:Configuration Change Control
CM-6:Configuration Settings
SA-10:Developer Configuration Management</t>
  </si>
  <si>
    <t>AI prompt governance → Version and track all system prompts through a managed prompt registry to reduce injection risk</t>
  </si>
  <si>
    <t>Apply configuration management to AI prompt engineering / Version control and audit system prompts used in GenAI applications</t>
  </si>
  <si>
    <t>Article 13 Transparency and provision of information
 Article 17.1 Quality management system</t>
  </si>
  <si>
    <t>PR.PS-01
PR.PS-02
PR.PS-06
ID.IM-03</t>
  </si>
  <si>
    <t>C004: Prevent out-of-scope outputs</t>
  </si>
  <si>
    <t>DASF Risk Applicability</t>
  </si>
  <si>
    <t>AI Deployment Model</t>
  </si>
  <si>
    <t>RAG - LLMs, Pre-trained LLMs, External Models</t>
  </si>
  <si>
    <t>✅ Risk applicability has been updated</t>
  </si>
  <si>
    <t>AI Use Case</t>
  </si>
  <si>
    <t>Loan Application Approval Automation</t>
  </si>
  <si>
    <t>Datasets</t>
  </si>
  <si>
    <t>Customer Credit History dataset, Loan Application dataset</t>
  </si>
  <si>
    <t>Stakeholders</t>
  </si>
  <si>
    <t>Customers, Credit team, Legal, Compliance team</t>
  </si>
  <si>
    <t>Compliance</t>
  </si>
  <si>
    <t>PCI</t>
  </si>
  <si>
    <t>Applications</t>
  </si>
  <si>
    <t>Loan application App</t>
  </si>
  <si>
    <t>DASF Risk Area</t>
  </si>
  <si>
    <t>DASF Risk Description</t>
  </si>
  <si>
    <t>DASF Mitigation Controls</t>
  </si>
  <si>
    <t>DASF Control Applicability</t>
  </si>
  <si>
    <t>✅ Control applicability has been updated</t>
  </si>
  <si>
    <t>DASF Control Reference</t>
  </si>
  <si>
    <t>DASF Control Description</t>
  </si>
  <si>
    <t>DASF Risk ID</t>
  </si>
  <si>
    <r>
      <rPr>
        <rFont val="DM Sans"/>
        <b/>
        <color rgb="FF000000"/>
        <sz val="18.0"/>
      </rPr>
      <t>Security Analysis Tool (</t>
    </r>
    <r>
      <rPr>
        <rFont val="DM Sans"/>
        <b/>
        <color rgb="FF1155CC"/>
        <sz val="18.0"/>
        <u/>
      </rPr>
      <t>SAT</t>
    </r>
    <r>
      <rPr>
        <rFont val="DM Sans"/>
        <b/>
        <color rgb="FF000000"/>
        <sz val="18.0"/>
      </rPr>
      <t>)</t>
    </r>
  </si>
  <si>
    <r>
      <rPr>
        <rFont val="DM Sans"/>
        <b/>
        <color rgb="FF000000"/>
        <sz val="18.0"/>
        <u/>
      </rPr>
      <t>MITRE ATLAS as of Q3 2024</t>
    </r>
    <r>
      <rPr>
        <rFont val="DM Sans"/>
        <b/>
        <color rgb="FF000000"/>
        <sz val="18.0"/>
      </rPr>
      <t xml:space="preserve">
</t>
    </r>
  </si>
  <si>
    <t xml:space="preserve">MITRE ATTACK as of Q3 2024
</t>
  </si>
  <si>
    <r>
      <rPr>
        <rFont val="DM Sans"/>
        <b/>
        <color rgb="FF000000"/>
        <sz val="18.0"/>
        <u/>
      </rPr>
      <t>ENISA’s Securing ML Algorithms</t>
    </r>
    <r>
      <rPr>
        <rFont val="DM Sans"/>
        <b/>
        <color rgb="FF000000"/>
        <sz val="18.0"/>
      </rPr>
      <t xml:space="preserve">
</t>
    </r>
  </si>
  <si>
    <r>
      <rPr>
        <rFont val="DM Sans"/>
        <color rgb="FF1155CC"/>
        <sz val="10.0"/>
        <u/>
      </rPr>
      <t>M1036</t>
    </r>
    <r>
      <rPr>
        <rFont val="DM Sans"/>
        <sz val="10.0"/>
      </rPr>
      <t xml:space="preserve"> Account Use Policies
</t>
    </r>
    <r>
      <rPr>
        <rFont val="DM Sans"/>
        <color rgb="FF1155CC"/>
        <sz val="10.0"/>
        <u/>
      </rPr>
      <t>M1032</t>
    </r>
    <r>
      <rPr>
        <rFont val="DM Sans"/>
        <sz val="10.0"/>
      </rPr>
      <t xml:space="preserve"> Multi-factor Authentication
</t>
    </r>
    <r>
      <rPr>
        <rFont val="DM Sans"/>
        <color rgb="FF1155CC"/>
        <sz val="10.0"/>
        <u/>
      </rPr>
      <t>M1027</t>
    </r>
    <r>
      <rPr>
        <rFont val="DM Sans"/>
        <sz val="10.0"/>
      </rPr>
      <t xml:space="preserve"> Password Policies</t>
    </r>
  </si>
  <si>
    <r>
      <rPr>
        <rFont val="DM Sans"/>
        <color rgb="FF1155CC"/>
        <sz val="10.0"/>
        <u/>
      </rPr>
      <t>LLM01.1</t>
    </r>
    <r>
      <rPr>
        <rFont val="DM Sans"/>
        <sz val="10.0"/>
      </rPr>
      <t xml:space="preserve">: Prompt Injection
</t>
    </r>
    <r>
      <rPr>
        <rFont val="DM Sans"/>
        <color rgb="FF1155CC"/>
        <sz val="10.0"/>
        <u/>
      </rPr>
      <t>LLM02.1</t>
    </r>
    <r>
      <rPr>
        <rFont val="DM Sans"/>
        <sz val="10.0"/>
      </rPr>
      <t xml:space="preserve">: Insecure Output Handling
</t>
    </r>
    <r>
      <rPr>
        <rFont val="DM Sans"/>
        <color rgb="FF1155CC"/>
        <sz val="10.0"/>
        <u/>
      </rPr>
      <t>LLM03.CEV.5</t>
    </r>
    <r>
      <rPr>
        <rFont val="DM Sans"/>
        <sz val="10.0"/>
      </rPr>
      <t xml:space="preserve">: Training Data Poisoning
</t>
    </r>
    <r>
      <rPr>
        <rFont val="DM Sans"/>
        <color rgb="FF1155CC"/>
        <sz val="10.0"/>
        <u/>
      </rPr>
      <t>LLM06.3</t>
    </r>
    <r>
      <rPr>
        <rFont val="DM Sans"/>
        <sz val="10.0"/>
      </rPr>
      <t xml:space="preserve">: Sensitive Information Disclosure
</t>
    </r>
    <r>
      <rPr>
        <rFont val="DM Sans"/>
        <color rgb="FF1155CC"/>
        <sz val="10.0"/>
        <u/>
      </rPr>
      <t>LLM07.4,5, 6</t>
    </r>
    <r>
      <rPr>
        <rFont val="DM Sans"/>
        <sz val="10.0"/>
      </rPr>
      <t xml:space="preserve">: Insecure Plugin Design
</t>
    </r>
    <r>
      <rPr>
        <rFont val="DM Sans"/>
        <color rgb="FF1155CC"/>
        <sz val="10.0"/>
        <u/>
      </rPr>
      <t>LLM08.5, 7</t>
    </r>
    <r>
      <rPr>
        <rFont val="DM Sans"/>
        <sz val="10.0"/>
      </rPr>
      <t>: Excessive Agency</t>
    </r>
  </si>
  <si>
    <r>
      <rPr>
        <rFont val="DM Sans"/>
        <color rgb="FF1155CC"/>
        <sz val="10.0"/>
        <u/>
      </rPr>
      <t>ML02:2023</t>
    </r>
    <r>
      <rPr>
        <rFont val="DM Sans"/>
        <sz val="10.0"/>
      </rPr>
      <t xml:space="preserve"> Data Poisoning Attack
</t>
    </r>
    <r>
      <rPr>
        <rFont val="DM Sans"/>
        <color rgb="FF1155CC"/>
        <sz val="10.0"/>
        <u/>
      </rPr>
      <t>ML03:2023</t>
    </r>
    <r>
      <rPr>
        <rFont val="DM Sans"/>
        <sz val="10.0"/>
      </rPr>
      <t xml:space="preserve"> Model Inversion Attack
</t>
    </r>
    <r>
      <rPr>
        <rFont val="DM Sans"/>
        <color rgb="FF1155CC"/>
        <sz val="10.0"/>
        <u/>
      </rPr>
      <t>ML04:2023</t>
    </r>
    <r>
      <rPr>
        <rFont val="DM Sans"/>
        <sz val="10.0"/>
      </rPr>
      <t xml:space="preserve"> Membership Inference Attack
</t>
    </r>
    <r>
      <rPr>
        <rFont val="DM Sans"/>
        <color rgb="FF1155CC"/>
        <sz val="10.0"/>
        <u/>
      </rPr>
      <t>ML05:2023</t>
    </r>
    <r>
      <rPr>
        <rFont val="DM Sans"/>
        <sz val="10.0"/>
      </rPr>
      <t xml:space="preserve"> Model Theft
</t>
    </r>
    <r>
      <rPr>
        <rFont val="DM Sans"/>
        <color rgb="FF1155CC"/>
        <sz val="10.0"/>
        <u/>
      </rPr>
      <t>ML08:2023</t>
    </r>
    <r>
      <rPr>
        <rFont val="DM Sans"/>
        <sz val="10.0"/>
      </rPr>
      <t xml:space="preserve"> Model Skewing
</t>
    </r>
    <r>
      <rPr>
        <rFont val="DM Sans"/>
        <color rgb="FF1155CC"/>
        <sz val="10.0"/>
        <u/>
      </rPr>
      <t>ML09:2023</t>
    </r>
    <r>
      <rPr>
        <rFont val="DM Sans"/>
        <sz val="10.0"/>
      </rPr>
      <t xml:space="preserve"> Output Integrity Attack
</t>
    </r>
    <r>
      <rPr>
        <rFont val="DM Sans"/>
        <color rgb="FF1155CC"/>
        <sz val="10.0"/>
        <u/>
      </rPr>
      <t>ML10:2023</t>
    </r>
    <r>
      <rPr>
        <rFont val="DM Sans"/>
        <sz val="10.0"/>
      </rPr>
      <t xml:space="preserve"> Model Poisoning</t>
    </r>
  </si>
  <si>
    <r>
      <rPr>
        <rFont val="DM Sans"/>
        <color rgb="FF1155CC"/>
        <sz val="10.0"/>
        <u/>
      </rPr>
      <t>M1015</t>
    </r>
    <r>
      <rPr>
        <rFont val="DM Sans"/>
        <sz val="10.0"/>
      </rPr>
      <t xml:space="preserve"> Active Directory Configuration
</t>
    </r>
    <r>
      <rPr>
        <rFont val="DM Sans"/>
        <color rgb="FF1155CC"/>
        <sz val="10.0"/>
        <u/>
      </rPr>
      <t>M1018</t>
    </r>
    <r>
      <rPr>
        <rFont val="DM Sans"/>
        <sz val="10.0"/>
      </rPr>
      <t xml:space="preserve"> User Account Management</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</si>
  <si>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Excessive Agency</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</si>
  <si>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</si>
  <si>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r>
      <rPr>
        <rFont val="DM Sans"/>
        <color rgb="FF1155CC"/>
        <sz val="10.0"/>
        <u/>
      </rPr>
      <t>M1035</t>
    </r>
    <r>
      <rPr>
        <rFont val="DM Sans"/>
        <sz val="10.0"/>
      </rPr>
      <t xml:space="preserve">  Limit Access to Resource Over Network</t>
    </r>
  </si>
  <si>
    <r>
      <rPr>
        <rFont val="DM Sans"/>
        <color rgb="FF1155CC"/>
        <u/>
      </rPr>
      <t>LLM01</t>
    </r>
    <r>
      <rPr>
        <rFont val="DM Sans"/>
      </rPr>
      <t xml:space="preserve">: Prompt Injection
</t>
    </r>
    <r>
      <rPr>
        <rFont val="DM Sans"/>
        <color rgb="FF1155CC"/>
        <u/>
      </rPr>
      <t>LLM03.4, 5</t>
    </r>
    <r>
      <rPr>
        <rFont val="DM Sans"/>
      </rPr>
      <t xml:space="preserve">: Training Data Poisoning
</t>
    </r>
    <r>
      <rPr>
        <rFont val="DM Sans"/>
        <color rgb="FF1155CC"/>
        <u/>
      </rPr>
      <t>LLM06.3</t>
    </r>
    <r>
      <rPr>
        <rFont val="DM Sans"/>
      </rPr>
      <t xml:space="preserve">: Sensitive Information Disclosure
</t>
    </r>
    <r>
      <rPr>
        <rFont val="DM Sans"/>
        <color rgb="FF1155CC"/>
        <u/>
      </rPr>
      <t>LLM10.2</t>
    </r>
    <r>
      <rPr>
        <rFont val="DM Sans"/>
      </rPr>
      <t>: Model Theft</t>
    </r>
  </si>
  <si>
    <r>
      <rPr>
        <rFont val="DM Sans"/>
        <color rgb="FF1155CC"/>
        <u/>
      </rPr>
      <t>ML02:2023</t>
    </r>
    <r>
      <rPr>
        <rFont val="DM Sans"/>
      </rPr>
      <t xml:space="preserve"> Data Poisoning Attack</t>
    </r>
  </si>
  <si>
    <r>
      <rPr>
        <rFont val="DM Sans"/>
        <color rgb="FF1155CC"/>
        <sz val="10.0"/>
        <u/>
      </rPr>
      <t>M1035</t>
    </r>
    <r>
      <rPr>
        <rFont val="DM Sans"/>
        <sz val="10.0"/>
      </rPr>
      <t xml:space="preserve">  Limit Access to Resource Over Network
</t>
    </r>
    <r>
      <rPr>
        <rFont val="DM Sans"/>
        <color rgb="FF1155CC"/>
        <sz val="10.0"/>
        <u/>
      </rPr>
      <t>M1030</t>
    </r>
    <r>
      <rPr>
        <rFont val="DM Sans"/>
        <sz val="10.0"/>
      </rPr>
      <t xml:space="preserve">  Network Segmentation</t>
    </r>
  </si>
  <si>
    <r>
      <rPr>
        <rFont val="DM Sans"/>
        <color rgb="FF1155CC"/>
        <u/>
      </rPr>
      <t>LLM01</t>
    </r>
    <r>
      <rPr>
        <rFont val="DM Sans"/>
      </rPr>
      <t xml:space="preserve">: Prompt Injection
</t>
    </r>
    <r>
      <rPr>
        <rFont val="DM Sans"/>
        <color rgb="FF1155CC"/>
        <u/>
      </rPr>
      <t>LLM03.4, 5</t>
    </r>
    <r>
      <rPr>
        <rFont val="DM Sans"/>
      </rPr>
      <t xml:space="preserve">: Training Data Poisoning
</t>
    </r>
    <r>
      <rPr>
        <rFont val="DM Sans"/>
        <color rgb="FF1155CC"/>
        <u/>
      </rPr>
      <t>LLM06.3</t>
    </r>
    <r>
      <rPr>
        <rFont val="DM Sans"/>
      </rPr>
      <t xml:space="preserve">: Sensitive Information Disclosure
</t>
    </r>
    <r>
      <rPr>
        <rFont val="DM Sans"/>
        <color rgb="FF1155CC"/>
        <u/>
      </rPr>
      <t>LLM10.2</t>
    </r>
    <r>
      <rPr>
        <rFont val="DM Sans"/>
      </rPr>
      <t>: Model Theft</t>
    </r>
  </si>
  <si>
    <r>
      <rPr>
        <rFont val="DM Sans"/>
        <color rgb="FF1155CC"/>
        <u/>
      </rPr>
      <t>ML02:2023</t>
    </r>
    <r>
      <rPr>
        <rFont val="DM Sans"/>
      </rPr>
      <t xml:space="preserve"> Data Poisoning Attack</t>
    </r>
  </si>
  <si>
    <r>
      <rPr>
        <rFont val="DM Sans"/>
        <color rgb="FF1976D2"/>
        <sz val="10.0"/>
        <u/>
      </rPr>
      <t>AML.M0005</t>
    </r>
    <r>
      <rPr>
        <rFont val="DM Sans"/>
        <color rgb="FF000000"/>
        <sz val="10.0"/>
      </rPr>
      <t xml:space="preserve"> Control Access to ML Models and Data at Rest</t>
    </r>
  </si>
  <si>
    <r>
      <rPr>
        <rFont val="DM Sans"/>
        <color rgb="FF1155CC"/>
        <sz val="10.0"/>
        <u/>
      </rPr>
      <t>M1029</t>
    </r>
    <r>
      <rPr>
        <rFont val="DM Sans"/>
        <sz val="10.0"/>
      </rPr>
      <t xml:space="preserve"> Remote Data Storage
</t>
    </r>
    <r>
      <rPr>
        <rFont val="DM Sans"/>
        <color rgb="FF1155CC"/>
        <sz val="10.0"/>
        <u/>
      </rPr>
      <t>M1022</t>
    </r>
    <r>
      <rPr>
        <rFont val="DM Sans"/>
        <sz val="10.0"/>
      </rPr>
      <t xml:space="preserve">  Restrict File and Directory Permissions
</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</si>
  <si>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LLM06.3</t>
    </r>
    <r>
      <rPr>
        <rFont val="DM Sans"/>
      </rPr>
      <t xml:space="preserve">: Sensitive Information Disclosure
</t>
    </r>
    <r>
      <rPr>
        <rFont val="DM Sans"/>
        <color rgb="FF1155CC"/>
        <u/>
      </rPr>
      <t>LLM07.4,5, 6</t>
    </r>
    <r>
      <rPr>
        <rFont val="DM Sans"/>
      </rPr>
      <t xml:space="preserve">: Insecure Plugin Design
</t>
    </r>
    <r>
      <rPr>
        <rFont val="DM Sans"/>
        <color rgb="FF1155CC"/>
        <u/>
      </rPr>
      <t>LLM08.5, 7</t>
    </r>
    <r>
      <rPr>
        <rFont val="DM Sans"/>
      </rPr>
      <t xml:space="preserve">: Excessive Agency
</t>
    </r>
    <r>
      <rPr>
        <rFont val="DM Sans"/>
        <color rgb="FF1155CC"/>
        <u/>
      </rPr>
      <t>LLM10.1,4</t>
    </r>
    <r>
      <rPr>
        <rFont val="DM Sans"/>
      </rPr>
      <t>: Model Theft</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</si>
  <si>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</si>
  <si>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r>
      <rPr>
        <rFont val="DM Sans"/>
        <color rgb="FF1155CC"/>
        <u/>
      </rPr>
      <t>Article 5.4</t>
    </r>
    <r>
      <rPr>
        <rFont val="DM Sans"/>
      </rPr>
      <t xml:space="preserve"> Prohibited AI Practices
</t>
    </r>
    <r>
      <rPr>
        <rFont val="DM Sans"/>
        <color rgb="FF1155CC"/>
        <u/>
      </rPr>
      <t>Article 5.1</t>
    </r>
    <r>
      <rPr>
        <rFont val="DM Sans"/>
      </rPr>
      <t xml:space="preserve"> Prohibited AI Practices</t>
    </r>
  </si>
  <si>
    <r>
      <rPr>
        <rFont val="DM Sans"/>
        <color rgb="FF1155CC"/>
        <sz val="10.0"/>
        <u/>
      </rPr>
      <t>M1057</t>
    </r>
    <r>
      <rPr>
        <rFont val="DM Sans"/>
        <color rgb="FF000000"/>
        <sz val="10.0"/>
      </rPr>
      <t xml:space="preserve"> Data Loss Prevention</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</si>
  <si>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Sensitive Information Disclosure</t>
    </r>
  </si>
  <si>
    <r>
      <rPr>
        <rFont val="DM Sans"/>
        <color rgb="FF1155CC"/>
        <u/>
      </rPr>
      <t>ML02:2023</t>
    </r>
    <r>
      <rPr>
        <rFont val="DM Sans"/>
      </rPr>
      <t xml:space="preserve"> Data Poisoning Attack</t>
    </r>
  </si>
  <si>
    <r>
      <rPr>
        <rFont val="DM Sans"/>
        <color rgb="FF1155CC"/>
        <sz val="10.0"/>
        <u/>
      </rPr>
      <t>AML.M0007</t>
    </r>
    <r>
      <rPr>
        <rFont val="DM Sans"/>
        <color rgb="FF000000"/>
        <sz val="10.0"/>
      </rPr>
      <t xml:space="preserve"> Sanitize Training Data</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</si>
  <si>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Sensitive Information Disclosure</t>
    </r>
  </si>
  <si>
    <r>
      <rPr>
        <rFont val="DM Sans"/>
        <color rgb="FF1155CC"/>
        <sz val="10.0"/>
        <u/>
      </rPr>
      <t>AML.M0012</t>
    </r>
    <r>
      <rPr>
        <rFont val="DM Sans"/>
        <sz val="10.0"/>
      </rPr>
      <t xml:space="preserve"> Encrypt Sensitive Information</t>
    </r>
  </si>
  <si>
    <r>
      <rPr>
        <rFont val="DM Sans"/>
        <color rgb="FF1155CC"/>
        <sz val="10.0"/>
        <u/>
      </rPr>
      <t>M1041</t>
    </r>
    <r>
      <rPr>
        <rFont val="DM Sans"/>
        <sz val="10.0"/>
      </rPr>
      <t xml:space="preserve"> Encrypt Sensitive Information</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</si>
  <si>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xml:space="preserve">: Sensitive Information Disclosure
</t>
    </r>
    <r>
      <rPr>
        <rFont val="DM Sans"/>
        <color rgb="FF1155CC"/>
        <u/>
      </rPr>
      <t>LLM10</t>
    </r>
    <r>
      <rPr>
        <rFont val="DM Sans"/>
      </rPr>
      <t>: Model Theft</t>
    </r>
  </si>
  <si>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t>
    </r>
  </si>
  <si>
    <r>
      <rPr>
        <rFont val="DM Sans"/>
        <color rgb="FF1155CC"/>
        <u/>
      </rPr>
      <t>Article 5.4</t>
    </r>
    <r>
      <rPr>
        <rFont val="DM Sans"/>
      </rPr>
      <t xml:space="preserve"> Prohibited AI Practices</t>
    </r>
  </si>
  <si>
    <r>
      <rPr>
        <rFont val="DM Sans"/>
        <color rgb="FF1155CC"/>
        <sz val="10.0"/>
        <u/>
      </rPr>
      <t>AML.M0012</t>
    </r>
    <r>
      <rPr>
        <rFont val="DM Sans"/>
        <sz val="10.0"/>
      </rPr>
      <t xml:space="preserve"> Encrypt Sensitive Information</t>
    </r>
  </si>
  <si>
    <r>
      <rPr>
        <rFont val="DM Sans"/>
        <color rgb="FF1155CC"/>
        <sz val="10.0"/>
        <u/>
      </rPr>
      <t>M1041</t>
    </r>
    <r>
      <rPr>
        <rFont val="DM Sans"/>
        <sz val="10.0"/>
      </rPr>
      <t xml:space="preserve"> Encrypt Sensitive Information
</t>
    </r>
    <r>
      <rPr>
        <rFont val="DM Sans"/>
        <color rgb="FF1155CC"/>
        <sz val="10.0"/>
        <u/>
      </rPr>
      <t>M1020</t>
    </r>
    <r>
      <rPr>
        <rFont val="DM Sans"/>
        <sz val="10.0"/>
      </rPr>
      <t xml:space="preserve"> SSL/TLS Inspection</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</si>
  <si>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xml:space="preserve">: Sensitive Information Disclosure
</t>
    </r>
    <r>
      <rPr>
        <rFont val="DM Sans"/>
        <color rgb="FF1155CC"/>
        <u/>
      </rPr>
      <t>LLM10</t>
    </r>
    <r>
      <rPr>
        <rFont val="DM Sans"/>
      </rPr>
      <t>: Model Theft</t>
    </r>
  </si>
  <si>
    <r>
      <rPr>
        <rFont val="DM Sans"/>
        <color rgb="FF1155CC"/>
        <u/>
      </rPr>
      <t>ML02:2023</t>
    </r>
    <r>
      <rPr>
        <rFont val="DM Sans"/>
      </rPr>
      <t xml:space="preserve"> Data Poisoning Attack</t>
    </r>
  </si>
  <si>
    <r>
      <rPr>
        <rFont val="DM Sans"/>
        <color rgb="FF1155CC"/>
        <u/>
      </rPr>
      <t>Article 5.4</t>
    </r>
    <r>
      <rPr>
        <rFont val="DM Sans"/>
      </rPr>
      <t xml:space="preserve"> Prohibited AI Practices</t>
    </r>
  </si>
  <si>
    <r>
      <rPr>
        <rFont val="DM Sans"/>
        <color rgb="FF1155CC"/>
        <sz val="10.0"/>
        <u/>
      </rPr>
      <t>M1053</t>
    </r>
    <r>
      <rPr>
        <rFont val="DM Sans"/>
        <sz val="10.0"/>
      </rPr>
      <t xml:space="preserve"> Data Backup</t>
    </r>
  </si>
  <si>
    <r>
      <rPr>
        <rFont val="DM Sans"/>
        <color rgb="FF1155CC"/>
        <u/>
      </rPr>
      <t>LLM03.2, 4, 5</t>
    </r>
    <r>
      <rPr>
        <rFont val="DM Sans"/>
      </rPr>
      <t xml:space="preserve">: Training Data Poisoning
</t>
    </r>
    <r>
      <rPr>
        <rFont val="DM Sans"/>
        <color rgb="FF1155CC"/>
        <u/>
      </rPr>
      <t>LLM05.1</t>
    </r>
    <r>
      <rPr>
        <rFont val="DM Sans"/>
      </rPr>
      <t xml:space="preserve">: Supply Chain Vulnerabilities, 
</t>
    </r>
    <r>
      <rPr>
        <rFont val="DM Sans"/>
        <color rgb="FF1155CC"/>
        <u/>
      </rPr>
      <t>LLM06.3</t>
    </r>
    <r>
      <rPr>
        <rFont val="DM Sans"/>
      </rPr>
      <t>: Sensitive Information Disclosure</t>
    </r>
  </si>
  <si>
    <r>
      <rPr>
        <rFont val="DM Sans"/>
        <color rgb="FF1155CC"/>
        <u/>
      </rPr>
      <t>LLM03.2, 4, 5</t>
    </r>
    <r>
      <rPr>
        <rFont val="DM Sans"/>
      </rPr>
      <t xml:space="preserve">: Training Data Poisoning
</t>
    </r>
    <r>
      <rPr>
        <rFont val="DM Sans"/>
        <color rgb="FF1155CC"/>
        <u/>
      </rPr>
      <t>LLM05.1, 5</t>
    </r>
    <r>
      <rPr>
        <rFont val="DM Sans"/>
      </rPr>
      <t xml:space="preserve">: Supply Chain Vulnerabilities, 
</t>
    </r>
    <r>
      <rPr>
        <rFont val="DM Sans"/>
        <color rgb="FF1155CC"/>
        <u/>
      </rPr>
      <t>LLM06.3</t>
    </r>
    <r>
      <rPr>
        <rFont val="DM Sans"/>
      </rPr>
      <t>: Sensitive Information Disclosure</t>
    </r>
  </si>
  <si>
    <r>
      <rPr>
        <rFont val="DM Sans"/>
        <color rgb="FF1155CC"/>
        <u/>
      </rPr>
      <t>LLM03.*, CEV.5</t>
    </r>
    <r>
      <rPr>
        <rFont val="DM Sans"/>
      </rPr>
      <t xml:space="preserve">: Training Data Poisoning
</t>
    </r>
    <r>
      <rPr>
        <rFont val="DM Sans"/>
        <color rgb="FF1155CC"/>
        <u/>
      </rPr>
      <t>LLM05.1, 5</t>
    </r>
    <r>
      <rPr>
        <rFont val="DM Sans"/>
      </rPr>
      <t>: Supply Chain Vulnerabilities</t>
    </r>
  </si>
  <si>
    <r>
      <rPr>
        <rFont val="DM Sans"/>
        <color rgb="FF1155CC"/>
        <u/>
      </rPr>
      <t>ML08:2023</t>
    </r>
    <r>
      <rPr>
        <rFont val="DM Sans"/>
      </rPr>
      <t xml:space="preserve"> Model Skewing</t>
    </r>
  </si>
  <si>
    <r>
      <rPr>
        <rFont val="DM Sans"/>
        <color rgb="FF1155CC"/>
        <u/>
      </rPr>
      <t>LLM05.5, 7</t>
    </r>
    <r>
      <rPr>
        <rFont val="DM Sans"/>
      </rPr>
      <t>: Supply Chain Vulnerabilities</t>
    </r>
  </si>
  <si>
    <r>
      <rPr>
        <rFont val="DM Sans"/>
        <color rgb="FF1155CC"/>
        <u/>
      </rPr>
      <t>ML02:2023</t>
    </r>
    <r>
      <rPr>
        <rFont val="DM Sans"/>
      </rPr>
      <t xml:space="preserve"> Data Poisoning Attack
</t>
    </r>
    <r>
      <rPr>
        <rFont val="DM Sans"/>
        <color rgb="FF1155CC"/>
        <u/>
      </rPr>
      <t>ML08:2023</t>
    </r>
    <r>
      <rPr>
        <rFont val="DM Sans"/>
      </rPr>
      <t xml:space="preserve"> Model Skewing</t>
    </r>
  </si>
  <si>
    <r>
      <rPr>
        <rFont val="DM Sans"/>
        <color rgb="FF1155CC"/>
        <u/>
      </rPr>
      <t>Article 12.3</t>
    </r>
    <r>
      <rPr>
        <rFont val="DM Sans"/>
      </rPr>
      <t xml:space="preserve"> Record Keeping</t>
    </r>
  </si>
  <si>
    <r>
      <rPr>
        <rFont val="DM Sans"/>
        <color rgb="FF1155CC"/>
        <sz val="10.0"/>
        <u/>
      </rPr>
      <t>AML.M0007</t>
    </r>
    <r>
      <rPr>
        <rFont val="DM Sans"/>
        <sz val="10.0"/>
      </rPr>
      <t xml:space="preserve"> Sanitize Training Data</t>
    </r>
  </si>
  <si>
    <r>
      <rPr>
        <rFont val="DM Sans"/>
        <color rgb="FF1155CC"/>
        <u/>
      </rPr>
      <t>LLM03.5</t>
    </r>
    <r>
      <rPr>
        <rFont val="DM Sans"/>
      </rPr>
      <t xml:space="preserve">: Training Data Poisoning
</t>
    </r>
    <r>
      <rPr>
        <rFont val="DM Sans"/>
        <color rgb="FF1155CC"/>
        <u/>
      </rPr>
      <t>LLM05.7</t>
    </r>
    <r>
      <rPr>
        <rFont val="DM Sans"/>
      </rPr>
      <t>: Supply Chain Vulnerabilities</t>
    </r>
  </si>
  <si>
    <r>
      <rPr>
        <rFont val="DM Sans"/>
        <color rgb="FF1155CC"/>
        <u/>
      </rPr>
      <t>ML02:2023</t>
    </r>
    <r>
      <rPr>
        <rFont val="DM Sans"/>
      </rPr>
      <t xml:space="preserve"> Data Poisoning Attack</t>
    </r>
  </si>
  <si>
    <r>
      <rPr>
        <rFont val="DM Sans"/>
        <color rgb="FF1155CC"/>
        <u/>
      </rPr>
      <t>Article 15.5</t>
    </r>
    <r>
      <rPr>
        <rFont val="DM Sans"/>
      </rPr>
      <t xml:space="preserve"> Accuracy, Robustness, and Cybersecurity
</t>
    </r>
    <r>
      <rPr>
        <rFont val="DM Sans"/>
        <color rgb="FF1155CC"/>
        <u/>
      </rPr>
      <t>Article 15.1</t>
    </r>
    <r>
      <rPr>
        <rFont val="DM Sans"/>
      </rPr>
      <t xml:space="preserve"> Accuracy, Robustness, and Cybersecurity</t>
    </r>
  </si>
  <si>
    <r>
      <rPr>
        <rFont val="DM Sans"/>
        <color rgb="FF1155CC"/>
        <u/>
      </rPr>
      <t>ML02:2023</t>
    </r>
    <r>
      <rPr>
        <rFont val="DM Sans"/>
      </rPr>
      <t xml:space="preserve"> Data Poisoning Attack
</t>
    </r>
    <r>
      <rPr>
        <rFont val="DM Sans"/>
        <color rgb="FF1155CC"/>
        <u/>
      </rPr>
      <t>ML07:2023</t>
    </r>
    <r>
      <rPr>
        <rFont val="DM Sans"/>
      </rPr>
      <t xml:space="preserve"> Transfer Learning Attack</t>
    </r>
  </si>
  <si>
    <r>
      <rPr>
        <rFont val="DM Sans"/>
        <color rgb="FF1155CC"/>
        <u/>
      </rPr>
      <t>Article 72</t>
    </r>
    <r>
      <rPr>
        <rFont val="DM Sans"/>
      </rPr>
      <t xml:space="preserve"> Post-market monitoring</t>
    </r>
  </si>
  <si>
    <r>
      <rPr>
        <rFont val="DM Sans"/>
        <color rgb="FF1155CC"/>
        <u/>
      </rPr>
      <t>Article 14.2</t>
    </r>
    <r>
      <rPr>
        <rFont val="DM Sans"/>
      </rPr>
      <t xml:space="preserve"> High-Risk AI System 
</t>
    </r>
    <r>
      <rPr>
        <rFont val="DM Sans"/>
        <color rgb="FF1155CC"/>
        <u/>
      </rPr>
      <t xml:space="preserve">Article 9 </t>
    </r>
    <r>
      <rPr>
        <rFont val="DM Sans"/>
      </rPr>
      <t xml:space="preserve">High-Risk AI System </t>
    </r>
  </si>
  <si>
    <r>
      <rPr>
        <rFont val="DM Sans"/>
        <color rgb="FF1155CC"/>
        <u/>
      </rPr>
      <t>LLM03</t>
    </r>
    <r>
      <rPr>
        <rFont val="DM Sans"/>
      </rPr>
      <t xml:space="preserve">: Training Data Poisoning
</t>
    </r>
    <r>
      <rPr>
        <rFont val="DM Sans"/>
        <color rgb="FF1155CC"/>
        <u/>
      </rPr>
      <t>LLM05</t>
    </r>
    <r>
      <rPr>
        <rFont val="DM Sans"/>
      </rPr>
      <t>: Supply Chain Vulnerabilities</t>
    </r>
  </si>
  <si>
    <r>
      <rPr>
        <rFont val="DM Sans"/>
        <color rgb="FF1976D2"/>
        <sz val="10.0"/>
        <u/>
      </rPr>
      <t>AML.M0005</t>
    </r>
    <r>
      <rPr>
        <rFont val="DM Sans"/>
        <color rgb="FF000000"/>
        <sz val="10.0"/>
        <u/>
      </rPr>
      <t xml:space="preserve"> Control Access to ML Models and Data at Rest</t>
    </r>
  </si>
  <si>
    <r>
      <rPr>
        <rFont val="DM Sans"/>
        <color rgb="FF1155CC"/>
        <u/>
      </rPr>
      <t>LLM01</t>
    </r>
    <r>
      <rPr>
        <rFont val="DM Sans"/>
      </rPr>
      <t xml:space="preserve">: Prompt Injection
</t>
    </r>
    <r>
      <rPr>
        <rFont val="DM Sans"/>
        <color rgb="FF1155CC"/>
        <u/>
      </rPr>
      <t>LLM03</t>
    </r>
    <r>
      <rPr>
        <rFont val="DM Sans"/>
      </rPr>
      <t xml:space="preserve">: Training Data Poisoning
</t>
    </r>
    <r>
      <rPr>
        <rFont val="DM Sans"/>
        <color rgb="FF1155CC"/>
        <u/>
      </rPr>
      <t>LLM10</t>
    </r>
    <r>
      <rPr>
        <rFont val="DM Sans"/>
      </rPr>
      <t>: Model Theft</t>
    </r>
  </si>
  <si>
    <r>
      <rPr>
        <rFont val="DM Sans"/>
        <color rgb="FF1155CC"/>
        <u/>
      </rPr>
      <t>ML03:2023</t>
    </r>
    <r>
      <rPr>
        <rFont val="DM Sans"/>
      </rPr>
      <t xml:space="preserve"> Model Inversion Attack
</t>
    </r>
    <r>
      <rPr>
        <rFont val="DM Sans"/>
        <color rgb="FF1155CC"/>
        <u/>
      </rPr>
      <t>ML05:2023</t>
    </r>
    <r>
      <rPr>
        <rFont val="DM Sans"/>
      </rPr>
      <t xml:space="preserve"> Model Theft
</t>
    </r>
    <r>
      <rPr>
        <rFont val="DM Sans"/>
        <color rgb="FF1155CC"/>
        <u/>
      </rPr>
      <t>ML10:2023</t>
    </r>
    <r>
      <rPr>
        <rFont val="DM Sans"/>
      </rPr>
      <t xml:space="preserve"> Model Poisoning</t>
    </r>
  </si>
  <si>
    <r>
      <rPr>
        <rFont val="DM Sans"/>
        <color rgb="FF1155CC"/>
        <sz val="10.0"/>
        <u/>
      </rPr>
      <t>LLM09.3</t>
    </r>
    <r>
      <rPr>
        <rFont val="DM Sans"/>
        <sz val="10.0"/>
      </rPr>
      <t>: Overreliance</t>
    </r>
  </si>
  <si>
    <r>
      <rPr>
        <rFont val="DM Sans"/>
        <color rgb="FF1155CC"/>
        <sz val="10.0"/>
        <u/>
      </rPr>
      <t>LLM10.8</t>
    </r>
    <r>
      <rPr>
        <rFont val="DM Sans"/>
        <sz val="10.0"/>
      </rPr>
      <t>: Model Theft</t>
    </r>
  </si>
  <si>
    <r>
      <rPr>
        <rFont val="DM Sans"/>
        <color rgb="FF1155CC"/>
        <u/>
      </rPr>
      <t>ML05:2023</t>
    </r>
    <r>
      <rPr>
        <rFont val="DM Sans"/>
      </rPr>
      <t xml:space="preserve"> Model Theft</t>
    </r>
  </si>
  <si>
    <r>
      <rPr>
        <rFont val="DM Sans"/>
        <color rgb="FF1155CC"/>
        <sz val="10.0"/>
        <u/>
      </rPr>
      <t>LLM05.5, 7</t>
    </r>
    <r>
      <rPr>
        <rFont val="DM Sans"/>
        <sz val="10.0"/>
      </rPr>
      <t xml:space="preserve">: Supply Chain Vulnerabilities
</t>
    </r>
    <r>
      <rPr>
        <rFont val="DM Sans"/>
        <color rgb="FF1155CC"/>
        <sz val="10.0"/>
        <u/>
      </rPr>
      <t>LLM10.4</t>
    </r>
    <r>
      <rPr>
        <rFont val="DM Sans"/>
        <sz val="10.0"/>
      </rPr>
      <t>: Model Theft</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</si>
  <si>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ML06:2023</t>
    </r>
    <r>
      <rPr>
        <rFont val="DM Sans"/>
      </rPr>
      <t xml:space="preserve"> AI Supply Chain Attacks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</si>
  <si>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r>
      <rPr>
        <rFont val="DM Sans"/>
        <color rgb="FF1155CC"/>
        <sz val="10.0"/>
        <u/>
      </rPr>
      <t>AML.M0012</t>
    </r>
    <r>
      <rPr>
        <rFont val="DM Sans"/>
        <sz val="10.0"/>
      </rPr>
      <t xml:space="preserve"> Encrypt Sensitive Information</t>
    </r>
  </si>
  <si>
    <r>
      <rPr>
        <rFont val="DM Sans"/>
        <color rgb="FF1155CC"/>
        <sz val="10.0"/>
        <u/>
      </rPr>
      <t>M1041</t>
    </r>
    <r>
      <rPr>
        <rFont val="DM Sans"/>
        <sz val="10.0"/>
      </rPr>
      <t xml:space="preserve"> Encrypt Sensitive Information</t>
    </r>
  </si>
  <si>
    <r>
      <rPr>
        <rFont val="DM Sans"/>
        <color rgb="FF1155CC"/>
        <u/>
      </rPr>
      <t>ML01:2023</t>
    </r>
    <r>
      <rPr>
        <rFont val="DM Sans"/>
      </rPr>
      <t xml:space="preserve"> Input Manipulation Attack
</t>
    </r>
    <r>
      <rPr>
        <rFont val="DM Sans"/>
        <color rgb="FF1155CC"/>
        <u/>
      </rPr>
      <t>ML02:2023</t>
    </r>
    <r>
      <rPr>
        <rFont val="DM Sans"/>
      </rPr>
      <t xml:space="preserve"> Data Poisoning Attack
</t>
    </r>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t>
    </r>
  </si>
  <si>
    <r>
      <rPr>
        <rFont val="DM Sans"/>
        <color rgb="FF1155CC"/>
        <u/>
      </rPr>
      <t>Article 15.5</t>
    </r>
    <r>
      <rPr>
        <rFont val="DM Sans"/>
      </rPr>
      <t xml:space="preserve"> Accuracy, Robustness, and Cybersecurity
</t>
    </r>
    <r>
      <rPr>
        <rFont val="DM Sans"/>
        <color rgb="FF1155CC"/>
        <u/>
      </rPr>
      <t>Article 15.1</t>
    </r>
    <r>
      <rPr>
        <rFont val="DM Sans"/>
      </rPr>
      <t xml:space="preserve"> Accuracy, Robustness, and Cybersecurity
</t>
    </r>
    <r>
      <rPr>
        <rFont val="DM Sans"/>
        <color rgb="FF1155CC"/>
        <u/>
      </rPr>
      <t>Article 72</t>
    </r>
    <r>
      <rPr>
        <rFont val="DM Sans"/>
      </rPr>
      <t xml:space="preserve"> Post-market monitoring</t>
    </r>
  </si>
  <si>
    <r>
      <rPr>
        <rFont val="DM Sans"/>
        <color rgb="FF1976D2"/>
        <sz val="10.0"/>
        <u/>
      </rPr>
      <t>AML.M0019</t>
    </r>
    <r>
      <rPr>
        <rFont val="DM Sans"/>
        <color rgb="FF000000"/>
        <sz val="10.0"/>
      </rPr>
      <t xml:space="preserve"> Control Access to ML Models and Data in Production</t>
    </r>
  </si>
  <si>
    <r>
      <rPr>
        <rFont val="DM Sans"/>
        <color rgb="FF1155CC"/>
        <u/>
      </rPr>
      <t>LLM01</t>
    </r>
    <r>
      <rPr>
        <rFont val="DM Sans"/>
      </rPr>
      <t xml:space="preserve">: Prompt Injection
</t>
    </r>
    <r>
      <rPr>
        <rFont val="DM Sans"/>
        <color rgb="FF1155CC"/>
        <u/>
      </rPr>
      <t>LLM02</t>
    </r>
    <r>
      <rPr>
        <rFont val="DM Sans"/>
      </rPr>
      <t xml:space="preserve">: Insecure Output Handling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LLM10</t>
    </r>
    <r>
      <rPr>
        <rFont val="DM Sans"/>
      </rPr>
      <t xml:space="preserve">: Model Theft </t>
    </r>
  </si>
  <si>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</si>
  <si>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r>
      <rPr>
        <rFont val="DM Sans"/>
        <color rgb="FF1976D2"/>
        <sz val="10.0"/>
        <u/>
      </rPr>
      <t>AML.M0009</t>
    </r>
    <r>
      <rPr>
        <rFont val="DM Sans"/>
        <color rgb="FF000000"/>
        <sz val="10.0"/>
        <u/>
      </rPr>
      <t xml:space="preserve"> Use Multi-Modal Sensors</t>
    </r>
  </si>
  <si>
    <r>
      <rPr>
        <rFont val="DM Sans"/>
        <color rgb="FF1155CC"/>
        <u/>
      </rPr>
      <t>LLM01</t>
    </r>
    <r>
      <rPr>
        <rFont val="DM Sans"/>
      </rPr>
      <t xml:space="preserve">: Prompt Injection
</t>
    </r>
    <r>
      <rPr>
        <rFont val="DM Sans"/>
        <color rgb="FF1155CC"/>
        <u/>
      </rPr>
      <t>LLM02</t>
    </r>
    <r>
      <rPr>
        <rFont val="DM Sans"/>
      </rPr>
      <t xml:space="preserve">: Insecure Output Handling
</t>
    </r>
    <r>
      <rPr>
        <rFont val="DM Sans"/>
        <color rgb="FF1155CC"/>
        <u/>
      </rPr>
      <t>LLM04</t>
    </r>
    <r>
      <rPr>
        <rFont val="DM Sans"/>
      </rPr>
      <t xml:space="preserve">: Model Denial of Service
</t>
    </r>
    <r>
      <rPr>
        <rFont val="DM Sans"/>
        <color rgb="FF1155CC"/>
        <u/>
      </rPr>
      <t>LLM05</t>
    </r>
    <r>
      <rPr>
        <rFont val="DM Sans"/>
      </rPr>
      <t xml:space="preserve">: Supply Chain Vulnerabilities
</t>
    </r>
    <r>
      <rPr>
        <rFont val="DM Sans"/>
        <color rgb="FF1155CC"/>
        <u/>
      </rPr>
      <t>LLM10</t>
    </r>
    <r>
      <rPr>
        <rFont val="DM Sans"/>
      </rPr>
      <t xml:space="preserve">: Model Theft </t>
    </r>
  </si>
  <si>
    <r>
      <rPr>
        <rFont val="DM Sans"/>
        <color rgb="FF1155CC"/>
        <sz val="10.0"/>
        <u/>
      </rPr>
      <t>M1043</t>
    </r>
    <r>
      <rPr>
        <rFont val="DM Sans"/>
        <sz val="10.0"/>
      </rPr>
      <t xml:space="preserve"> Credential Access Protection</t>
    </r>
  </si>
  <si>
    <r>
      <rPr>
        <rFont val="DM Sans"/>
        <color rgb="FF1976D2"/>
        <sz val="10.0"/>
        <u/>
      </rPr>
      <t>AML.M0017</t>
    </r>
    <r>
      <rPr>
        <rFont val="DM Sans"/>
        <color rgb="FF000000"/>
        <sz val="10.0"/>
      </rPr>
      <t xml:space="preserve"> Model Distribution Methods</t>
    </r>
  </si>
  <si>
    <r>
      <rPr>
        <rFont val="DM Sans"/>
        <color rgb="FF1155CC"/>
        <sz val="10.0"/>
        <u/>
      </rPr>
      <t>M1048</t>
    </r>
    <r>
      <rPr>
        <rFont val="DM Sans"/>
        <sz val="10.0"/>
      </rPr>
      <t xml:space="preserve">  Application Isolation and Sandboxing
</t>
    </r>
    <r>
      <rPr>
        <rFont val="DM Sans"/>
        <color rgb="FF1155CC"/>
        <sz val="10.0"/>
        <u/>
      </rPr>
      <t>M1038</t>
    </r>
    <r>
      <rPr>
        <rFont val="DM Sans"/>
        <sz val="10.0"/>
      </rPr>
      <t xml:space="preserve">  Execution Prevention
</t>
    </r>
    <r>
      <rPr>
        <rFont val="DM Sans"/>
        <color rgb="FF1155CC"/>
        <sz val="10.0"/>
        <u/>
      </rPr>
      <t>M1050</t>
    </r>
    <r>
      <rPr>
        <rFont val="DM Sans"/>
        <sz val="10.0"/>
      </rPr>
      <t xml:space="preserve">  Exploit Protection
</t>
    </r>
    <r>
      <rPr>
        <rFont val="DM Sans"/>
        <color rgb="FF1155CC"/>
        <sz val="10.0"/>
        <u/>
      </rPr>
      <t>M1026</t>
    </r>
    <r>
      <rPr>
        <rFont val="DM Sans"/>
        <sz val="10.0"/>
      </rPr>
      <t xml:space="preserve"> Privileged Account Management
</t>
    </r>
  </si>
  <si>
    <r>
      <rPr>
        <rFont val="DM Sans"/>
        <color rgb="FF1155CC"/>
        <u/>
      </rPr>
      <t>LLM10</t>
    </r>
    <r>
      <rPr>
        <rFont val="DM Sans"/>
      </rPr>
      <t xml:space="preserve">: Model Theft </t>
    </r>
  </si>
  <si>
    <r>
      <rPr>
        <rFont val="DM Sans"/>
        <color rgb="FF1155CC"/>
        <u/>
      </rPr>
      <t>ML03:2023</t>
    </r>
    <r>
      <rPr>
        <rFont val="DM Sans"/>
      </rPr>
      <t xml:space="preserve"> Model Inversion Attack
</t>
    </r>
    <r>
      <rPr>
        <rFont val="DM Sans"/>
        <color rgb="FF1155CC"/>
        <u/>
      </rPr>
      <t>ML04:2023</t>
    </r>
    <r>
      <rPr>
        <rFont val="DM Sans"/>
      </rPr>
      <t xml:space="preserve"> Membership Inference Attack
</t>
    </r>
    <r>
      <rPr>
        <rFont val="DM Sans"/>
        <color rgb="FF1155CC"/>
        <u/>
      </rPr>
      <t>ML05:2023</t>
    </r>
    <r>
      <rPr>
        <rFont val="DM Sans"/>
      </rPr>
      <t xml:space="preserve"> Model Theft
</t>
    </r>
    <r>
      <rPr>
        <rFont val="DM Sans"/>
        <color rgb="FF1155CC"/>
        <u/>
      </rPr>
      <t>ML07:2023</t>
    </r>
    <r>
      <rPr>
        <rFont val="DM Sans"/>
      </rPr>
      <t xml:space="preserve"> Transfer Learning Attack
</t>
    </r>
    <r>
      <rPr>
        <rFont val="DM Sans"/>
        <color rgb="FF1155CC"/>
        <u/>
      </rPr>
      <t>ML08:2023</t>
    </r>
    <r>
      <rPr>
        <rFont val="DM Sans"/>
      </rPr>
      <t xml:space="preserve"> Model Skewing
</t>
    </r>
    <r>
      <rPr>
        <rFont val="DM Sans"/>
        <color rgb="FF1155CC"/>
        <u/>
      </rPr>
      <t>ML09:2023</t>
    </r>
    <r>
      <rPr>
        <rFont val="DM Sans"/>
      </rPr>
      <t xml:space="preserve"> Output Integrity Attack
</t>
    </r>
    <r>
      <rPr>
        <rFont val="DM Sans"/>
        <color rgb="FF1155CC"/>
        <u/>
      </rPr>
      <t>ML10:2023</t>
    </r>
    <r>
      <rPr>
        <rFont val="DM Sans"/>
      </rPr>
      <t xml:space="preserve"> Model Poisoning</t>
    </r>
  </si>
  <si>
    <r>
      <rPr>
        <rFont val="DM Sans"/>
        <color rgb="FF1155CC"/>
        <u/>
      </rPr>
      <t>ML03:2023</t>
    </r>
    <r>
      <rPr>
        <rFont val="DM Sans"/>
      </rPr>
      <t xml:space="preserve"> Model Inversion Attack
</t>
    </r>
    <r>
      <rPr>
        <rFont val="DM Sans"/>
        <color rgb="FF1155CC"/>
        <u/>
      </rPr>
      <t>ML08:2023</t>
    </r>
    <r>
      <rPr>
        <rFont val="DM Sans"/>
      </rPr>
      <t xml:space="preserve"> Model Skewing</t>
    </r>
  </si>
  <si>
    <r>
      <rPr>
        <rFont val="DM Sans"/>
        <color rgb="FF1155CC"/>
        <u/>
      </rPr>
      <t>Article 72</t>
    </r>
    <r>
      <rPr>
        <rFont val="DM Sans"/>
      </rPr>
      <t xml:space="preserve"> Post-market monitoring</t>
    </r>
  </si>
  <si>
    <r>
      <rPr>
        <rFont val="DM Sans"/>
        <color rgb="FF1155CC"/>
        <u/>
      </rPr>
      <t>LLM03</t>
    </r>
    <r>
      <rPr>
        <rFont val="DM Sans"/>
      </rPr>
      <t xml:space="preserve">: Training Data Poisoning, 
</t>
    </r>
    <r>
      <rPr>
        <rFont val="DM Sans"/>
        <color rgb="FF1155CC"/>
        <u/>
      </rPr>
      <t>LLM10</t>
    </r>
    <r>
      <rPr>
        <rFont val="DM Sans"/>
      </rPr>
      <t xml:space="preserve">: Model Theft </t>
    </r>
  </si>
  <si>
    <r>
      <rPr>
        <rFont val="DM Sans"/>
        <color rgb="FF1155CC"/>
        <u/>
      </rPr>
      <t>ML08:2023</t>
    </r>
    <r>
      <rPr>
        <rFont val="DM Sans"/>
      </rPr>
      <t xml:space="preserve"> Model Skewing</t>
    </r>
  </si>
  <si>
    <r>
      <rPr>
        <rFont val="DM Sans"/>
        <color rgb="FF1976D2"/>
        <sz val="10.0"/>
        <u/>
      </rPr>
      <t>AML.M0016</t>
    </r>
    <r>
      <rPr>
        <rFont val="DM Sans"/>
        <color rgb="FF000000"/>
        <sz val="10.0"/>
        <u/>
      </rPr>
      <t xml:space="preserve"> Vulnerability Scanning</t>
    </r>
  </si>
  <si>
    <r>
      <rPr>
        <rFont val="DM Sans"/>
        <color rgb="FF1155CC"/>
        <sz val="10.0"/>
        <u/>
      </rPr>
      <t>M1016</t>
    </r>
    <r>
      <rPr>
        <rFont val="DM Sans"/>
        <color rgb="FF1976D2"/>
        <sz val="10.0"/>
        <u/>
      </rPr>
      <t xml:space="preserve"> Vulnerability Scanning</t>
    </r>
  </si>
  <si>
    <t>Not applcable</t>
  </si>
  <si>
    <r>
      <rPr>
        <rFont val="DM Sans"/>
        <color rgb="FF000000"/>
        <sz val="10.0"/>
      </rPr>
      <t xml:space="preserve">
</t>
    </r>
    <r>
      <rPr>
        <rFont val="DM Sans"/>
        <color rgb="FF1155CC"/>
        <sz val="10.0"/>
        <u/>
      </rPr>
      <t>M1040</t>
    </r>
    <r>
      <rPr>
        <rFont val="DM Sans"/>
        <sz val="10.0"/>
      </rPr>
      <t xml:space="preserve"> Behavior Prevention on Endpoint
</t>
    </r>
    <r>
      <rPr>
        <rFont val="DM Sans"/>
        <color rgb="FF1155CC"/>
        <sz val="10.0"/>
        <u/>
      </rPr>
      <t>M1031</t>
    </r>
    <r>
      <rPr>
        <rFont val="DM Sans"/>
        <sz val="10.0"/>
      </rPr>
      <t xml:space="preserve"> Network Intrusion Prevention
</t>
    </r>
    <r>
      <rPr>
        <rFont val="DM Sans"/>
        <color rgb="FF1155CC"/>
        <sz val="10.0"/>
        <u/>
      </rPr>
      <t>M1019</t>
    </r>
    <r>
      <rPr>
        <rFont val="DM Sans"/>
        <sz val="10.0"/>
      </rPr>
      <t xml:space="preserve">  Threat Intelligence Program</t>
    </r>
  </si>
  <si>
    <r>
      <rPr>
        <rFont val="Google Sans"/>
        <color rgb="FF1155CC"/>
        <sz val="9.0"/>
        <u/>
      </rPr>
      <t>Article 17.1</t>
    </r>
    <r>
      <rPr>
        <rFont val="Google Sans"/>
        <color rgb="FF1F1F1F"/>
        <sz val="9.0"/>
      </rPr>
      <t xml:space="preserve"> Quality Management System</t>
    </r>
  </si>
  <si>
    <r>
      <rPr>
        <rFont val="DM Sans"/>
        <color rgb="FF1155CC"/>
        <u/>
      </rPr>
      <t>ML08:2023</t>
    </r>
    <r>
      <rPr>
        <rFont val="DM Sans"/>
      </rPr>
      <t xml:space="preserve"> Model Skewing</t>
    </r>
  </si>
  <si>
    <r>
      <rPr>
        <rFont val="DM Sans"/>
        <color rgb="FF1155CC"/>
        <sz val="10.0"/>
        <u/>
      </rPr>
      <t>M1054</t>
    </r>
    <r>
      <rPr>
        <rFont val="DM Sans"/>
        <sz val="10.0"/>
      </rPr>
      <t xml:space="preserve"> Software Configuration</t>
    </r>
  </si>
  <si>
    <r>
      <rPr>
        <rFont val="DM Sans"/>
        <color rgb="FF1155CC"/>
        <u/>
      </rPr>
      <t>LLM03</t>
    </r>
    <r>
      <rPr>
        <rFont val="DM Sans"/>
      </rPr>
      <t xml:space="preserve">: Training Data Poisoning, 
</t>
    </r>
    <r>
      <rPr>
        <rFont val="DM Sans"/>
        <color rgb="FF1155CC"/>
        <u/>
      </rPr>
      <t>LLM05</t>
    </r>
    <r>
      <rPr>
        <rFont val="DM Sans"/>
      </rPr>
      <t xml:space="preserve">: Supply Chain Vulnerabilities
</t>
    </r>
    <r>
      <rPr>
        <rFont val="DM Sans"/>
        <color rgb="FF1155CC"/>
        <u/>
      </rPr>
      <t>LLM10</t>
    </r>
    <r>
      <rPr>
        <rFont val="DM Sans"/>
      </rPr>
      <t xml:space="preserve">: Model Theft </t>
    </r>
  </si>
  <si>
    <r>
      <rPr>
        <rFont val="DM Sans"/>
        <color rgb="FF1155CC"/>
        <u/>
      </rPr>
      <t>ML08:2023</t>
    </r>
    <r>
      <rPr>
        <rFont val="DM Sans"/>
      </rPr>
      <t xml:space="preserve"> Model Skewing</t>
    </r>
  </si>
  <si>
    <r>
      <rPr>
        <rFont val="DM Sans"/>
        <color rgb="FF1155CC"/>
        <sz val="10.0"/>
        <u/>
      </rPr>
      <t>M1039</t>
    </r>
    <r>
      <rPr>
        <rFont val="DM Sans"/>
        <sz val="10.0"/>
      </rPr>
      <t xml:space="preserve"> Environment Variable Permissions
</t>
    </r>
    <r>
      <rPr>
        <rFont val="DM Sans"/>
        <color rgb="FF1155CC"/>
        <sz val="10.0"/>
        <u/>
      </rPr>
      <t>M1052</t>
    </r>
    <r>
      <rPr>
        <rFont val="DM Sans"/>
        <sz val="10.0"/>
      </rPr>
      <t xml:space="preserve"> User Account Control
</t>
    </r>
    <r>
      <rPr>
        <rFont val="DM Sans"/>
        <color rgb="FF1155CC"/>
        <sz val="10.0"/>
        <u/>
      </rPr>
      <t>M1018</t>
    </r>
    <r>
      <rPr>
        <rFont val="DM Sans"/>
        <sz val="10.0"/>
      </rPr>
      <t xml:space="preserve"> User Account Management</t>
    </r>
  </si>
  <si>
    <r>
      <rPr>
        <rFont val="DM Sans"/>
        <color rgb="FF1976D2"/>
        <sz val="10.0"/>
        <u/>
      </rPr>
      <t>AML.M0008</t>
    </r>
    <r>
      <rPr>
        <rFont val="DM Sans"/>
        <color rgb="FF000000"/>
        <sz val="10.0"/>
        <u/>
      </rPr>
      <t xml:space="preserve"> Validate ML Model</t>
    </r>
  </si>
  <si>
    <r>
      <rPr>
        <rFont val="DM Sans"/>
        <color rgb="FF1155CC"/>
        <u/>
      </rPr>
      <t>Article 72</t>
    </r>
    <r>
      <rPr>
        <rFont val="DM Sans"/>
      </rPr>
      <t xml:space="preserve"> Post-market monitoring</t>
    </r>
  </si>
  <si>
    <r>
      <rPr>
        <rFont val="DM Sans"/>
        <color rgb="FF1155CC"/>
        <sz val="10.0"/>
        <u/>
      </rPr>
      <t>M1046</t>
    </r>
    <r>
      <rPr>
        <rFont val="DM Sans"/>
        <sz val="10.0"/>
      </rPr>
      <t xml:space="preserve"> Boot Integrity</t>
    </r>
  </si>
  <si>
    <r>
      <rPr>
        <rFont val="DM Sans"/>
        <color rgb="FF1155CC"/>
        <sz val="10.0"/>
        <u/>
      </rPr>
      <t>M1028</t>
    </r>
    <r>
      <rPr>
        <rFont val="DM Sans"/>
        <sz val="10.0"/>
      </rPr>
      <t xml:space="preserve"> Operating System Configuration</t>
    </r>
  </si>
  <si>
    <r>
      <rPr>
        <rFont val="DM Sans"/>
        <color rgb="FF1155CC"/>
        <u/>
      </rPr>
      <t>Article 72</t>
    </r>
    <r>
      <rPr>
        <rFont val="DM Sans"/>
      </rPr>
      <t xml:space="preserve"> Post-market monitoring</t>
    </r>
  </si>
  <si>
    <r>
      <rPr>
        <rFont val="DM Sans"/>
        <color rgb="FF1155CC"/>
        <sz val="10.0"/>
        <u/>
      </rPr>
      <t>AML.M0011</t>
    </r>
    <r>
      <rPr>
        <rFont val="DM Sans"/>
        <sz val="10.0"/>
      </rPr>
      <t xml:space="preserve"> Restrict Library Loading</t>
    </r>
  </si>
  <si>
    <r>
      <rPr>
        <rFont val="DM Sans"/>
        <color rgb="FF1155CC"/>
        <sz val="10.0"/>
        <u/>
      </rPr>
      <t>M1033</t>
    </r>
    <r>
      <rPr>
        <rFont val="DM Sans"/>
        <sz val="10.0"/>
      </rPr>
      <t xml:space="preserve"> Limit Software Installation
</t>
    </r>
    <r>
      <rPr>
        <rFont val="DM Sans"/>
        <color rgb="FF1155CC"/>
        <sz val="10.0"/>
        <u/>
      </rPr>
      <t>M1044</t>
    </r>
    <r>
      <rPr>
        <rFont val="DM Sans"/>
        <sz val="10.0"/>
      </rPr>
      <t xml:space="preserve"> Restrict Library Loading</t>
    </r>
  </si>
  <si>
    <r>
      <rPr>
        <rFont val="Google Sans"/>
        <color rgb="FF1155CC"/>
        <sz val="9.0"/>
        <u/>
      </rPr>
      <t>Article 5.1</t>
    </r>
    <r>
      <rPr>
        <rFont val="Google Sans"/>
        <color rgb="FF1F1F1F"/>
        <sz val="9.0"/>
      </rPr>
      <t xml:space="preserve"> Prohibited AI Practices</t>
    </r>
  </si>
  <si>
    <r>
      <rPr>
        <rFont val="DM Sans"/>
        <color rgb="FF1155CC"/>
        <sz val="10.0"/>
        <u/>
      </rPr>
      <t>M1047</t>
    </r>
    <r>
      <rPr>
        <rFont val="DM Sans"/>
        <sz val="10.0"/>
      </rPr>
      <t xml:space="preserve"> Audit</t>
    </r>
  </si>
  <si>
    <r>
      <rPr>
        <rFont val="DM Sans"/>
        <color rgb="FF1155CC"/>
        <u/>
      </rPr>
      <t>ML09:2023</t>
    </r>
    <r>
      <rPr>
        <rFont val="DM Sans"/>
      </rPr>
      <t xml:space="preserve"> Output Integrity Attack</t>
    </r>
  </si>
  <si>
    <r>
      <rPr>
        <rFont val="Google Sans"/>
        <color rgb="FF1155CC"/>
        <sz val="9.0"/>
        <u/>
      </rPr>
      <t>Article 17.1</t>
    </r>
    <r>
      <rPr>
        <rFont val="Google Sans"/>
        <color rgb="FF1F1F1F"/>
        <sz val="9.0"/>
      </rPr>
      <t xml:space="preserve"> Quality Management System</t>
    </r>
  </si>
  <si>
    <r>
      <rPr>
        <rFont val="DM Sans"/>
        <color rgb="FF1155CC"/>
        <sz val="10.0"/>
        <u/>
      </rPr>
      <t>M1037</t>
    </r>
    <r>
      <rPr>
        <rFont val="DM Sans"/>
        <sz val="10.0"/>
      </rPr>
      <t xml:space="preserve"> Filter Network Traffic</t>
    </r>
  </si>
  <si>
    <r>
      <rPr>
        <rFont val="DM Sans"/>
        <color rgb="FF1155CC"/>
        <u/>
      </rPr>
      <t>LLM01</t>
    </r>
    <r>
      <rPr>
        <rFont val="DM Sans"/>
      </rPr>
      <t xml:space="preserve">: Prompt Injection
</t>
    </r>
    <r>
      <rPr>
        <rFont val="DM Sans"/>
        <color rgb="FF1155CC"/>
        <u/>
      </rPr>
      <t>LLM03.4, 5</t>
    </r>
    <r>
      <rPr>
        <rFont val="DM Sans"/>
      </rPr>
      <t xml:space="preserve">: Training Data Poisoning, 
</t>
    </r>
    <r>
      <rPr>
        <rFont val="DM Sans"/>
        <color rgb="FF1155CC"/>
        <u/>
      </rPr>
      <t>LLM06.3</t>
    </r>
    <r>
      <rPr>
        <rFont val="DM Sans"/>
      </rPr>
      <t xml:space="preserve">: Sensitive Information Disclosure
</t>
    </r>
    <r>
      <rPr>
        <rFont val="DM Sans"/>
        <color rgb="FF1155CC"/>
        <u/>
      </rPr>
      <t>LLM10.2</t>
    </r>
    <r>
      <rPr>
        <rFont val="DM Sans"/>
      </rPr>
      <t xml:space="preserve">: Model Theft </t>
    </r>
  </si>
  <si>
    <r>
      <rPr>
        <rFont val="DM Sans"/>
        <color rgb="FF1155CC"/>
        <u/>
      </rPr>
      <t>Article 15.5</t>
    </r>
    <r>
      <rPr>
        <rFont val="DM Sans"/>
      </rPr>
      <t xml:space="preserve"> Accuracy, Robustness, and Cybersecurity
</t>
    </r>
    <r>
      <rPr>
        <rFont val="DM Sans"/>
        <color rgb="FF1155CC"/>
        <u/>
      </rPr>
      <t>Article 15.1</t>
    </r>
    <r>
      <rPr>
        <rFont val="DM Sans"/>
      </rPr>
      <t xml:space="preserve"> Accuracy, Robustness, and Cybersecurity</t>
    </r>
  </si>
  <si>
    <r>
      <rPr>
        <rFont val="DM Sans"/>
        <color rgb="FF1155CC"/>
        <u/>
      </rPr>
      <t>LLM01.1</t>
    </r>
    <r>
      <rPr>
        <rFont val="DM Sans"/>
      </rPr>
      <t xml:space="preserve">: Prompt Injection
</t>
    </r>
    <r>
      <rPr>
        <rFont val="DM Sans"/>
        <color rgb="FF1155CC"/>
        <u/>
      </rPr>
      <t>LLM02.1</t>
    </r>
    <r>
      <rPr>
        <rFont val="DM Sans"/>
      </rPr>
      <t xml:space="preserve">: Insecure Output Handling
</t>
    </r>
    <r>
      <rPr>
        <rFont val="DM Sans"/>
        <color rgb="FF1155CC"/>
        <u/>
      </rPr>
      <t>LLM03.CEV.5</t>
    </r>
    <r>
      <rPr>
        <rFont val="DM Sans"/>
      </rPr>
      <t xml:space="preserve">: Training Data Poisoning, 
</t>
    </r>
    <r>
      <rPr>
        <rFont val="DM Sans"/>
        <color rgb="FF1155CC"/>
        <u/>
      </rPr>
      <t>LLM06.3</t>
    </r>
    <r>
      <rPr>
        <rFont val="DM Sans"/>
      </rPr>
      <t xml:space="preserve">: Sensitive Information Disclosure
</t>
    </r>
    <r>
      <rPr>
        <rFont val="DM Sans"/>
        <color rgb="FF1155CC"/>
        <u/>
      </rPr>
      <t>LLM07.4, 5, 6</t>
    </r>
    <r>
      <rPr>
        <rFont val="DM Sans"/>
      </rPr>
      <t xml:space="preserve">: Insecure Plugin Design
</t>
    </r>
    <r>
      <rPr>
        <rFont val="DM Sans"/>
        <color rgb="FF1155CC"/>
        <u/>
      </rPr>
      <t>LLM08.5, 7</t>
    </r>
    <r>
      <rPr>
        <rFont val="DM Sans"/>
      </rPr>
      <t xml:space="preserve">: Excessive Agency
</t>
    </r>
    <r>
      <rPr>
        <rFont val="DM Sans"/>
        <color rgb="FF1155CC"/>
        <u/>
      </rPr>
      <t>LLM10.1, 4</t>
    </r>
    <r>
      <rPr>
        <rFont val="DM Sans"/>
      </rPr>
      <t xml:space="preserve">: Model Theft </t>
    </r>
  </si>
  <si>
    <r>
      <rPr>
        <rFont val="Google Sans"/>
        <color rgb="FF1155CC"/>
        <sz val="9.0"/>
        <u/>
      </rPr>
      <t>Article 5.1</t>
    </r>
    <r>
      <rPr>
        <rFont val="Google Sans"/>
        <color rgb="FF1F1F1F"/>
        <sz val="9.0"/>
      </rPr>
      <t xml:space="preserve"> Prohibited AI Practices
</t>
    </r>
    <r>
      <rPr>
        <rFont val="Google Sans"/>
        <color rgb="FF1155CC"/>
        <sz val="9.0"/>
        <u/>
      </rPr>
      <t>Article 10.3</t>
    </r>
    <r>
      <rPr>
        <rFont val="Google Sans"/>
        <color rgb="FF1F1F1F"/>
        <sz val="9.0"/>
      </rPr>
      <t xml:space="preserve"> Requirements for data and data governance
</t>
    </r>
    <r>
      <rPr>
        <rFont val="Google Sans"/>
        <color rgb="FF1155CC"/>
        <sz val="9.0"/>
        <u/>
      </rPr>
      <t>Article 10.5</t>
    </r>
    <r>
      <rPr>
        <rFont val="Google Sans"/>
        <color rgb="FF1F1F1F"/>
        <sz val="9.0"/>
      </rPr>
      <t xml:space="preserve"> Requirements for data and data governance</t>
    </r>
  </si>
  <si>
    <r>
      <rPr>
        <rFont val="DM Sans"/>
        <color rgb="FF1155CC"/>
        <sz val="10.0"/>
        <u/>
      </rPr>
      <t>AML.M0004</t>
    </r>
    <r>
      <rPr>
        <rFont val="DM Sans"/>
        <sz val="10.0"/>
      </rPr>
      <t xml:space="preserve"> Restrict Number of ML Model Queries</t>
    </r>
  </si>
  <si>
    <r>
      <rPr>
        <rFont val="DM Sans"/>
        <color rgb="FF1155CC"/>
        <u/>
      </rPr>
      <t>Article 15.5</t>
    </r>
    <r>
      <rPr>
        <rFont val="DM Sans"/>
      </rPr>
      <t xml:space="preserve"> Accuracy, Robustness, and Cybersecurity
</t>
    </r>
    <r>
      <rPr>
        <rFont val="DM Sans"/>
        <color rgb="FF1155CC"/>
        <u/>
      </rPr>
      <t>Article 15.1</t>
    </r>
    <r>
      <rPr>
        <rFont val="DM Sans"/>
      </rPr>
      <t xml:space="preserve"> Accuracy, Robustness, and Cybersecurity</t>
    </r>
  </si>
  <si>
    <r>
      <rPr>
        <rFont val="DM Sans"/>
        <color rgb="FF1976D2"/>
        <sz val="10.0"/>
        <u/>
      </rPr>
      <t>AML.M0018</t>
    </r>
    <r>
      <rPr>
        <rFont val="DM Sans"/>
        <color rgb="FF000000"/>
        <sz val="10.0"/>
      </rPr>
      <t xml:space="preserve"> User Training</t>
    </r>
  </si>
  <si>
    <r>
      <rPr>
        <rFont val="DM Sans"/>
        <color rgb="FF1155CC"/>
        <sz val="10.0"/>
        <u/>
      </rPr>
      <t>M1013</t>
    </r>
    <r>
      <rPr>
        <rFont val="DM Sans"/>
        <color rgb="FF1976D2"/>
        <sz val="10.0"/>
        <u/>
      </rPr>
      <t xml:space="preserve"> </t>
    </r>
    <r>
      <rPr>
        <rFont val="DM Sans"/>
        <color rgb="FF000000"/>
        <sz val="10.0"/>
        <u/>
      </rPr>
      <t xml:space="preserve">Application Developer Guidance
</t>
    </r>
    <r>
      <rPr>
        <rFont val="DM Sans"/>
        <color rgb="FF1155CC"/>
        <sz val="10.0"/>
        <u/>
      </rPr>
      <t>M1017</t>
    </r>
    <r>
      <rPr>
        <rFont val="DM Sans"/>
        <color rgb="FF1976D2"/>
        <sz val="10.0"/>
        <u/>
      </rPr>
      <t xml:space="preserve"> User Training</t>
    </r>
  </si>
  <si>
    <r>
      <rPr>
        <rFont val="DM Sans"/>
        <color rgb="FF1155CC"/>
        <sz val="10.0"/>
        <u/>
      </rPr>
      <t>M1030</t>
    </r>
    <r>
      <rPr>
        <rFont val="DM Sans"/>
        <sz val="10.0"/>
      </rPr>
      <t xml:space="preserve"> Network Segmentation</t>
    </r>
  </si>
  <si>
    <r>
      <rPr>
        <rFont val="DM Sans"/>
        <color rgb="FF1155CC"/>
        <sz val="10.0"/>
        <u/>
      </rPr>
      <t>M1051</t>
    </r>
    <r>
      <rPr>
        <rFont val="DM Sans"/>
        <sz val="10.0"/>
      </rPr>
      <t xml:space="preserve"> Update Software</t>
    </r>
  </si>
  <si>
    <r>
      <rPr>
        <rFont val="DM Sans"/>
        <color rgb="FF1155CC"/>
        <u/>
      </rPr>
      <t>Article 5.4</t>
    </r>
    <r>
      <rPr>
        <rFont val="DM Sans"/>
      </rPr>
      <t xml:space="preserve"> Prohibited AI Practices
</t>
    </r>
    <r>
      <rPr>
        <rFont val="DM Sans"/>
        <color rgb="FF1155CC"/>
        <u/>
      </rPr>
      <t>Article 5.1</t>
    </r>
    <r>
      <rPr>
        <rFont val="DM Sans"/>
      </rPr>
      <t xml:space="preserve"> Prohibited AI Practices</t>
    </r>
  </si>
  <si>
    <t>Third-party Tools</t>
  </si>
  <si>
    <t>Note: The information in this document does not constitute or imply endorsement or recommendation of any third-party organization, product or service by Databricks. Links and references to websites and third-party materials are provided for informational purposes only and do not represent endorsement or recommendation of such resources over others.</t>
  </si>
  <si>
    <t>Tool Category</t>
  </si>
  <si>
    <t>Tool URL</t>
  </si>
  <si>
    <t>Tool Description</t>
  </si>
  <si>
    <t>Model Scanners</t>
  </si>
  <si>
    <t>HiddenLayer Model Scanner</t>
  </si>
  <si>
    <t>A tool that scans AI models to detect embedded malicious code, vulnerabilities, and integrity issues, ensuring secure deployment.</t>
  </si>
  <si>
    <t>Fickling</t>
  </si>
  <si>
    <t>An open-source utility for analyzing and modifying Python pickle files, commonly used for serializing machine learning models.</t>
  </si>
  <si>
    <t>Protect AI Guardian</t>
  </si>
  <si>
    <t>An enterprise-level tool that scans third-party and proprietary models for security threats before deployment, enforcing model security policies.</t>
  </si>
  <si>
    <t>AppSOC’s AI Security Testing solution</t>
  </si>
  <si>
    <t>AppSOC’s AI Security Testing solution helps in proactively identifying, and assessing the risks from LLM models by automating model scanning, simulating adversarial attacks, and validating trust in connected systems, ensuring the models and ecosystems are safe, compliant, and deployment-ready</t>
  </si>
  <si>
    <t>SplxAI Probe</t>
  </si>
  <si>
    <t>An enterprise platform for evaluating models for security, safety, trust, and alignment using a continuously updated attack database, custom attacks, and the latest multi-turn attack strategies.</t>
  </si>
  <si>
    <t>Model Validation Tools</t>
  </si>
  <si>
    <t>Robust Intelligence Continuous Validation</t>
  </si>
  <si>
    <t>A platform offering continuous validation of AI models to detect and mitigate vulnerabilities, ensuring robust and secure AI deployments.</t>
  </si>
  <si>
    <t>Protect AI Recon</t>
  </si>
  <si>
    <t>A product that automatically validates LLM Model performance across common industry framework requirements (OWASP, MITRE/ATLAS).</t>
  </si>
  <si>
    <t>Vigil LLM security scanner</t>
  </si>
  <si>
    <t>A tool designed to scan large language models (LLMs) for security vulnerabilities, ensuring safe deployment and usage.</t>
  </si>
  <si>
    <t>Garak Automated Scanning</t>
  </si>
  <si>
    <t>An automated system that scans AI models for potential security threats, focusing on detecting malicious code and vulnerabilities.</t>
  </si>
  <si>
    <t>HiddenLayer AIDR</t>
  </si>
  <si>
    <t>A solution that monitors AI models in real time to detect and respond to adversarial attacks, safeguarding AI assets.</t>
  </si>
  <si>
    <t>Citadel Lens</t>
  </si>
  <si>
    <t>A security tool that provides visibility into AI models, detecting vulnerabilities and ensuring compliance with security standards.</t>
  </si>
  <si>
    <t xml:space="preserve">An end-to-end enterprise security suite for GenAI applications powered by the latest adversarial techniques, LLM-as-judge, AI-based remediation, log analysis, and compliance mapping to popular AI security frameworks. </t>
  </si>
  <si>
    <t>AI Agents</t>
  </si>
  <si>
    <t>Arhasi R.A.P.I.D</t>
  </si>
  <si>
    <t>A platform offering rapid assessment and protection of AI deployments, focusing on identifying and mitigating security risks.</t>
  </si>
  <si>
    <t>SplxAI Agentic Radar</t>
  </si>
  <si>
    <t>Open-source tool to analyze agentic systems for security and operational insights. It helps developers, researchers, and security professionals understand how agentic systems function and identify potential vulnerabilities.</t>
  </si>
  <si>
    <t>Guardrails for LLMs</t>
  </si>
  <si>
    <t>NeMo Guardrails</t>
  </si>
  <si>
    <t>A toolkit for adding programmable guardrails to AI models, ensuring they operate within defined safety and ethical boundaries.</t>
  </si>
  <si>
    <t>Guradrails AI</t>
  </si>
  <si>
    <t>A framework that integrates safety protocols into AI models, preventing them from generating harmful or biased outputs.</t>
  </si>
  <si>
    <t>Lakera Guard</t>
  </si>
  <si>
    <t>A security solution that monitors AI models for adversarial attacks and vulnerabilities, providing real-time protection.</t>
  </si>
  <si>
    <t>Robust Intelligence AI Firewall</t>
  </si>
  <si>
    <t>A protective layer that shields AI models from adversarial inputs and attacks.</t>
  </si>
  <si>
    <t>Protect AI Layer</t>
  </si>
  <si>
    <t xml:space="preserve">Layer provides LLM runtime security including observability, monitoring, blocking for AI Applications. The enterprise grade offering brought to you by the same team that built the industry leading open source solution LLM Guard. </t>
  </si>
  <si>
    <t>Arthur Shield</t>
  </si>
  <si>
    <t>A monitoring solution that tracks AI model performance and security, detecting anomalies and potential threats in real time.</t>
  </si>
  <si>
    <t>Amazon Guardrails</t>
  </si>
  <si>
    <t>A set of safety protocols integrated into Amazon's AI services to ensure models operate within ethical and secure boundaries.</t>
  </si>
  <si>
    <t>Meta Llama Guard</t>
  </si>
  <si>
    <t>Meta implemented security measures to protect their Llama models from vulnerabilities and adversarial attacks.</t>
  </si>
  <si>
    <t>SplxAI Rail</t>
  </si>
  <si>
    <t xml:space="preserve">Low-latency prompt and response monitoring and flagging for configurable forbidden topics related to security and safety. </t>
  </si>
  <si>
    <t>DASF Validation and Assessment Products and Services</t>
  </si>
  <si>
    <t>Safe Security</t>
  </si>
  <si>
    <t>SAFE One makes cybersecurity an accelerator to the business by delivering the industry's only data-driven, unified platform for managing all your first-party and third-party cyber risks.</t>
  </si>
  <si>
    <t>Obsidian</t>
  </si>
  <si>
    <t>Obsidian Security combines application posture with identity and data security, safeguarding SaaS.</t>
  </si>
  <si>
    <t>EQTY Labs</t>
  </si>
  <si>
    <t>EQTY Lab builds advanced governance solutions to evolve trust in AI.</t>
  </si>
  <si>
    <t>AppSOC</t>
  </si>
  <si>
    <t>Makes Databricks the most secure AI platform with real-time visibility, guardrails, and protection.</t>
  </si>
  <si>
    <t>Public AI Red Teaming Tools</t>
  </si>
  <si>
    <t>Garak</t>
  </si>
  <si>
    <t>An automated scanning tool that analyzes AI models for potential security threats, focusing on detecting malicious code and vulnerabilities.</t>
  </si>
  <si>
    <t>BlackIce</t>
  </si>
  <si>
    <t>An open-source, containerized toolkit that bundles 14 widely used AI security tools into a single, reproducible environment. In this post, we highlight the motivation behind BlackIce, outline its core capabilities, and share resources to help you get started.</t>
  </si>
  <si>
    <t>A product with a full suite of Red Teaming options for AI applications, including a library of common attacks, human augmented attacks, and LLM generated scans; complete with mapping to common industry frameworks like OWASP and MITRE/ATLAS.</t>
  </si>
  <si>
    <t>PyRIT</t>
  </si>
  <si>
    <t>A Python-based tool for testing the robustness of AI models against adversarial attacks, ensuring model resilience.</t>
  </si>
  <si>
    <t>Adversarial Robustness Toolbox (ART)</t>
  </si>
  <si>
    <t>An open-source library that provides tools to assess and improve the robustness of machine learning models against adversarial threats.</t>
  </si>
  <si>
    <t>Counterfeit</t>
  </si>
  <si>
    <t>A tool designed to test AI models for vulnerabilities by simulating adversarial attacks, helping developers enhance model security.</t>
  </si>
  <si>
    <t>ToolBench</t>
  </si>
  <si>
    <t>A suite of tools for evaluating and improving the security and robustness of AI models, focusing on detecting vulnerabilities.</t>
  </si>
  <si>
    <t>Giskard-AI llm scan</t>
  </si>
  <si>
    <t>A tool that scans large language models for security vulnerabilities, ensuring safe deployment and usage.</t>
  </si>
  <si>
    <t>Hidden Layer - Automated Red Teaming for AI</t>
  </si>
  <si>
    <t>A service that simulates adversarial attacks on AI models to identify vulnerabilities and strengthen defenses.</t>
  </si>
  <si>
    <t>Fickle scanning tools</t>
  </si>
  <si>
    <t>Utilities designed to analyze and modify serialized Python objects, commonly used in machine learning models, to detect and mitigate security risks.</t>
  </si>
  <si>
    <t>CyberSecEval 3</t>
  </si>
  <si>
    <t>A platform that evaluates the security posture of AI systems, identifying vulnerabilities and providing recommendations for mitigation.</t>
  </si>
  <si>
    <t>Parley</t>
  </si>
  <si>
    <t>A tool that facilitates secure and compliant interactions between AI models and users, ensuring adherence to safety protocols.</t>
  </si>
  <si>
    <t>BITE</t>
  </si>
  <si>
    <t>A framework for testing the security and robustness of AI models by simulating various adversarial attack scenarios.</t>
  </si>
  <si>
    <t>Purple Llama</t>
  </si>
  <si>
    <t>Purple Llama is an umbrella project that over time will bring together tools and evals to help the community build responsibly with open generative AI models. The initial release will include tools and evals for Cyber Security and Input/Output safeguards but we plan to contribute more in the near future.</t>
  </si>
  <si>
    <t>A complete testing suite for red teamers with over 20 predefined probes, custom probes, and user-defined prompt libraries to address domain-specific vulnerabilities.</t>
  </si>
  <si>
    <t>AI Governance</t>
  </si>
  <si>
    <t>Trustible</t>
  </si>
  <si>
    <t>An AI Governance platform that helps organizations build trust, reduce risk, and comply with AI regulations and standards such as the EU AI Act, ISO42001, or NIST AI RMF. Trustible helps organizations build an AI inventory, conduct risk, impact and conformity assessments, and build compliant documentation for regulators.</t>
  </si>
  <si>
    <t xml:space="preserve">AI Evals </t>
  </si>
  <si>
    <t>Validation of Ethical and Responsible AI in Mental Health</t>
  </si>
  <si>
    <t xml:space="preserve">VERA-MH (Validation of Ethical &amp; Responsible AI in Mental Health) is a  framework designed to measure the safety, quality, and clinical alignment of AI chatbots used in mental-health. VERA-MH offers developers and organizations a trusted, transparent standard for ensuring AI systems are safe, responsible, and fit for deployment in sensitive behavioral-health settings.
</t>
  </si>
</sst>
</file>

<file path=xl/styles.xml><?xml version="1.0" encoding="utf-8"?>
<styleSheet xmlns="http://schemas.openxmlformats.org/spreadsheetml/2006/main" xmlns:x14ac="http://schemas.microsoft.com/office/spreadsheetml/2009/9/ac" xmlns:mc="http://schemas.openxmlformats.org/markup-compatibility/2006">
  <fonts count="140">
    <font>
      <sz val="10.0"/>
      <color rgb="FF000000"/>
      <name val="Arial"/>
      <scheme val="minor"/>
    </font>
    <font>
      <color theme="1"/>
      <name val="DM Sans"/>
    </font>
    <font>
      <b/>
      <sz val="14.0"/>
      <color rgb="FF0E101A"/>
      <name val="DM Sans"/>
    </font>
    <font>
      <u/>
      <sz val="14.0"/>
      <color rgb="FF0E101A"/>
      <name val="DM Sans"/>
    </font>
    <font>
      <sz val="14.0"/>
      <color rgb="FF0E101A"/>
      <name val="DM Sans"/>
    </font>
    <font>
      <b/>
      <sz val="27.0"/>
      <color rgb="FFFF5E46"/>
      <name val="DM Sans"/>
    </font>
    <font>
      <sz val="24.0"/>
      <color rgb="FF000000"/>
      <name val="DM Sans"/>
    </font>
    <font>
      <sz val="24.0"/>
      <color theme="1"/>
      <name val="DM Sans"/>
    </font>
    <font>
      <b/>
      <sz val="19.0"/>
      <color rgb="FF0E101A"/>
      <name val="DM Sans"/>
    </font>
    <font/>
    <font>
      <u/>
      <sz val="18.0"/>
      <color rgb="FF0E101A"/>
      <name val="DM Sans"/>
    </font>
    <font>
      <sz val="18.0"/>
      <color rgb="FF0E101A"/>
      <name val="DM Sans"/>
    </font>
    <font>
      <u/>
      <sz val="18.0"/>
      <color rgb="FF0E101A"/>
      <name val="DM Sans"/>
    </font>
    <font>
      <b/>
      <sz val="20.0"/>
      <color rgb="FF000000"/>
      <name val="DM Sans"/>
    </font>
    <font>
      <sz val="20.0"/>
      <color rgb="FF000000"/>
      <name val="DM Sans"/>
    </font>
    <font>
      <b/>
      <sz val="16.0"/>
      <color theme="1"/>
      <name val="DM Sans"/>
    </font>
    <font>
      <sz val="16.0"/>
      <color theme="1"/>
      <name val="DM Sans"/>
    </font>
    <font>
      <b/>
      <u/>
      <sz val="14.0"/>
      <color rgb="FF0000FF"/>
      <name val="DM Sans"/>
    </font>
    <font>
      <b/>
      <sz val="14.0"/>
      <color theme="1"/>
      <name val="DM Sans"/>
    </font>
    <font>
      <b/>
      <u/>
      <sz val="14.0"/>
      <color rgb="FF1155CC"/>
      <name val="DM Sans"/>
    </font>
    <font>
      <b/>
      <sz val="18.0"/>
      <color rgb="FF000000"/>
      <name val="DM Sans"/>
    </font>
    <font>
      <b/>
      <sz val="21.0"/>
      <color rgb="FF000000"/>
      <name val="DM Sans"/>
    </font>
    <font>
      <color theme="1"/>
      <name val="Arial"/>
    </font>
    <font>
      <b/>
      <sz val="21.0"/>
      <color theme="1"/>
      <name val="DM Sans"/>
    </font>
    <font>
      <b/>
      <u/>
      <sz val="18.0"/>
      <color rgb="FF000000"/>
      <name val="DM Sans"/>
    </font>
    <font>
      <b/>
      <sz val="18.0"/>
      <color theme="1"/>
      <name val="DM Sans"/>
    </font>
    <font>
      <b/>
      <u/>
      <sz val="18.0"/>
      <color rgb="FF0000FF"/>
      <name val="DM Sans"/>
    </font>
    <font>
      <b/>
      <u/>
      <sz val="18.0"/>
      <color rgb="FF0000FF"/>
      <name val="DM Sans"/>
    </font>
    <font>
      <b/>
      <u/>
      <sz val="18.0"/>
      <color rgb="FF1155CC"/>
      <name val="DM Sans"/>
    </font>
    <font>
      <color rgb="FF000000"/>
      <name val="DM Sans"/>
    </font>
    <font>
      <i/>
      <color theme="1"/>
      <name val="DM Sans"/>
    </font>
    <font>
      <u/>
      <color rgb="FF0000FF"/>
      <name val="DM Sans"/>
    </font>
    <font>
      <u/>
      <color rgb="FF0000FF"/>
      <name val="DM Sans"/>
    </font>
    <font>
      <u/>
      <color rgb="FF0000FF"/>
      <name val="DM Sans"/>
    </font>
    <font>
      <u/>
      <color rgb="FF0000FF"/>
      <name val="DM Sans"/>
    </font>
    <font>
      <u/>
      <color rgb="FF0000FF"/>
      <name val="DM Sans"/>
    </font>
    <font>
      <u/>
      <color rgb="FF000000"/>
      <name val="DM Sans"/>
    </font>
    <font>
      <u/>
      <color rgb="FF000000"/>
      <name val="DM Sans"/>
    </font>
    <font>
      <u/>
      <color rgb="FF000000"/>
      <name val="DM Sans"/>
    </font>
    <font>
      <u/>
      <color rgb="FF000000"/>
      <name val="DM Sans"/>
    </font>
    <font>
      <u/>
      <color rgb="FF000000"/>
      <name val="DM Sans"/>
    </font>
    <font>
      <color theme="1"/>
      <name val="Arial"/>
      <scheme val="minor"/>
    </font>
    <font>
      <i/>
      <color rgb="FF000000"/>
      <name val="DM Sans"/>
    </font>
    <font>
      <b/>
      <sz val="18.0"/>
      <color rgb="FF0000FF"/>
      <name val="DM Sans"/>
    </font>
    <font>
      <b/>
      <u/>
      <sz val="18.0"/>
      <color rgb="FF0000FF"/>
      <name val="DM Sans"/>
    </font>
    <font>
      <b/>
      <u/>
      <sz val="18.0"/>
      <color rgb="FF000000"/>
      <name val="DM Sans"/>
    </font>
    <font>
      <sz val="10.0"/>
      <color theme="1"/>
      <name val="DM Sans"/>
    </font>
    <font>
      <sz val="10.0"/>
      <color rgb="FF000000"/>
      <name val="DM Sans"/>
    </font>
    <font>
      <sz val="10.0"/>
      <color rgb="FF434343"/>
      <name val="DM Sans"/>
    </font>
    <font>
      <u/>
      <color rgb="FF0000FF"/>
      <name val="&quot;DM Sans&quot;"/>
    </font>
    <font>
      <u/>
      <sz val="10.0"/>
      <color rgb="FF0000FF"/>
      <name val="DM Sans"/>
    </font>
    <font>
      <u/>
      <sz val="10.0"/>
      <color rgb="FF0000FF"/>
      <name val="DM Sans"/>
    </font>
    <font>
      <u/>
      <color rgb="FF0000FF"/>
      <name val="DM Sans"/>
    </font>
    <font>
      <u/>
      <color rgb="FF0000FF"/>
      <name val="DM Sans"/>
    </font>
    <font>
      <u/>
      <sz val="10.0"/>
      <color rgb="FF000000"/>
      <name val="DM Sans"/>
    </font>
    <font>
      <u/>
      <color rgb="FF1155CC"/>
      <name val="DM Sans"/>
    </font>
    <font>
      <u/>
      <color rgb="FF0000FF"/>
      <name val="&quot;DM Sans&quot;"/>
    </font>
    <font>
      <sz val="9.0"/>
      <color rgb="FF1F1F1F"/>
      <name val="Google Sans"/>
    </font>
    <font>
      <u/>
      <sz val="10.0"/>
      <color rgb="FF1976D2"/>
      <name val="DM Sans"/>
    </font>
    <font>
      <color rgb="FF000000"/>
      <name val="&quot;DM Sans&quot;"/>
    </font>
    <font>
      <u/>
      <sz val="10.0"/>
      <color rgb="FF0000FF"/>
      <name val="DM Sans"/>
    </font>
    <font>
      <u/>
      <color rgb="FF0000FF"/>
      <name val="&quot;DM Sans&quot;"/>
    </font>
    <font>
      <u/>
      <sz val="9.0"/>
      <color rgb="FF1F1F1F"/>
      <name val="Google Sans"/>
    </font>
    <font>
      <u/>
      <sz val="10.0"/>
      <color rgb="FF000000"/>
      <name val="DM Sans"/>
    </font>
    <font>
      <u/>
      <color rgb="FF0000FF"/>
      <name val="&quot;DM Sans&quot;"/>
    </font>
    <font>
      <u/>
      <color rgb="FF0000FF"/>
      <name val="&quot;DM Sans&quot;"/>
    </font>
    <font>
      <u/>
      <sz val="10.0"/>
      <color rgb="FF0000FF"/>
      <name val="DM Sans"/>
    </font>
    <font>
      <u/>
      <color rgb="FF0000FF"/>
      <name val="&quot;DM Sans&quot;"/>
    </font>
    <font>
      <u/>
      <sz val="9.0"/>
      <color rgb="FF1F1F1F"/>
      <name val="Google Sans"/>
    </font>
    <font>
      <u/>
      <sz val="10.0"/>
      <color rgb="FF0000FF"/>
      <name val="DM Sans"/>
    </font>
    <font>
      <u/>
      <color rgb="FF0000FF"/>
      <name val="DM Sans"/>
    </font>
    <font>
      <u/>
      <color rgb="FF0000FF"/>
      <name val="DM Sans"/>
    </font>
    <font>
      <u/>
      <color rgb="FF000000"/>
      <name val="DM Sans"/>
    </font>
    <font>
      <u/>
      <color rgb="FF0000FF"/>
      <name val="DM Sans"/>
    </font>
    <font>
      <u/>
      <sz val="10.0"/>
      <color rgb="FF0000FF"/>
      <name val="DM Sans"/>
    </font>
    <font>
      <u/>
      <sz val="10.0"/>
      <color rgb="FF0000FF"/>
      <name val="DM Sans"/>
    </font>
    <font>
      <u/>
      <sz val="10.0"/>
      <color rgb="FF0000FF"/>
      <name val="DM Sans"/>
    </font>
    <font>
      <u/>
      <color rgb="FF0000FF"/>
      <name val="&quot;DM Sans&quot;"/>
    </font>
    <font>
      <u/>
      <color rgb="FF0000FF"/>
      <name val="Arial"/>
    </font>
    <font>
      <u/>
      <color rgb="FF0000FF"/>
      <name val="Arial"/>
    </font>
    <font>
      <color rgb="FF434343"/>
      <name val="DM Sans"/>
    </font>
    <font>
      <u/>
      <color rgb="FF1155CC"/>
      <name val="DM Sans"/>
    </font>
    <font>
      <u/>
      <color rgb="FF0000FF"/>
      <name val="Arial"/>
    </font>
    <font>
      <u/>
      <color rgb="FF0000FF"/>
      <name val="DM Sans"/>
    </font>
    <font>
      <u/>
      <color rgb="FF0000FF"/>
      <name val="DM Sans"/>
    </font>
    <font>
      <u/>
      <color rgb="FF1155CC"/>
      <name val="Arial"/>
    </font>
    <font>
      <color rgb="FF000000"/>
      <name val="Arial"/>
    </font>
    <font>
      <u/>
      <color rgb="FF000000"/>
      <name val="Arial"/>
    </font>
    <font>
      <u/>
      <color rgb="FF1155CC"/>
      <name val="DM Sans"/>
    </font>
    <font>
      <u/>
      <color rgb="FF0000FF"/>
      <name val="DM Sans"/>
    </font>
    <font>
      <u/>
      <color rgb="FF1155CC"/>
      <name val="Arial"/>
    </font>
    <font>
      <b/>
      <sz val="10.0"/>
      <color rgb="FFFFFFFF"/>
      <name val="DM Sans"/>
    </font>
    <font>
      <b/>
      <color rgb="FF000000"/>
      <name val="DM Sans"/>
    </font>
    <font>
      <sz val="10.0"/>
      <color theme="1"/>
      <name val="Arial"/>
      <scheme val="minor"/>
    </font>
    <font>
      <sz val="18.0"/>
      <color rgb="FF000000"/>
      <name val="DM Sans"/>
    </font>
    <font>
      <sz val="18.0"/>
      <color theme="1"/>
      <name val="DM Sans"/>
    </font>
    <font>
      <u/>
      <color rgb="FF000000"/>
      <name val="DM Sans"/>
    </font>
    <font>
      <b/>
      <sz val="18.0"/>
      <color rgb="FFFFFFFF"/>
      <name val="DM Sans"/>
    </font>
    <font>
      <sz val="10.0"/>
      <color rgb="FFFFFFFF"/>
      <name val="DM Sans"/>
    </font>
    <font>
      <b/>
      <sz val="10.0"/>
      <color rgb="FF000000"/>
      <name val="DM Sans"/>
    </font>
    <font>
      <i/>
      <color rgb="FF999999"/>
      <name val="Arial"/>
      <scheme val="minor"/>
    </font>
    <font>
      <b/>
      <sz val="10.0"/>
      <color theme="1"/>
      <name val="DM Sans"/>
    </font>
    <font>
      <i/>
      <sz val="10.0"/>
      <color rgb="FF999999"/>
      <name val="DM Sans"/>
    </font>
    <font>
      <b/>
      <u/>
      <sz val="18.0"/>
      <color rgb="FF000000"/>
      <name val="DM Sans"/>
    </font>
    <font>
      <b/>
      <u/>
      <sz val="18.0"/>
      <color rgb="FF000000"/>
      <name val="DM Sans"/>
    </font>
    <font>
      <b/>
      <u/>
      <sz val="18.0"/>
      <color rgb="FF000000"/>
      <name val="DM Sans"/>
    </font>
    <font>
      <b/>
      <u/>
      <sz val="18.0"/>
      <color rgb="FF000000"/>
      <name val="DM Sans"/>
    </font>
    <font>
      <b/>
      <u/>
      <sz val="18.0"/>
      <color rgb="FF000000"/>
      <name val="DM Sans"/>
    </font>
    <font>
      <u/>
      <sz val="10.0"/>
      <color rgb="FF1155CC"/>
      <name val="DM Sans"/>
    </font>
    <font>
      <u/>
      <sz val="10.0"/>
      <color rgb="FF1155CC"/>
      <name val="DM Sans"/>
    </font>
    <font>
      <u/>
      <sz val="10.0"/>
      <color rgb="FF000000"/>
      <name val="DM Sans"/>
    </font>
    <font>
      <u/>
      <sz val="9.0"/>
      <color rgb="FF1F1F1F"/>
      <name val="Google Sans"/>
    </font>
    <font>
      <u/>
      <sz val="9.0"/>
      <color rgb="FF1F1F1F"/>
      <name val="Google Sans"/>
    </font>
    <font>
      <u/>
      <sz val="10.0"/>
      <color rgb="FF1976D2"/>
      <name val="DM Sans"/>
    </font>
    <font>
      <b/>
      <sz val="36.0"/>
      <color theme="1"/>
      <name val="DM Sans"/>
    </font>
    <font>
      <b/>
      <sz val="12.0"/>
      <color theme="1"/>
      <name val="DM Sans"/>
    </font>
    <font>
      <u/>
      <sz val="11.0"/>
      <color rgb="FF1155CC"/>
      <name val="DM Sans"/>
    </font>
    <font>
      <u/>
      <sz val="11.0"/>
      <color rgb="FF1155CC"/>
      <name val="DM Sans"/>
    </font>
    <font>
      <sz val="11.0"/>
      <color theme="1"/>
      <name val="DM Sans"/>
    </font>
    <font>
      <u/>
      <sz val="11.0"/>
      <color rgb="FF0000FF"/>
      <name val="DM Sans"/>
    </font>
    <font>
      <u/>
      <sz val="11.0"/>
      <color rgb="FF1155CC"/>
      <name val="DM Sans"/>
    </font>
    <font>
      <u/>
      <sz val="11.0"/>
      <color rgb="FF1155CC"/>
      <name val="DM Sans"/>
    </font>
    <font>
      <sz val="11.0"/>
      <color rgb="FF000000"/>
      <name val="DM Sans"/>
    </font>
    <font>
      <u/>
      <sz val="11.0"/>
      <color rgb="FF1155CC"/>
      <name val="DM Sans"/>
    </font>
    <font>
      <u/>
      <sz val="11.0"/>
      <color rgb="FF1155CC"/>
      <name val="DM Sans"/>
    </font>
    <font>
      <u/>
      <sz val="11.0"/>
      <color rgb="FF1155CC"/>
      <name val="DM Sans"/>
    </font>
    <font>
      <u/>
      <sz val="11.0"/>
      <color rgb="FF1155CC"/>
      <name val="DM Sans"/>
    </font>
    <font>
      <u/>
      <sz val="11.0"/>
      <color rgb="FF1155CC"/>
      <name val="DM Sans"/>
    </font>
    <font>
      <u/>
      <sz val="11.0"/>
      <color rgb="FF1155CC"/>
      <name val="DM Sans"/>
    </font>
    <font>
      <u/>
      <sz val="11.0"/>
      <color rgb="FF1155CC"/>
      <name val="DM Sans"/>
    </font>
    <font>
      <u/>
      <sz val="11.0"/>
      <color rgb="FF1155CC"/>
      <name val="DM Sans"/>
    </font>
    <font>
      <sz val="11.0"/>
      <color rgb="FF222222"/>
      <name val="DM Sans"/>
    </font>
    <font>
      <u/>
      <sz val="11.0"/>
      <color rgb="FF1155CC"/>
      <name val="DM Sans"/>
    </font>
    <font>
      <u/>
      <sz val="11.0"/>
      <color rgb="FF1155CC"/>
      <name val="DM Sans"/>
    </font>
    <font>
      <u/>
      <sz val="11.0"/>
      <color rgb="FF0000FF"/>
      <name val="DM Sans"/>
    </font>
    <font>
      <u/>
      <sz val="11.0"/>
      <color rgb="FF1155CC"/>
      <name val="DM Sans"/>
    </font>
    <font>
      <u/>
      <sz val="11.0"/>
      <color rgb="FF1155CC"/>
      <name val="DM Sans"/>
    </font>
    <font>
      <b/>
      <color theme="1"/>
      <name val="Arial"/>
    </font>
    <font>
      <u/>
      <sz val="11.0"/>
      <color rgb="FF1155CC"/>
      <name val="DM Sans"/>
    </font>
    <font>
      <u/>
      <sz val="11.0"/>
      <color rgb="FF0000FF"/>
      <name val="DM Sans"/>
    </font>
  </fonts>
  <fills count="19">
    <fill>
      <patternFill patternType="none"/>
    </fill>
    <fill>
      <patternFill patternType="lightGray"/>
    </fill>
    <fill>
      <patternFill patternType="solid">
        <fgColor rgb="FFFFD966"/>
        <bgColor rgb="FFFFD966"/>
      </patternFill>
    </fill>
    <fill>
      <patternFill patternType="solid">
        <fgColor rgb="FFFFE599"/>
        <bgColor rgb="FFFFE599"/>
      </patternFill>
    </fill>
    <fill>
      <patternFill patternType="solid">
        <fgColor rgb="FFFFFEF4"/>
        <bgColor rgb="FFFFFEF4"/>
      </patternFill>
    </fill>
    <fill>
      <patternFill patternType="solid">
        <fgColor rgb="FFE0F2FA"/>
        <bgColor rgb="FFE0F2FA"/>
      </patternFill>
    </fill>
    <fill>
      <patternFill patternType="solid">
        <fgColor rgb="FFE3F2DB"/>
        <bgColor rgb="FFE3F2DB"/>
      </patternFill>
    </fill>
    <fill>
      <patternFill patternType="solid">
        <fgColor rgb="FFFFC07B"/>
        <bgColor rgb="FFFFC07B"/>
      </patternFill>
    </fill>
    <fill>
      <patternFill patternType="solid">
        <fgColor rgb="FFDCE0E2"/>
        <bgColor rgb="FFDCE0E2"/>
      </patternFill>
    </fill>
    <fill>
      <patternFill patternType="solid">
        <fgColor rgb="FFF6FCFF"/>
        <bgColor rgb="FFF6FCFF"/>
      </patternFill>
    </fill>
    <fill>
      <patternFill patternType="solid">
        <fgColor rgb="FFF5FAF3"/>
        <bgColor rgb="FFF5FAF3"/>
      </patternFill>
    </fill>
    <fill>
      <patternFill patternType="solid">
        <fgColor rgb="FFFCF4EB"/>
        <bgColor rgb="FFFCF4EB"/>
      </patternFill>
    </fill>
    <fill>
      <patternFill patternType="solid">
        <fgColor rgb="FFF3F3F3"/>
        <bgColor rgb="FFF3F3F3"/>
      </patternFill>
    </fill>
    <fill>
      <patternFill patternType="solid">
        <fgColor rgb="FFFFFFFF"/>
        <bgColor rgb="FFFFFFFF"/>
      </patternFill>
    </fill>
    <fill>
      <patternFill patternType="solid">
        <fgColor rgb="FFFCE5CD"/>
        <bgColor rgb="FFFCE5CD"/>
      </patternFill>
    </fill>
    <fill>
      <patternFill patternType="solid">
        <fgColor rgb="FFFFF7F4"/>
        <bgColor rgb="FFFFF7F4"/>
      </patternFill>
    </fill>
    <fill>
      <patternFill patternType="solid">
        <fgColor rgb="FFFCFBF0"/>
        <bgColor rgb="FFFCFBF0"/>
      </patternFill>
    </fill>
    <fill>
      <patternFill patternType="solid">
        <fgColor rgb="FFC9DAF8"/>
        <bgColor rgb="FFC9DAF8"/>
      </patternFill>
    </fill>
    <fill>
      <patternFill patternType="solid">
        <fgColor theme="9"/>
        <bgColor theme="9"/>
      </patternFill>
    </fill>
  </fills>
  <borders count="35">
    <border/>
    <border>
      <right style="hair">
        <color rgb="FF4A86E8"/>
      </right>
    </border>
    <border>
      <left style="thin">
        <color rgb="FFD9D9D9"/>
      </left>
      <right style="thin">
        <color rgb="FFD9D9D9"/>
      </right>
      <top style="thin">
        <color rgb="FFD9D9D9"/>
      </top>
    </border>
    <border>
      <left style="thin">
        <color rgb="FFD9D9D9"/>
      </left>
      <top style="thin">
        <color rgb="FFD9D9D9"/>
      </top>
    </border>
    <border>
      <left style="thin">
        <color rgb="FFEFEFEF"/>
      </left>
      <right style="thin">
        <color rgb="FFEFEFEF"/>
      </right>
      <top style="thin">
        <color rgb="FFEFEFEF"/>
      </top>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D9D9D9"/>
      </left>
      <right style="thin">
        <color rgb="FFD9D9D9"/>
      </right>
      <bottom style="thin">
        <color rgb="FFD9D9D9"/>
      </bottom>
    </border>
    <border>
      <left style="thin">
        <color rgb="FFD9D9D9"/>
      </left>
      <bottom style="thin">
        <color rgb="FFD9D9D9"/>
      </bottom>
    </border>
    <border>
      <left style="thin">
        <color rgb="FFEFEFEF"/>
      </left>
      <right style="thin">
        <color rgb="FFEFEFEF"/>
      </right>
      <bottom style="thin">
        <color rgb="FFEFEFEF"/>
      </bottom>
    </border>
    <border>
      <right style="thin">
        <color rgb="FFFFFFFF"/>
      </right>
      <top style="thin">
        <color rgb="FFFFFFFF"/>
      </top>
    </border>
    <border>
      <left style="thin">
        <color rgb="FFFFFFFF"/>
      </left>
      <right style="thin">
        <color rgb="FFFFFFFF"/>
      </right>
      <top style="thin">
        <color rgb="FFFFFFFF"/>
      </top>
    </border>
    <border>
      <left style="thin">
        <color rgb="FFFFFFFF"/>
      </left>
      <right style="thin">
        <color rgb="FFFFFFFF"/>
      </right>
      <top style="thin">
        <color rgb="FFFFFFFF"/>
      </top>
      <bottom/>
    </border>
    <border>
      <left style="thin">
        <color rgb="FFFFFFFF"/>
      </left>
      <top style="thin">
        <color rgb="FFFFFFFF"/>
      </top>
    </border>
    <border>
      <left style="thin">
        <color rgb="FFEFEFEF"/>
      </left>
      <right style="thin">
        <color rgb="FFEFEFEF"/>
      </right>
      <top style="thin">
        <color rgb="FFEFEFEF"/>
      </top>
      <bottom style="thin">
        <color rgb="FFEFEFEF"/>
      </bottom>
    </border>
    <border>
      <left style="hair">
        <color rgb="FFD9D9D9"/>
      </left>
      <right style="hair">
        <color rgb="FFD9D9D9"/>
      </right>
      <top style="hair">
        <color rgb="FFD9D9D9"/>
      </top>
      <bottom style="hair">
        <color rgb="FFD9D9D9"/>
      </bottom>
    </border>
    <border>
      <left style="hair">
        <color rgb="FFD9D9D9"/>
      </left>
      <right style="hair">
        <color rgb="FFD9D9D9"/>
      </right>
      <bottom style="hair">
        <color rgb="FFD9D9D9"/>
      </bottom>
    </border>
    <border>
      <left style="hair">
        <color rgb="FFD9D9D9"/>
      </left>
      <bottom style="hair">
        <color rgb="FFD9D9D9"/>
      </bottom>
    </border>
    <border>
      <right style="hair">
        <color rgb="FFD9D9D9"/>
      </right>
      <bottom style="hair">
        <color rgb="FFD9D9D9"/>
      </bottom>
    </border>
    <border>
      <left style="hair">
        <color rgb="FFD9D9D9"/>
      </left>
      <top style="hair">
        <color rgb="FFD9D9D9"/>
      </top>
      <bottom style="hair">
        <color rgb="FFD9D9D9"/>
      </bottom>
    </border>
    <border>
      <right style="hair">
        <color rgb="FFD9D9D9"/>
      </right>
      <top style="hair">
        <color rgb="FFD9D9D9"/>
      </top>
      <bottom style="hair">
        <color rgb="FFD9D9D9"/>
      </bottom>
    </border>
    <border>
      <left/>
      <right/>
      <top/>
      <bottom/>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hair">
        <color rgb="FFD9D9D9"/>
      </top>
      <bottom style="hair">
        <color rgb="FFD9D9D9"/>
      </bottom>
    </border>
    <border>
      <top style="thin">
        <color rgb="FFD9D9D9"/>
      </top>
      <bottom style="thin">
        <color rgb="FFD9D9D9"/>
      </bottom>
    </border>
    <border>
      <left style="thin">
        <color rgb="FFEFEFEF"/>
      </left>
      <right style="thin">
        <color rgb="FFEFEFEF"/>
      </right>
      <top style="thin">
        <color rgb="FFEFEFEF"/>
      </top>
      <bottom style="thin">
        <color rgb="FF073763"/>
      </bottom>
    </border>
    <border>
      <right style="thin">
        <color rgb="FFEFEFEF"/>
      </right>
    </border>
  </borders>
  <cellStyleXfs count="1">
    <xf borderId="0" fillId="0" fontId="0" numFmtId="0" applyAlignment="1" applyFont="1"/>
  </cellStyleXfs>
  <cellXfs count="41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horizontal="left" readingOrder="0" vertical="center"/>
    </xf>
    <xf borderId="0" fillId="0" fontId="6" numFmtId="0" xfId="0" applyAlignment="1" applyFont="1">
      <alignment horizontal="left" readingOrder="0" vertical="top"/>
    </xf>
    <xf borderId="0" fillId="0" fontId="7" numFmtId="0" xfId="0" applyAlignment="1" applyFont="1">
      <alignment horizontal="left" readingOrder="0" vertical="top"/>
    </xf>
    <xf borderId="0" fillId="0" fontId="1" numFmtId="0" xfId="0" applyAlignment="1" applyFont="1">
      <alignment readingOrder="0" shrinkToFit="0" vertical="top" wrapText="1"/>
    </xf>
    <xf borderId="0" fillId="0" fontId="1" numFmtId="0" xfId="0" applyAlignment="1" applyFont="1">
      <alignment readingOrder="0" vertical="top"/>
    </xf>
    <xf borderId="0" fillId="0" fontId="1" numFmtId="0" xfId="0" applyAlignment="1" applyFont="1">
      <alignment readingOrder="0" vertical="top"/>
    </xf>
    <xf borderId="0" fillId="0" fontId="1" numFmtId="0" xfId="0" applyAlignment="1" applyFont="1">
      <alignment vertical="top"/>
    </xf>
    <xf borderId="0" fillId="0" fontId="8" numFmtId="0" xfId="0" applyAlignment="1" applyFont="1">
      <alignment readingOrder="0" vertical="top"/>
    </xf>
    <xf borderId="1" fillId="0" fontId="9" numFmtId="0" xfId="0" applyBorder="1" applyFont="1"/>
    <xf borderId="0" fillId="0" fontId="10" numFmtId="0" xfId="0" applyAlignment="1" applyFont="1">
      <alignment shrinkToFit="0" vertical="top" wrapText="1"/>
    </xf>
    <xf borderId="0" fillId="0" fontId="11" numFmtId="0" xfId="0" applyAlignment="1" applyFont="1">
      <alignment readingOrder="0" shrinkToFit="0" vertical="top" wrapText="1"/>
    </xf>
    <xf borderId="0" fillId="0" fontId="12" numFmtId="0" xfId="0" applyAlignment="1" applyFont="1">
      <alignment readingOrder="0" shrinkToFit="0" vertical="top" wrapText="1"/>
    </xf>
    <xf borderId="0" fillId="0" fontId="11" numFmtId="0" xfId="0" applyAlignment="1" applyFont="1">
      <alignment readingOrder="0" shrinkToFit="0" vertical="top" wrapText="1"/>
    </xf>
    <xf borderId="0" fillId="2" fontId="13" numFmtId="0" xfId="0" applyAlignment="1" applyFill="1" applyFont="1">
      <alignment readingOrder="0" vertical="center"/>
    </xf>
    <xf borderId="0" fillId="2" fontId="14" numFmtId="0" xfId="0" applyAlignment="1" applyFont="1">
      <alignment readingOrder="0" vertical="center"/>
    </xf>
    <xf borderId="0" fillId="3" fontId="15" numFmtId="0" xfId="0" applyAlignment="1" applyFill="1" applyFont="1">
      <alignment readingOrder="0"/>
    </xf>
    <xf borderId="0" fillId="3" fontId="16" numFmtId="0" xfId="0" applyAlignment="1" applyFont="1">
      <alignment readingOrder="0" vertical="top"/>
    </xf>
    <xf borderId="0" fillId="3" fontId="15" numFmtId="0" xfId="0" applyAlignment="1" applyFont="1">
      <alignment readingOrder="0"/>
    </xf>
    <xf borderId="0" fillId="4" fontId="1" numFmtId="0" xfId="0" applyFill="1" applyFont="1"/>
    <xf borderId="0" fillId="4" fontId="17" numFmtId="0" xfId="0" applyAlignment="1" applyFont="1">
      <alignment readingOrder="0"/>
    </xf>
    <xf borderId="1" fillId="4" fontId="1" numFmtId="0" xfId="0" applyAlignment="1" applyBorder="1" applyFont="1">
      <alignment readingOrder="0" vertical="top"/>
    </xf>
    <xf borderId="0" fillId="4" fontId="1" numFmtId="0" xfId="0" applyAlignment="1" applyFont="1">
      <alignment readingOrder="0" vertical="top"/>
    </xf>
    <xf borderId="0" fillId="4" fontId="18" numFmtId="0" xfId="0" applyFont="1"/>
    <xf borderId="0" fillId="4" fontId="1" numFmtId="0" xfId="0" applyFont="1"/>
    <xf borderId="1" fillId="4" fontId="1" numFmtId="0" xfId="0" applyAlignment="1" applyBorder="1" applyFont="1">
      <alignment readingOrder="0"/>
    </xf>
    <xf borderId="1" fillId="4" fontId="1" numFmtId="0" xfId="0" applyBorder="1" applyFont="1"/>
    <xf borderId="0" fillId="3" fontId="1" numFmtId="0" xfId="0" applyFont="1"/>
    <xf borderId="0" fillId="4" fontId="19" numFmtId="0" xfId="0" applyAlignment="1" applyFont="1">
      <alignment vertical="bottom"/>
    </xf>
    <xf borderId="1" fillId="4" fontId="1" numFmtId="0" xfId="0" applyAlignment="1" applyBorder="1" applyFont="1">
      <alignment readingOrder="0" shrinkToFit="0" wrapText="1"/>
    </xf>
    <xf borderId="0" fillId="0" fontId="1" numFmtId="0" xfId="0" applyFont="1"/>
    <xf borderId="0" fillId="4" fontId="18" numFmtId="0" xfId="0" applyAlignment="1" applyFont="1">
      <alignment readingOrder="0"/>
    </xf>
    <xf borderId="2" fillId="0" fontId="20" numFmtId="0" xfId="0" applyAlignment="1" applyBorder="1" applyFont="1">
      <alignment horizontal="left" readingOrder="0" shrinkToFit="0" vertical="center" wrapText="1"/>
    </xf>
    <xf borderId="3" fillId="0" fontId="20" numFmtId="0" xfId="0" applyAlignment="1" applyBorder="1" applyFont="1">
      <alignment horizontal="left" readingOrder="0" shrinkToFit="0" vertical="center" wrapText="1"/>
    </xf>
    <xf borderId="4" fillId="0" fontId="20" numFmtId="0" xfId="0" applyAlignment="1" applyBorder="1" applyFont="1">
      <alignment horizontal="left" readingOrder="0" shrinkToFit="0" vertical="center" wrapText="1"/>
    </xf>
    <xf borderId="5" fillId="5" fontId="21" numFmtId="0" xfId="0" applyAlignment="1" applyBorder="1" applyFill="1" applyFont="1">
      <alignment horizontal="center" readingOrder="0" shrinkToFit="0" vertical="center" wrapText="1"/>
    </xf>
    <xf borderId="5" fillId="0" fontId="9" numFmtId="0" xfId="0" applyBorder="1" applyFont="1"/>
    <xf borderId="6" fillId="0" fontId="9" numFmtId="0" xfId="0" applyBorder="1" applyFont="1"/>
    <xf borderId="6" fillId="5" fontId="22" numFmtId="0" xfId="0" applyBorder="1" applyFont="1"/>
    <xf borderId="7" fillId="6" fontId="21" numFmtId="0" xfId="0" applyAlignment="1" applyBorder="1" applyFill="1" applyFont="1">
      <alignment horizontal="center" readingOrder="0" shrinkToFit="0" vertical="center" wrapText="1"/>
    </xf>
    <xf borderId="8" fillId="7" fontId="23" numFmtId="0" xfId="0" applyAlignment="1" applyBorder="1" applyFill="1" applyFont="1">
      <alignment horizontal="center" readingOrder="0" shrinkToFit="0" vertical="center" wrapText="1"/>
    </xf>
    <xf borderId="7" fillId="8" fontId="21" numFmtId="0" xfId="0" applyAlignment="1" applyBorder="1" applyFill="1" applyFont="1">
      <alignment horizontal="center" readingOrder="0" shrinkToFit="0" vertical="center" wrapText="1"/>
    </xf>
    <xf borderId="0" fillId="8" fontId="24" numFmtId="0" xfId="0" applyAlignment="1" applyFont="1">
      <alignment horizontal="left" readingOrder="0" shrinkToFit="0" vertical="center" wrapText="1"/>
    </xf>
    <xf borderId="0" fillId="8" fontId="22" numFmtId="0" xfId="0" applyFont="1"/>
    <xf borderId="9" fillId="0" fontId="9" numFmtId="0" xfId="0" applyBorder="1" applyFont="1"/>
    <xf borderId="10" fillId="0" fontId="9" numFmtId="0" xfId="0" applyBorder="1" applyFont="1"/>
    <xf borderId="11" fillId="0" fontId="9" numFmtId="0" xfId="0" applyBorder="1" applyFont="1"/>
    <xf borderId="12" fillId="5" fontId="20" numFmtId="0" xfId="0" applyAlignment="1" applyBorder="1" applyFont="1">
      <alignment horizontal="left" readingOrder="0" shrinkToFit="0" vertical="center" wrapText="1"/>
    </xf>
    <xf borderId="13" fillId="5" fontId="20" numFmtId="0" xfId="0" applyAlignment="1" applyBorder="1" applyFont="1">
      <alignment horizontal="left" readingOrder="0" shrinkToFit="0" vertical="center" wrapText="1"/>
    </xf>
    <xf borderId="14" fillId="5" fontId="25" numFmtId="0" xfId="0" applyAlignment="1" applyBorder="1" applyFont="1">
      <alignment shrinkToFit="0" wrapText="1"/>
    </xf>
    <xf borderId="13" fillId="6" fontId="20" numFmtId="0" xfId="0" applyAlignment="1" applyBorder="1" applyFont="1">
      <alignment horizontal="left" readingOrder="0" shrinkToFit="0" vertical="center" wrapText="1"/>
    </xf>
    <xf borderId="13" fillId="7" fontId="25" numFmtId="0" xfId="0" applyAlignment="1" applyBorder="1" applyFont="1">
      <alignment horizontal="left" readingOrder="0" shrinkToFit="0" vertical="center" wrapText="1"/>
    </xf>
    <xf borderId="13" fillId="8" fontId="20" numFmtId="0" xfId="0" applyAlignment="1" applyBorder="1" applyFont="1">
      <alignment horizontal="left" readingOrder="0" shrinkToFit="0" vertical="center" wrapText="1"/>
    </xf>
    <xf borderId="13" fillId="8" fontId="26" numFmtId="0" xfId="0" applyAlignment="1" applyBorder="1" applyFont="1">
      <alignment horizontal="left" readingOrder="0" shrinkToFit="0" vertical="center" wrapText="1"/>
    </xf>
    <xf borderId="15" fillId="8" fontId="20" numFmtId="0" xfId="0" applyAlignment="1" applyBorder="1" applyFont="1">
      <alignment horizontal="left" readingOrder="0" shrinkToFit="0" vertical="center" wrapText="1"/>
    </xf>
    <xf borderId="16" fillId="8" fontId="27" numFmtId="0" xfId="0" applyAlignment="1" applyBorder="1" applyFont="1">
      <alignment horizontal="left" readingOrder="0" shrinkToFit="0" vertical="center" wrapText="1"/>
    </xf>
    <xf borderId="16" fillId="8" fontId="20" numFmtId="0" xfId="0" applyAlignment="1" applyBorder="1" applyFont="1">
      <alignment horizontal="left" readingOrder="0" shrinkToFit="0" vertical="center" wrapText="1"/>
    </xf>
    <xf borderId="0" fillId="8" fontId="28" numFmtId="0" xfId="0" applyAlignment="1" applyFont="1">
      <alignment shrinkToFit="0" vertical="bottom" wrapText="1"/>
    </xf>
    <xf borderId="17" fillId="0" fontId="29" numFmtId="0" xfId="0" applyAlignment="1" applyBorder="1" applyFont="1">
      <alignment horizontal="left" readingOrder="0" shrinkToFit="0" vertical="top" wrapText="1"/>
    </xf>
    <xf borderId="17" fillId="0" fontId="29" numFmtId="0" xfId="0" applyAlignment="1" applyBorder="1" applyFont="1">
      <alignment horizontal="left" readingOrder="0" shrinkToFit="0" vertical="top" wrapText="1"/>
    </xf>
    <xf borderId="17" fillId="0" fontId="30" numFmtId="0" xfId="0" applyAlignment="1" applyBorder="1" applyFont="1">
      <alignment horizontal="left" readingOrder="0" shrinkToFit="0" vertical="top" wrapText="1"/>
    </xf>
    <xf borderId="18" fillId="0" fontId="1" numFmtId="0" xfId="0" applyAlignment="1" applyBorder="1" applyFont="1">
      <alignment horizontal="left" readingOrder="0" shrinkToFit="0" vertical="top" wrapText="1"/>
    </xf>
    <xf borderId="17" fillId="9" fontId="1" numFmtId="0" xfId="0" applyAlignment="1" applyBorder="1" applyFill="1" applyFont="1">
      <alignment horizontal="left" readingOrder="0" shrinkToFit="0" vertical="top" wrapText="1"/>
    </xf>
    <xf borderId="17" fillId="9" fontId="1" numFmtId="0" xfId="0" applyAlignment="1" applyBorder="1" applyFont="1">
      <alignment shrinkToFit="0" vertical="top" wrapText="1"/>
    </xf>
    <xf borderId="17" fillId="10" fontId="1" numFmtId="0" xfId="0" applyAlignment="1" applyBorder="1" applyFill="1" applyFont="1">
      <alignment shrinkToFit="0" vertical="top" wrapText="1"/>
    </xf>
    <xf borderId="17" fillId="11" fontId="1" numFmtId="0" xfId="0" applyAlignment="1" applyBorder="1" applyFill="1" applyFont="1">
      <alignment horizontal="left" readingOrder="0" vertical="top"/>
    </xf>
    <xf borderId="17" fillId="12" fontId="31" numFmtId="0" xfId="0" applyAlignment="1" applyBorder="1" applyFill="1" applyFont="1">
      <alignment horizontal="left" readingOrder="0" shrinkToFit="0" vertical="top" wrapText="1"/>
    </xf>
    <xf borderId="19" fillId="12" fontId="32" numFmtId="0" xfId="0" applyAlignment="1" applyBorder="1" applyFont="1">
      <alignment horizontal="left" readingOrder="0" shrinkToFit="0" vertical="top" wrapText="1"/>
    </xf>
    <xf borderId="17" fillId="12" fontId="33" numFmtId="0" xfId="0" applyAlignment="1" applyBorder="1" applyFont="1">
      <alignment horizontal="left" readingOrder="0" vertical="top"/>
    </xf>
    <xf borderId="17" fillId="12" fontId="22" numFmtId="0" xfId="0" applyAlignment="1" applyBorder="1" applyFont="1">
      <alignment vertical="top"/>
    </xf>
    <xf borderId="17" fillId="12" fontId="1" numFmtId="0" xfId="0" applyAlignment="1" applyBorder="1" applyFont="1">
      <alignment horizontal="left" readingOrder="0" shrinkToFit="0" vertical="top" wrapText="1"/>
    </xf>
    <xf borderId="17" fillId="12" fontId="1" numFmtId="0" xfId="0" applyAlignment="1" applyBorder="1" applyFont="1">
      <alignment horizontal="left" shrinkToFit="0" vertical="top" wrapText="1"/>
    </xf>
    <xf borderId="19" fillId="12" fontId="1" numFmtId="0" xfId="0" applyAlignment="1" applyBorder="1" applyFont="1">
      <alignment horizontal="left" readingOrder="0" shrinkToFit="0" vertical="top" wrapText="1"/>
    </xf>
    <xf borderId="16" fillId="12" fontId="22" numFmtId="0" xfId="0" applyAlignment="1" applyBorder="1" applyFont="1">
      <alignment shrinkToFit="0" vertical="bottom" wrapText="1"/>
    </xf>
    <xf borderId="20" fillId="12" fontId="1" numFmtId="0" xfId="0" applyAlignment="1" applyBorder="1" applyFont="1">
      <alignment horizontal="left" readingOrder="0" vertical="top"/>
    </xf>
    <xf borderId="18" fillId="12" fontId="1" numFmtId="0" xfId="0" applyAlignment="1" applyBorder="1" applyFont="1">
      <alignment horizontal="left" readingOrder="0" vertical="top"/>
    </xf>
    <xf borderId="18" fillId="12" fontId="1" numFmtId="0" xfId="0" applyAlignment="1" applyBorder="1" applyFont="1">
      <alignment horizontal="left" readingOrder="0" shrinkToFit="0" vertical="top" wrapText="1"/>
    </xf>
    <xf borderId="0" fillId="12" fontId="22" numFmtId="0" xfId="0" applyAlignment="1" applyFont="1">
      <alignment vertical="top"/>
    </xf>
    <xf borderId="17" fillId="0" fontId="30" numFmtId="0" xfId="0" applyAlignment="1" applyBorder="1" applyFont="1">
      <alignment horizontal="left" readingOrder="0" shrinkToFit="0" vertical="top" wrapText="1"/>
    </xf>
    <xf borderId="17" fillId="0" fontId="1" numFmtId="0" xfId="0" applyAlignment="1" applyBorder="1" applyFont="1">
      <alignment horizontal="left" readingOrder="0" shrinkToFit="0" vertical="top" wrapText="1"/>
    </xf>
    <xf borderId="21" fillId="12" fontId="1" numFmtId="0" xfId="0" applyAlignment="1" applyBorder="1" applyFont="1">
      <alignment horizontal="left" readingOrder="0" shrinkToFit="0" vertical="top" wrapText="1"/>
    </xf>
    <xf borderId="22" fillId="12" fontId="1" numFmtId="0" xfId="0" applyAlignment="1" applyBorder="1" applyFont="1">
      <alignment horizontal="left" readingOrder="0" vertical="top"/>
    </xf>
    <xf borderId="17" fillId="12" fontId="1" numFmtId="0" xfId="0" applyAlignment="1" applyBorder="1" applyFont="1">
      <alignment horizontal="left" readingOrder="0" vertical="top"/>
    </xf>
    <xf borderId="17" fillId="9" fontId="1" numFmtId="0" xfId="0" applyAlignment="1" applyBorder="1" applyFont="1">
      <alignment horizontal="left" readingOrder="0" shrinkToFit="0" vertical="top" wrapText="1"/>
    </xf>
    <xf borderId="17" fillId="0" fontId="30" numFmtId="0" xfId="0" applyAlignment="1" applyBorder="1" applyFont="1">
      <alignment horizontal="left" readingOrder="0" shrinkToFit="0" vertical="top" wrapText="1"/>
    </xf>
    <xf borderId="16" fillId="12" fontId="22" numFmtId="0" xfId="0" applyAlignment="1" applyBorder="1" applyFont="1">
      <alignment shrinkToFit="0" vertical="bottom" wrapText="1"/>
    </xf>
    <xf borderId="17" fillId="10" fontId="1" numFmtId="0" xfId="0" applyAlignment="1" applyBorder="1" applyFont="1">
      <alignment shrinkToFit="0" vertical="top" wrapText="1"/>
    </xf>
    <xf borderId="21" fillId="12" fontId="1" numFmtId="0" xfId="0" applyAlignment="1" applyBorder="1" applyFont="1">
      <alignment horizontal="left" readingOrder="0" vertical="top"/>
    </xf>
    <xf borderId="17" fillId="12" fontId="29" numFmtId="0" xfId="0" applyAlignment="1" applyBorder="1" applyFont="1">
      <alignment horizontal="left" readingOrder="0" shrinkToFit="0" vertical="top" wrapText="1"/>
    </xf>
    <xf borderId="17" fillId="13" fontId="29" numFmtId="0" xfId="0" applyAlignment="1" applyBorder="1" applyFill="1" applyFont="1">
      <alignment horizontal="left" readingOrder="0" shrinkToFit="0" vertical="top" wrapText="1"/>
    </xf>
    <xf borderId="16" fillId="12" fontId="22" numFmtId="0" xfId="0" applyAlignment="1" applyBorder="1" applyFont="1">
      <alignment readingOrder="0" shrinkToFit="0" vertical="bottom" wrapText="1"/>
    </xf>
    <xf borderId="17" fillId="0" fontId="34" numFmtId="0" xfId="0" applyAlignment="1" applyBorder="1" applyFont="1">
      <alignment horizontal="left" readingOrder="0" shrinkToFit="0" vertical="top" wrapText="1"/>
    </xf>
    <xf borderId="17" fillId="0" fontId="1" numFmtId="0" xfId="0" applyAlignment="1" applyBorder="1" applyFont="1">
      <alignment horizontal="left" readingOrder="0" shrinkToFit="0" vertical="top" wrapText="1"/>
    </xf>
    <xf borderId="17" fillId="0" fontId="1" numFmtId="0" xfId="0" applyAlignment="1" applyBorder="1" applyFont="1">
      <alignment horizontal="left" readingOrder="0" shrinkToFit="0" vertical="top" wrapText="1"/>
    </xf>
    <xf borderId="17" fillId="12" fontId="1" numFmtId="0" xfId="0" applyAlignment="1" applyBorder="1" applyFont="1">
      <alignment horizontal="left" vertical="top"/>
    </xf>
    <xf borderId="17" fillId="12" fontId="22" numFmtId="0" xfId="0" applyAlignment="1" applyBorder="1" applyFont="1">
      <alignment vertical="top"/>
    </xf>
    <xf borderId="17" fillId="0" fontId="35" numFmtId="0" xfId="0" applyAlignment="1" applyBorder="1" applyFont="1">
      <alignment horizontal="left" readingOrder="0" shrinkToFit="0" vertical="top" wrapText="1"/>
    </xf>
    <xf borderId="17" fillId="0" fontId="29" numFmtId="0" xfId="0" applyAlignment="1" applyBorder="1" applyFont="1">
      <alignment horizontal="left" readingOrder="0" vertical="top"/>
    </xf>
    <xf borderId="17" fillId="0" fontId="36" numFmtId="0" xfId="0" applyAlignment="1" applyBorder="1" applyFont="1">
      <alignment horizontal="left" readingOrder="0" shrinkToFit="0" vertical="top" wrapText="1"/>
    </xf>
    <xf borderId="17" fillId="9" fontId="29" numFmtId="0" xfId="0" applyAlignment="1" applyBorder="1" applyFont="1">
      <alignment horizontal="left" readingOrder="0" shrinkToFit="0" vertical="top" wrapText="1"/>
    </xf>
    <xf borderId="17" fillId="0" fontId="37" numFmtId="0" xfId="0" applyAlignment="1" applyBorder="1" applyFont="1">
      <alignment horizontal="left" readingOrder="0" vertical="top"/>
    </xf>
    <xf borderId="17" fillId="9" fontId="38" numFmtId="0" xfId="0" applyAlignment="1" applyBorder="1" applyFont="1">
      <alignment horizontal="left" readingOrder="0" shrinkToFit="0" vertical="top" wrapText="1"/>
    </xf>
    <xf borderId="17" fillId="0" fontId="39" numFmtId="0" xfId="0" applyAlignment="1" applyBorder="1" applyFont="1">
      <alignment horizontal="left" readingOrder="0" vertical="top"/>
    </xf>
    <xf borderId="21" fillId="12" fontId="1" numFmtId="0" xfId="0" applyAlignment="1" applyBorder="1" applyFont="1">
      <alignment horizontal="left" shrinkToFit="0" vertical="top" wrapText="1"/>
    </xf>
    <xf borderId="17" fillId="12" fontId="40" numFmtId="0" xfId="0" applyAlignment="1" applyBorder="1" applyFont="1">
      <alignment horizontal="left" readingOrder="0" shrinkToFit="0" vertical="top" wrapText="1"/>
    </xf>
    <xf borderId="17" fillId="12" fontId="1" numFmtId="0" xfId="0" applyAlignment="1" applyBorder="1" applyFont="1">
      <alignment horizontal="left" readingOrder="0" shrinkToFit="0" vertical="top" wrapText="1"/>
    </xf>
    <xf borderId="0" fillId="12" fontId="41" numFmtId="0" xfId="0" applyAlignment="1" applyFont="1">
      <alignment readingOrder="0"/>
    </xf>
    <xf borderId="17" fillId="0" fontId="42" numFmtId="0" xfId="0" applyAlignment="1" applyBorder="1" applyFont="1">
      <alignment horizontal="left" readingOrder="0" shrinkToFit="0" vertical="top" wrapText="1"/>
    </xf>
    <xf borderId="17" fillId="0" fontId="42" numFmtId="0" xfId="0" applyAlignment="1" applyBorder="1" applyFont="1">
      <alignment horizontal="left" readingOrder="0" shrinkToFit="0" vertical="top" wrapText="1"/>
    </xf>
    <xf borderId="17" fillId="0" fontId="42" numFmtId="0" xfId="0" applyAlignment="1" applyBorder="1" applyFont="1">
      <alignment horizontal="left" readingOrder="0" shrinkToFit="0" vertical="top" wrapText="1"/>
    </xf>
    <xf borderId="17" fillId="0" fontId="1" numFmtId="0" xfId="0" applyAlignment="1" applyBorder="1" applyFont="1">
      <alignment shrinkToFit="0" vertical="top" wrapText="1"/>
    </xf>
    <xf borderId="0" fillId="0" fontId="22" numFmtId="0" xfId="0" applyAlignment="1" applyFont="1">
      <alignment shrinkToFit="0" vertical="bottom" wrapText="1"/>
    </xf>
    <xf borderId="17" fillId="0" fontId="30" numFmtId="0" xfId="0" applyAlignment="1" applyBorder="1" applyFont="1">
      <alignment shrinkToFit="0" vertical="top" wrapText="1"/>
    </xf>
    <xf borderId="0" fillId="13" fontId="1" numFmtId="0" xfId="0" applyAlignment="1" applyFont="1">
      <alignment shrinkToFit="0" vertical="top" wrapText="1"/>
    </xf>
    <xf borderId="17" fillId="9" fontId="22" numFmtId="0" xfId="0" applyAlignment="1" applyBorder="1" applyFont="1">
      <alignment vertical="top"/>
    </xf>
    <xf borderId="17" fillId="11" fontId="1" numFmtId="0" xfId="0" applyAlignment="1" applyBorder="1" applyFont="1">
      <alignment vertical="top"/>
    </xf>
    <xf borderId="19" fillId="12" fontId="22" numFmtId="0" xfId="0" applyAlignment="1" applyBorder="1" applyFont="1">
      <alignment vertical="top"/>
    </xf>
    <xf borderId="16" fillId="12" fontId="22" numFmtId="0" xfId="0" applyAlignment="1" applyBorder="1" applyFont="1">
      <alignment vertical="bottom"/>
    </xf>
    <xf borderId="20" fillId="12" fontId="22" numFmtId="0" xfId="0" applyAlignment="1" applyBorder="1" applyFont="1">
      <alignment vertical="top"/>
    </xf>
    <xf borderId="18" fillId="12" fontId="22" numFmtId="0" xfId="0" applyAlignment="1" applyBorder="1" applyFont="1">
      <alignment vertical="top"/>
    </xf>
    <xf borderId="21" fillId="12" fontId="22" numFmtId="0" xfId="0" applyAlignment="1" applyBorder="1" applyFont="1">
      <alignment vertical="top"/>
    </xf>
    <xf borderId="22" fillId="12" fontId="22" numFmtId="0" xfId="0" applyAlignment="1" applyBorder="1" applyFont="1">
      <alignment vertical="top"/>
    </xf>
    <xf borderId="0" fillId="12" fontId="1" numFmtId="0" xfId="0" applyAlignment="1" applyFont="1">
      <alignment shrinkToFit="0" vertical="top" wrapText="1"/>
    </xf>
    <xf borderId="17" fillId="13" fontId="1" numFmtId="0" xfId="0" applyAlignment="1" applyBorder="1" applyFont="1">
      <alignment shrinkToFit="0" vertical="top" wrapText="1"/>
    </xf>
    <xf borderId="17" fillId="12" fontId="1" numFmtId="0" xfId="0" applyAlignment="1" applyBorder="1" applyFont="1">
      <alignment shrinkToFit="0" vertical="top" wrapText="1"/>
    </xf>
    <xf borderId="0" fillId="0" fontId="29" numFmtId="0" xfId="0" applyAlignment="1" applyFont="1">
      <alignment horizontal="left" readingOrder="0" shrinkToFit="0" vertical="top" wrapText="1"/>
    </xf>
    <xf borderId="0" fillId="0" fontId="29" numFmtId="0" xfId="0" applyAlignment="1" applyFont="1">
      <alignment horizontal="left" readingOrder="0" shrinkToFit="0" vertical="top" wrapText="1"/>
    </xf>
    <xf borderId="0" fillId="0" fontId="30"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9" fontId="1" numFmtId="0" xfId="0" applyAlignment="1" applyFont="1">
      <alignment horizontal="left" readingOrder="0" shrinkToFit="0" vertical="top" wrapText="1"/>
    </xf>
    <xf borderId="23" fillId="9" fontId="22" numFmtId="0" xfId="0" applyAlignment="1" applyBorder="1" applyFont="1">
      <alignment vertical="top"/>
    </xf>
    <xf borderId="0" fillId="10" fontId="1" numFmtId="0" xfId="0" applyAlignment="1" applyFont="1">
      <alignment shrinkToFit="0" vertical="top" wrapText="1"/>
    </xf>
    <xf borderId="0" fillId="11" fontId="1" numFmtId="0" xfId="0" applyAlignment="1" applyFont="1">
      <alignment horizontal="left" readingOrder="0" vertical="top"/>
    </xf>
    <xf borderId="0" fillId="12" fontId="1" numFmtId="0" xfId="0" applyAlignment="1" applyFont="1">
      <alignment horizontal="left" readingOrder="0" shrinkToFit="0" vertical="top" wrapText="1"/>
    </xf>
    <xf borderId="0" fillId="12" fontId="1" numFmtId="0" xfId="0" applyAlignment="1" applyFont="1">
      <alignment horizontal="left" readingOrder="0" vertical="top"/>
    </xf>
    <xf borderId="0" fillId="12" fontId="1" numFmtId="0" xfId="0" applyAlignment="1" applyFont="1">
      <alignment horizontal="left" readingOrder="0" shrinkToFit="0" vertical="top" wrapText="1"/>
    </xf>
    <xf borderId="0" fillId="12" fontId="1" numFmtId="0" xfId="0" applyAlignment="1" applyFont="1">
      <alignment horizontal="left" shrinkToFit="0" vertical="top" wrapText="1"/>
    </xf>
    <xf borderId="0" fillId="12" fontId="22" numFmtId="0" xfId="0" applyAlignment="1" applyFont="1">
      <alignment shrinkToFit="0" vertical="bottom" wrapText="1"/>
    </xf>
    <xf borderId="0" fillId="0" fontId="22" numFmtId="0" xfId="0" applyAlignment="1" applyFont="1">
      <alignment vertical="bottom"/>
    </xf>
    <xf borderId="0" fillId="0" fontId="20" numFmtId="0" xfId="0" applyAlignment="1" applyFont="1">
      <alignment horizontal="left" readingOrder="0" shrinkToFit="0" vertical="center" wrapText="1"/>
    </xf>
    <xf borderId="2" fillId="0" fontId="25" numFmtId="0" xfId="0" applyAlignment="1" applyBorder="1" applyFont="1">
      <alignment shrinkToFit="0" wrapText="1"/>
    </xf>
    <xf borderId="0" fillId="5" fontId="21" numFmtId="0" xfId="0" applyAlignment="1" applyFont="1">
      <alignment horizontal="center" readingOrder="0" shrinkToFit="0" vertical="center" wrapText="1"/>
    </xf>
    <xf borderId="0" fillId="6" fontId="21" numFmtId="0" xfId="0" applyAlignment="1" applyFont="1">
      <alignment horizontal="center" readingOrder="0" shrinkToFit="0" vertical="center" wrapText="1"/>
    </xf>
    <xf borderId="0" fillId="7" fontId="20" numFmtId="0" xfId="0" applyAlignment="1" applyFont="1">
      <alignment horizontal="center" readingOrder="0" shrinkToFit="0" vertical="center" wrapText="1"/>
    </xf>
    <xf borderId="0" fillId="7" fontId="22" numFmtId="0" xfId="0" applyAlignment="1" applyFont="1">
      <alignment shrinkToFit="0" wrapText="1"/>
    </xf>
    <xf borderId="24" fillId="5" fontId="20" numFmtId="0" xfId="0" applyAlignment="1" applyBorder="1" applyFont="1">
      <alignment horizontal="left" readingOrder="0" shrinkToFit="0" vertical="center" wrapText="1"/>
    </xf>
    <xf borderId="24" fillId="6" fontId="20" numFmtId="0" xfId="0" applyAlignment="1" applyBorder="1" applyFont="1">
      <alignment horizontal="left" readingOrder="0" shrinkToFit="0" vertical="center" wrapText="1"/>
    </xf>
    <xf borderId="24" fillId="6" fontId="43" numFmtId="0" xfId="0" applyAlignment="1" applyBorder="1" applyFont="1">
      <alignment horizontal="left" readingOrder="0" shrinkToFit="0" vertical="center" wrapText="1"/>
    </xf>
    <xf borderId="24" fillId="7" fontId="20" numFmtId="0" xfId="0" applyAlignment="1" applyBorder="1" applyFont="1">
      <alignment horizontal="left" readingOrder="0" shrinkToFit="0" vertical="center" wrapText="1"/>
    </xf>
    <xf borderId="24" fillId="7" fontId="20" numFmtId="0" xfId="0" applyAlignment="1" applyBorder="1" applyFont="1">
      <alignment horizontal="left" readingOrder="0" shrinkToFit="0" vertical="center" wrapText="1"/>
    </xf>
    <xf borderId="2" fillId="7" fontId="20" numFmtId="0" xfId="0" applyAlignment="1" applyBorder="1" applyFont="1">
      <alignment horizontal="left" readingOrder="0" shrinkToFit="0" vertical="center" wrapText="1"/>
    </xf>
    <xf borderId="24" fillId="7" fontId="20" numFmtId="0" xfId="0" applyAlignment="1" applyBorder="1" applyFont="1">
      <alignment readingOrder="0" shrinkToFit="0" vertical="center" wrapText="1"/>
    </xf>
    <xf borderId="0" fillId="7" fontId="20" numFmtId="0" xfId="0" applyAlignment="1" applyFont="1">
      <alignment readingOrder="0" shrinkToFit="0" vertical="center" wrapText="1"/>
    </xf>
    <xf borderId="0" fillId="7" fontId="44" numFmtId="0" xfId="0" applyAlignment="1" applyFont="1">
      <alignment shrinkToFit="0" wrapText="1"/>
    </xf>
    <xf borderId="0" fillId="7" fontId="45" numFmtId="0" xfId="0" applyAlignment="1" applyFont="1">
      <alignment shrinkToFit="0" vertical="center" wrapText="1"/>
    </xf>
    <xf borderId="0" fillId="0" fontId="46" numFmtId="0" xfId="0" applyAlignment="1" applyFont="1">
      <alignment horizontal="left" readingOrder="0" shrinkToFit="0" vertical="top" wrapText="1"/>
    </xf>
    <xf borderId="24" fillId="0" fontId="46" numFmtId="0" xfId="0" applyAlignment="1" applyBorder="1" applyFont="1">
      <alignment horizontal="left" readingOrder="0" shrinkToFit="0" vertical="top" wrapText="1"/>
    </xf>
    <xf borderId="24" fillId="0" fontId="1" numFmtId="0" xfId="0" applyAlignment="1" applyBorder="1" applyFont="1">
      <alignment shrinkToFit="0" vertical="top" wrapText="1"/>
    </xf>
    <xf borderId="24" fillId="0" fontId="47" numFmtId="0" xfId="0" applyAlignment="1" applyBorder="1" applyFont="1">
      <alignment horizontal="left" readingOrder="0" shrinkToFit="0" vertical="top" wrapText="1"/>
    </xf>
    <xf borderId="24" fillId="9" fontId="47" numFmtId="0" xfId="0" applyAlignment="1" applyBorder="1" applyFont="1">
      <alignment horizontal="left" readingOrder="0" shrinkToFit="0" vertical="top" wrapText="1"/>
    </xf>
    <xf borderId="24" fillId="9" fontId="48" numFmtId="0" xfId="0" applyAlignment="1" applyBorder="1" applyFont="1">
      <alignment horizontal="left" readingOrder="0" shrinkToFit="0" vertical="top" wrapText="1"/>
    </xf>
    <xf borderId="25" fillId="0" fontId="49" numFmtId="0" xfId="0" applyAlignment="1" applyBorder="1" applyFont="1">
      <alignment horizontal="center" readingOrder="0" shrinkToFit="0" vertical="top" wrapText="1"/>
    </xf>
    <xf borderId="24" fillId="10" fontId="46" numFmtId="0" xfId="0" applyAlignment="1" applyBorder="1" applyFont="1">
      <alignment horizontal="left" readingOrder="0" shrinkToFit="0" vertical="top" wrapText="1"/>
    </xf>
    <xf borderId="24" fillId="11" fontId="46" numFmtId="0" xfId="0" applyAlignment="1" applyBorder="1" applyFont="1">
      <alignment horizontal="left" readingOrder="0" shrinkToFit="0" vertical="top" wrapText="1"/>
    </xf>
    <xf borderId="24" fillId="11" fontId="50" numFmtId="0" xfId="0" applyAlignment="1" applyBorder="1" applyFont="1">
      <alignment horizontal="left" readingOrder="0" shrinkToFit="0" vertical="top" wrapText="1"/>
    </xf>
    <xf borderId="0" fillId="11" fontId="1" numFmtId="0" xfId="0" applyAlignment="1" applyFont="1">
      <alignment shrinkToFit="0" vertical="top" wrapText="1"/>
    </xf>
    <xf borderId="24" fillId="14" fontId="1" numFmtId="0" xfId="0" applyAlignment="1" applyBorder="1" applyFill="1" applyFont="1">
      <alignment shrinkToFit="0" vertical="top" wrapText="1"/>
    </xf>
    <xf borderId="24" fillId="11" fontId="51" numFmtId="0" xfId="0" applyAlignment="1" applyBorder="1" applyFont="1">
      <alignment horizontal="left" readingOrder="0" shrinkToFit="0" vertical="top" wrapText="1"/>
    </xf>
    <xf borderId="26" fillId="11" fontId="52" numFmtId="0" xfId="0" applyAlignment="1" applyBorder="1" applyFont="1">
      <alignment horizontal="left" readingOrder="0" vertical="top"/>
    </xf>
    <xf borderId="24" fillId="11" fontId="1" numFmtId="0" xfId="0" applyAlignment="1" applyBorder="1" applyFont="1">
      <alignment shrinkToFit="0" vertical="top" wrapText="1"/>
    </xf>
    <xf borderId="27" fillId="11" fontId="46" numFmtId="0" xfId="0" applyAlignment="1" applyBorder="1" applyFont="1">
      <alignment horizontal="left" readingOrder="0" shrinkToFit="0" vertical="top" wrapText="1"/>
    </xf>
    <xf borderId="24" fillId="11" fontId="22" numFmtId="0" xfId="0" applyAlignment="1" applyBorder="1" applyFont="1">
      <alignment shrinkToFit="0" vertical="top" wrapText="1"/>
    </xf>
    <xf borderId="28" fillId="11" fontId="22" numFmtId="0" xfId="0" applyAlignment="1" applyBorder="1" applyFont="1">
      <alignment readingOrder="0" shrinkToFit="0" vertical="top" wrapText="1"/>
    </xf>
    <xf borderId="0" fillId="11" fontId="22" numFmtId="0" xfId="0" applyAlignment="1" applyFont="1">
      <alignment shrinkToFit="0" vertical="top" wrapText="1"/>
    </xf>
    <xf borderId="24" fillId="11" fontId="22" numFmtId="0" xfId="0" applyAlignment="1" applyBorder="1" applyFont="1">
      <alignment readingOrder="0" shrinkToFit="0" vertical="top" wrapText="1"/>
    </xf>
    <xf borderId="28" fillId="11" fontId="53" numFmtId="0" xfId="0" applyAlignment="1" applyBorder="1" applyFont="1">
      <alignment readingOrder="0" shrinkToFit="0" vertical="top" wrapText="1"/>
    </xf>
    <xf borderId="24" fillId="13" fontId="1" numFmtId="0" xfId="0" applyAlignment="1" applyBorder="1" applyFont="1">
      <alignment shrinkToFit="0" vertical="top" wrapText="1"/>
    </xf>
    <xf borderId="24" fillId="13" fontId="1" numFmtId="0" xfId="0" applyAlignment="1" applyBorder="1" applyFont="1">
      <alignment readingOrder="0" shrinkToFit="0" vertical="top" wrapText="1"/>
    </xf>
    <xf borderId="24" fillId="11" fontId="46" numFmtId="0" xfId="0" applyAlignment="1" applyBorder="1" applyFont="1">
      <alignment horizontal="left" readingOrder="0" shrinkToFit="0" vertical="top" wrapText="1"/>
    </xf>
    <xf borderId="28" fillId="11" fontId="1" numFmtId="0" xfId="0" applyAlignment="1" applyBorder="1" applyFont="1">
      <alignment readingOrder="0" shrinkToFit="0" vertical="top" wrapText="1"/>
    </xf>
    <xf borderId="24" fillId="14" fontId="22" numFmtId="0" xfId="0" applyAlignment="1" applyBorder="1" applyFont="1">
      <alignment vertical="top"/>
    </xf>
    <xf borderId="24" fillId="11" fontId="54" numFmtId="0" xfId="0" applyAlignment="1" applyBorder="1" applyFont="1">
      <alignment horizontal="left" readingOrder="0" shrinkToFit="0" vertical="top" wrapText="1"/>
    </xf>
    <xf borderId="24" fillId="11" fontId="46" numFmtId="0" xfId="0" applyAlignment="1" applyBorder="1" applyFont="1">
      <alignment horizontal="left" readingOrder="0" vertical="top"/>
    </xf>
    <xf borderId="28" fillId="11" fontId="22" numFmtId="0" xfId="0" applyAlignment="1" applyBorder="1" applyFont="1">
      <alignment shrinkToFit="0" vertical="top" wrapText="1"/>
    </xf>
    <xf borderId="24" fillId="0" fontId="1" numFmtId="0" xfId="0" applyAlignment="1" applyBorder="1" applyFont="1">
      <alignment readingOrder="0" shrinkToFit="0" vertical="top" wrapText="1"/>
    </xf>
    <xf borderId="0" fillId="10" fontId="29" numFmtId="0" xfId="0" applyAlignment="1" applyFont="1">
      <alignment horizontal="left" readingOrder="0" vertical="top"/>
    </xf>
    <xf borderId="25" fillId="0" fontId="55" numFmtId="0" xfId="0" applyAlignment="1" applyBorder="1" applyFont="1">
      <alignment horizontal="center" shrinkToFit="0" vertical="top" wrapText="1"/>
    </xf>
    <xf borderId="24" fillId="11" fontId="1" numFmtId="0" xfId="0" applyAlignment="1" applyBorder="1" applyFont="1">
      <alignment readingOrder="0" shrinkToFit="0" vertical="top" wrapText="1"/>
    </xf>
    <xf borderId="25" fillId="13" fontId="56" numFmtId="0" xfId="0" applyAlignment="1" applyBorder="1" applyFont="1">
      <alignment horizontal="center" readingOrder="0" shrinkToFit="0" vertical="top" wrapText="1"/>
    </xf>
    <xf borderId="24" fillId="11" fontId="47" numFmtId="0" xfId="0" applyAlignment="1" applyBorder="1" applyFont="1">
      <alignment horizontal="left" readingOrder="0" shrinkToFit="0" vertical="top" wrapText="1"/>
    </xf>
    <xf borderId="0" fillId="11" fontId="57" numFmtId="0" xfId="0" applyAlignment="1" applyFont="1">
      <alignment readingOrder="0" shrinkToFit="0" vertical="top" wrapText="1"/>
    </xf>
    <xf borderId="0" fillId="11" fontId="57" numFmtId="0" xfId="0" applyAlignment="1" applyFont="1">
      <alignment shrinkToFit="0" vertical="top" wrapText="1"/>
    </xf>
    <xf borderId="24" fillId="11" fontId="58" numFmtId="0" xfId="0" applyAlignment="1" applyBorder="1" applyFont="1">
      <alignment horizontal="left" readingOrder="0" shrinkToFit="0" vertical="top" wrapText="1"/>
    </xf>
    <xf borderId="24" fillId="11" fontId="46" numFmtId="0" xfId="0" applyAlignment="1" applyBorder="1" applyFont="1">
      <alignment horizontal="left" vertical="top"/>
    </xf>
    <xf borderId="25" fillId="13" fontId="59" numFmtId="0" xfId="0" applyAlignment="1" applyBorder="1" applyFont="1">
      <alignment horizontal="center" readingOrder="0" shrinkToFit="0" vertical="top" wrapText="1"/>
    </xf>
    <xf borderId="24" fillId="11" fontId="60" numFmtId="0" xfId="0" applyAlignment="1" applyBorder="1" applyFont="1">
      <alignment horizontal="left" readingOrder="0" vertical="top"/>
    </xf>
    <xf borderId="29" fillId="0" fontId="61" numFmtId="0" xfId="0" applyAlignment="1" applyBorder="1" applyFont="1">
      <alignment horizontal="center" readingOrder="0" shrinkToFit="0" vertical="top" wrapText="1"/>
    </xf>
    <xf borderId="24" fillId="11" fontId="47" numFmtId="0" xfId="0" applyAlignment="1" applyBorder="1" applyFont="1">
      <alignment horizontal="left" readingOrder="0" shrinkToFit="0" vertical="top" wrapText="1"/>
    </xf>
    <xf borderId="24" fillId="10" fontId="46" numFmtId="0" xfId="0" applyAlignment="1" applyBorder="1" applyFont="1">
      <alignment horizontal="left" readingOrder="0" vertical="top"/>
    </xf>
    <xf borderId="25" fillId="13" fontId="59" numFmtId="0" xfId="0" applyAlignment="1" applyBorder="1" applyFont="1">
      <alignment horizontal="center" readingOrder="0" shrinkToFit="0" vertical="top" wrapText="1"/>
    </xf>
    <xf borderId="0" fillId="11" fontId="62" numFmtId="0" xfId="0" applyAlignment="1" applyFont="1">
      <alignment readingOrder="0" shrinkToFit="0" vertical="top" wrapText="1"/>
    </xf>
    <xf borderId="24" fillId="0" fontId="46" numFmtId="0" xfId="0" applyAlignment="1" applyBorder="1" applyFont="1">
      <alignment horizontal="left" readingOrder="0" shrinkToFit="0" vertical="top" wrapText="1"/>
    </xf>
    <xf borderId="24" fillId="10" fontId="46" numFmtId="0" xfId="0" applyAlignment="1" applyBorder="1" applyFont="1">
      <alignment horizontal="left" readingOrder="0" shrinkToFit="0" vertical="top" wrapText="1"/>
    </xf>
    <xf borderId="24" fillId="0" fontId="63" numFmtId="0" xfId="0" applyAlignment="1" applyBorder="1" applyFont="1">
      <alignment horizontal="left" readingOrder="0" shrinkToFit="0" vertical="top" wrapText="1"/>
    </xf>
    <xf borderId="29" fillId="0" fontId="64" numFmtId="0" xfId="0" applyAlignment="1" applyBorder="1" applyFont="1">
      <alignment horizontal="center" readingOrder="0" shrinkToFit="0" vertical="top" wrapText="1"/>
    </xf>
    <xf borderId="30" fillId="0" fontId="65" numFmtId="0" xfId="0" applyAlignment="1" applyBorder="1" applyFont="1">
      <alignment horizontal="center" readingOrder="0" shrinkToFit="0" vertical="top" wrapText="1"/>
    </xf>
    <xf borderId="24" fillId="9" fontId="46" numFmtId="0" xfId="0" applyAlignment="1" applyBorder="1" applyFont="1">
      <alignment horizontal="left" shrinkToFit="0" vertical="top" wrapText="1"/>
    </xf>
    <xf borderId="24" fillId="9" fontId="46" numFmtId="0" xfId="0" applyAlignment="1" applyBorder="1" applyFont="1">
      <alignment horizontal="left" readingOrder="0" shrinkToFit="0" vertical="top" wrapText="1"/>
    </xf>
    <xf borderId="24" fillId="9" fontId="46" numFmtId="0" xfId="0" applyAlignment="1" applyBorder="1" applyFont="1">
      <alignment horizontal="left" readingOrder="0" vertical="top"/>
    </xf>
    <xf borderId="24" fillId="9" fontId="1" numFmtId="0" xfId="0" applyAlignment="1" applyBorder="1" applyFont="1">
      <alignment shrinkToFit="0" vertical="top" wrapText="1"/>
    </xf>
    <xf borderId="27" fillId="9" fontId="46" numFmtId="0" xfId="0" applyAlignment="1" applyBorder="1" applyFont="1">
      <alignment horizontal="left" readingOrder="0" shrinkToFit="0" vertical="top" wrapText="1"/>
    </xf>
    <xf borderId="24" fillId="9" fontId="22" numFmtId="0" xfId="0" applyAlignment="1" applyBorder="1" applyFont="1">
      <alignment readingOrder="0" shrinkToFit="0" vertical="top" wrapText="1"/>
    </xf>
    <xf borderId="28" fillId="9" fontId="22" numFmtId="0" xfId="0" applyAlignment="1" applyBorder="1" applyFont="1">
      <alignment readingOrder="0" shrinkToFit="0" vertical="top" wrapText="1"/>
    </xf>
    <xf borderId="0" fillId="9" fontId="22" numFmtId="0" xfId="0" applyAlignment="1" applyFont="1">
      <alignment shrinkToFit="0" vertical="top" wrapText="1"/>
    </xf>
    <xf borderId="24" fillId="9" fontId="66" numFmtId="0" xfId="0" applyAlignment="1" applyBorder="1" applyFont="1">
      <alignment horizontal="left" readingOrder="0" shrinkToFit="0" vertical="top" wrapText="1"/>
    </xf>
    <xf borderId="24" fillId="9" fontId="22" numFmtId="0" xfId="0" applyAlignment="1" applyBorder="1" applyFont="1">
      <alignment shrinkToFit="0" vertical="top" wrapText="1"/>
    </xf>
    <xf borderId="25" fillId="0" fontId="67" numFmtId="0" xfId="0" applyAlignment="1" applyBorder="1" applyFont="1">
      <alignment horizontal="center" readingOrder="0" shrinkToFit="0" vertical="top" wrapText="1"/>
    </xf>
    <xf borderId="24" fillId="9" fontId="1" numFmtId="0" xfId="0" applyAlignment="1" applyBorder="1" applyFont="1">
      <alignment readingOrder="0" shrinkToFit="0" vertical="top" wrapText="1"/>
    </xf>
    <xf borderId="0" fillId="9" fontId="68" numFmtId="0" xfId="0" applyAlignment="1" applyFont="1">
      <alignment readingOrder="0" shrinkToFit="0" vertical="top" wrapText="1"/>
    </xf>
    <xf borderId="0" fillId="9" fontId="57" numFmtId="0" xfId="0" applyAlignment="1" applyFont="1">
      <alignment shrinkToFit="0" vertical="top" wrapText="1"/>
    </xf>
    <xf borderId="24" fillId="0" fontId="69" numFmtId="0" xfId="0" applyAlignment="1" applyBorder="1" applyFont="1">
      <alignment horizontal="left" readingOrder="0" shrinkToFit="0" vertical="top" wrapText="1"/>
    </xf>
    <xf borderId="26" fillId="9" fontId="70" numFmtId="0" xfId="0" applyAlignment="1" applyBorder="1" applyFont="1">
      <alignment horizontal="left" readingOrder="0" vertical="top"/>
    </xf>
    <xf borderId="27" fillId="9" fontId="48" numFmtId="0" xfId="0" applyAlignment="1" applyBorder="1" applyFont="1">
      <alignment horizontal="left" readingOrder="0" shrinkToFit="0" vertical="top" wrapText="1"/>
    </xf>
    <xf borderId="28" fillId="10" fontId="46" numFmtId="0" xfId="0" applyAlignment="1" applyBorder="1" applyFont="1">
      <alignment horizontal="left" readingOrder="0" shrinkToFit="0" vertical="top" wrapText="1"/>
    </xf>
    <xf borderId="28" fillId="9" fontId="71" numFmtId="0" xfId="0" applyAlignment="1" applyBorder="1" applyFont="1">
      <alignment readingOrder="0" shrinkToFit="0" vertical="top" wrapText="1"/>
    </xf>
    <xf borderId="0" fillId="9" fontId="1" numFmtId="0" xfId="0" applyAlignment="1" applyFont="1">
      <alignment shrinkToFit="0" vertical="top" wrapText="1"/>
    </xf>
    <xf borderId="24" fillId="10" fontId="47" numFmtId="0" xfId="0" applyAlignment="1" applyBorder="1" applyFont="1">
      <alignment horizontal="left" readingOrder="0" vertical="top"/>
    </xf>
    <xf borderId="24" fillId="13" fontId="22" numFmtId="0" xfId="0" applyAlignment="1" applyBorder="1" applyFont="1">
      <alignment shrinkToFit="0" vertical="top" wrapText="1"/>
    </xf>
    <xf borderId="24" fillId="13" fontId="72" numFmtId="0" xfId="0" applyAlignment="1" applyBorder="1" applyFont="1">
      <alignment readingOrder="0" shrinkToFit="0" vertical="top" wrapText="1"/>
    </xf>
    <xf borderId="25" fillId="0" fontId="73" numFmtId="0" xfId="0" applyAlignment="1" applyBorder="1" applyFont="1">
      <alignment horizontal="center" shrinkToFit="0" vertical="top" wrapText="1"/>
    </xf>
    <xf borderId="24" fillId="9" fontId="74" numFmtId="0" xfId="0" applyAlignment="1" applyBorder="1" applyFont="1">
      <alignment horizontal="left" readingOrder="0" shrinkToFit="0" vertical="top" wrapText="1"/>
    </xf>
    <xf borderId="24" fillId="9" fontId="75" numFmtId="0" xfId="0" applyAlignment="1" applyBorder="1" applyFont="1">
      <alignment horizontal="left" readingOrder="0" vertical="top"/>
    </xf>
    <xf borderId="0" fillId="9" fontId="22" numFmtId="0" xfId="0" applyAlignment="1" applyFont="1">
      <alignment readingOrder="0" shrinkToFit="0" vertical="top" wrapText="1"/>
    </xf>
    <xf borderId="24" fillId="9" fontId="46" numFmtId="0" xfId="0" applyAlignment="1" applyBorder="1" applyFont="1">
      <alignment horizontal="left" readingOrder="0" vertical="top"/>
    </xf>
    <xf borderId="24" fillId="9" fontId="76" numFmtId="0" xfId="0" applyAlignment="1" applyBorder="1" applyFont="1">
      <alignment horizontal="left" readingOrder="0" vertical="top"/>
    </xf>
    <xf borderId="30" fillId="0" fontId="77" numFmtId="0" xfId="0" applyAlignment="1" applyBorder="1" applyFont="1">
      <alignment horizontal="center" readingOrder="0" shrinkToFit="0" vertical="top" wrapText="1"/>
    </xf>
    <xf borderId="24" fillId="10" fontId="1" numFmtId="0" xfId="0" applyAlignment="1" applyBorder="1" applyFont="1">
      <alignment shrinkToFit="0" vertical="top" wrapText="1"/>
    </xf>
    <xf borderId="24" fillId="9" fontId="46" numFmtId="0" xfId="0" applyAlignment="1" applyBorder="1" applyFont="1">
      <alignment horizontal="left" readingOrder="0" shrinkToFit="0" vertical="top" wrapText="1"/>
    </xf>
    <xf borderId="28" fillId="9" fontId="78" numFmtId="0" xfId="0" applyAlignment="1" applyBorder="1" applyFont="1">
      <alignment readingOrder="0" shrinkToFit="0" vertical="top" wrapText="1"/>
    </xf>
    <xf borderId="0" fillId="9" fontId="79" numFmtId="0" xfId="0" applyAlignment="1" applyFont="1">
      <alignment shrinkToFit="0" vertical="top" wrapText="1"/>
    </xf>
    <xf borderId="0" fillId="14" fontId="1" numFmtId="0" xfId="0" applyAlignment="1" applyFont="1">
      <alignment shrinkToFit="0" vertical="top" wrapText="1"/>
    </xf>
    <xf borderId="24" fillId="13" fontId="80" numFmtId="0" xfId="0" applyAlignment="1" applyBorder="1" applyFont="1">
      <alignment shrinkToFit="0" vertical="top" wrapText="1"/>
    </xf>
    <xf borderId="25" fillId="13" fontId="81" numFmtId="0" xfId="0" applyAlignment="1" applyBorder="1" applyFont="1">
      <alignment horizontal="center" shrinkToFit="0" vertical="bottom" wrapText="1"/>
    </xf>
    <xf borderId="25" fillId="13" fontId="82" numFmtId="0" xfId="0" applyAlignment="1" applyBorder="1" applyFont="1">
      <alignment horizontal="center" readingOrder="0" shrinkToFit="0" vertical="bottom" wrapText="1"/>
    </xf>
    <xf borderId="24" fillId="13" fontId="83" numFmtId="0" xfId="0" applyAlignment="1" applyBorder="1" applyFont="1">
      <alignment shrinkToFit="0" vertical="top" wrapText="1"/>
    </xf>
    <xf borderId="24" fillId="13" fontId="1" numFmtId="0" xfId="0" applyAlignment="1" applyBorder="1" applyFont="1">
      <alignment shrinkToFit="0" vertical="top" wrapText="1"/>
    </xf>
    <xf borderId="24" fillId="13" fontId="59" numFmtId="0" xfId="0" applyAlignment="1" applyBorder="1" applyFont="1">
      <alignment readingOrder="0" shrinkToFit="0" vertical="top" wrapText="1"/>
    </xf>
    <xf borderId="0" fillId="14" fontId="22" numFmtId="0" xfId="0" applyAlignment="1" applyFont="1">
      <alignment vertical="top"/>
    </xf>
    <xf borderId="0" fillId="13" fontId="22" numFmtId="0" xfId="0" applyAlignment="1" applyFont="1">
      <alignment shrinkToFit="0" vertical="top" wrapText="1"/>
    </xf>
    <xf borderId="24" fillId="9" fontId="1" numFmtId="0" xfId="0" applyAlignment="1" applyBorder="1" applyFont="1">
      <alignment shrinkToFit="0" vertical="top" wrapText="1"/>
    </xf>
    <xf borderId="24" fillId="9" fontId="80" numFmtId="0" xfId="0" applyAlignment="1" applyBorder="1" applyFont="1">
      <alignment shrinkToFit="0" vertical="top" wrapText="1"/>
    </xf>
    <xf borderId="25" fillId="13" fontId="84" numFmtId="0" xfId="0" applyAlignment="1" applyBorder="1" applyFont="1">
      <alignment horizontal="center" readingOrder="0" shrinkToFit="0" vertical="bottom" wrapText="1"/>
    </xf>
    <xf borderId="25" fillId="13" fontId="85" numFmtId="0" xfId="0" applyAlignment="1" applyBorder="1" applyFont="1">
      <alignment horizontal="center" shrinkToFit="0" vertical="bottom" wrapText="1"/>
    </xf>
    <xf borderId="0" fillId="13" fontId="86" numFmtId="0" xfId="0" applyAlignment="1" applyFont="1">
      <alignment readingOrder="0" shrinkToFit="0" vertical="top" wrapText="0"/>
    </xf>
    <xf borderId="0" fillId="13" fontId="87" numFmtId="0" xfId="0" applyAlignment="1" applyFont="1">
      <alignment readingOrder="0" shrinkToFit="0" vertical="top" wrapText="0"/>
    </xf>
    <xf borderId="0" fillId="13" fontId="86" numFmtId="0" xfId="0" applyAlignment="1" applyFont="1">
      <alignment readingOrder="0" shrinkToFit="0" vertical="top" wrapText="1"/>
    </xf>
    <xf borderId="0" fillId="0" fontId="86" numFmtId="0" xfId="0" applyAlignment="1" applyFont="1">
      <alignment shrinkToFit="0" vertical="bottom" wrapText="1"/>
    </xf>
    <xf borderId="0" fillId="9" fontId="80" numFmtId="0" xfId="0" applyAlignment="1" applyFont="1">
      <alignment shrinkToFit="0" vertical="top" wrapText="1"/>
    </xf>
    <xf borderId="0" fillId="13" fontId="1" numFmtId="0" xfId="0" applyAlignment="1" applyFont="1">
      <alignment readingOrder="0" shrinkToFit="0" vertical="top" wrapText="1"/>
    </xf>
    <xf borderId="0" fillId="13" fontId="88" numFmtId="0" xfId="0" applyAlignment="1" applyFont="1">
      <alignment horizontal="center" shrinkToFit="0" vertical="bottom" wrapText="1"/>
    </xf>
    <xf borderId="0" fillId="13" fontId="22" numFmtId="0" xfId="0" applyAlignment="1" applyFont="1">
      <alignment horizontal="center" shrinkToFit="0" vertical="bottom" wrapText="1"/>
    </xf>
    <xf borderId="0" fillId="13" fontId="89" numFmtId="0" xfId="0" applyAlignment="1" applyFont="1">
      <alignment horizontal="center" readingOrder="0" shrinkToFit="0" vertical="bottom" wrapText="1"/>
    </xf>
    <xf borderId="0" fillId="13" fontId="90" numFmtId="0" xfId="0" applyAlignment="1" applyFont="1">
      <alignment horizontal="center" shrinkToFit="0" vertical="bottom" wrapText="1"/>
    </xf>
    <xf borderId="0" fillId="13" fontId="86" numFmtId="0" xfId="0" applyAlignment="1" applyFont="1">
      <alignment shrinkToFit="0" vertical="top" wrapText="0"/>
    </xf>
    <xf borderId="0" fillId="13" fontId="86" numFmtId="0" xfId="0" applyAlignment="1" applyFont="1">
      <alignment shrinkToFit="0" vertical="top" wrapText="1"/>
    </xf>
    <xf borderId="0" fillId="13" fontId="86" numFmtId="0" xfId="0" applyAlignment="1" applyFont="1">
      <alignment shrinkToFit="0" vertical="top" wrapText="1"/>
    </xf>
    <xf borderId="0" fillId="9" fontId="86" numFmtId="0" xfId="0" applyAlignment="1" applyFont="1">
      <alignment shrinkToFit="0" vertical="top" wrapText="1"/>
    </xf>
    <xf borderId="0" fillId="13" fontId="22" numFmtId="0" xfId="0" applyAlignment="1" applyFont="1">
      <alignment vertical="top"/>
    </xf>
    <xf borderId="0" fillId="13" fontId="22" numFmtId="0" xfId="0" applyAlignment="1" applyFont="1">
      <alignment shrinkToFit="0" vertical="top" wrapText="1"/>
    </xf>
    <xf borderId="21" fillId="0" fontId="20" numFmtId="0" xfId="0" applyAlignment="1" applyBorder="1" applyFont="1">
      <alignment horizontal="center" readingOrder="0" shrinkToFit="0" vertical="center" wrapText="1"/>
    </xf>
    <xf borderId="31" fillId="0" fontId="9" numFmtId="0" xfId="0" applyBorder="1" applyFont="1"/>
    <xf borderId="22" fillId="0" fontId="9" numFmtId="0" xfId="0" applyBorder="1" applyFont="1"/>
    <xf borderId="0" fillId="0" fontId="47" numFmtId="0" xfId="0" applyAlignment="1" applyFont="1">
      <alignment horizontal="center" vertical="center"/>
    </xf>
    <xf borderId="0" fillId="0" fontId="46" numFmtId="0" xfId="0" applyAlignment="1" applyFont="1">
      <alignment horizontal="center" vertical="center"/>
    </xf>
    <xf borderId="0" fillId="13" fontId="91" numFmtId="0" xfId="0" applyAlignment="1" applyFont="1">
      <alignment horizontal="left" readingOrder="0" vertical="top"/>
    </xf>
    <xf borderId="0" fillId="13" fontId="91" numFmtId="0" xfId="0" applyAlignment="1" applyFont="1">
      <alignment horizontal="center" readingOrder="0" shrinkToFit="0" wrapText="1"/>
    </xf>
    <xf borderId="0" fillId="13" fontId="91" numFmtId="0" xfId="0" applyAlignment="1" applyFont="1">
      <alignment horizontal="center" readingOrder="0"/>
    </xf>
    <xf borderId="0" fillId="0" fontId="46" numFmtId="0" xfId="0" applyAlignment="1" applyFont="1">
      <alignment shrinkToFit="0" wrapText="1"/>
    </xf>
    <xf borderId="0" fillId="0" fontId="46" numFmtId="0" xfId="0" applyFont="1"/>
    <xf borderId="0" fillId="0" fontId="47" numFmtId="0" xfId="0" applyFont="1"/>
    <xf borderId="0" fillId="0" fontId="41" numFmtId="0" xfId="0" applyAlignment="1" applyFont="1">
      <alignment horizontal="left" vertical="top"/>
    </xf>
    <xf borderId="0" fillId="0" fontId="41" numFmtId="0" xfId="0" applyAlignment="1" applyFont="1">
      <alignment shrinkToFit="0" wrapText="1"/>
    </xf>
    <xf borderId="0" fillId="0" fontId="46" numFmtId="0" xfId="0" applyAlignment="1" applyFont="1">
      <alignment shrinkToFit="0" vertical="center" wrapText="1"/>
    </xf>
    <xf borderId="0" fillId="13" fontId="46" numFmtId="0" xfId="0" applyAlignment="1" applyFont="1">
      <alignment vertical="center"/>
    </xf>
    <xf borderId="0" fillId="0" fontId="46" numFmtId="0" xfId="0" applyAlignment="1" applyFont="1">
      <alignment vertical="center"/>
    </xf>
    <xf borderId="0" fillId="0" fontId="47" numFmtId="0" xfId="0" applyAlignment="1" applyFont="1">
      <alignment vertical="center"/>
    </xf>
    <xf borderId="0" fillId="13" fontId="91" numFmtId="0" xfId="0" applyAlignment="1" applyFont="1">
      <alignment horizontal="left" readingOrder="0" shrinkToFit="0" vertical="top" wrapText="1"/>
    </xf>
    <xf borderId="17" fillId="0" fontId="20" numFmtId="0" xfId="0" applyAlignment="1" applyBorder="1" applyFont="1">
      <alignment horizontal="left" readingOrder="0" shrinkToFit="0" vertical="top" wrapText="1"/>
    </xf>
    <xf borderId="17" fillId="0" fontId="92" numFmtId="0" xfId="0" applyAlignment="1" applyBorder="1" applyFont="1">
      <alignment horizontal="left" readingOrder="0" shrinkToFit="0" vertical="top" wrapText="1"/>
    </xf>
    <xf borderId="0" fillId="13" fontId="93" numFmtId="0" xfId="0" applyAlignment="1" applyFont="1">
      <alignment readingOrder="0"/>
    </xf>
    <xf borderId="0" fillId="0" fontId="94" numFmtId="0" xfId="0" applyFont="1"/>
    <xf borderId="0" fillId="0" fontId="95" numFmtId="0" xfId="0" applyFont="1"/>
    <xf borderId="0" fillId="0" fontId="46" numFmtId="0" xfId="0" applyAlignment="1" applyFont="1">
      <alignment horizontal="left" readingOrder="0" shrinkToFit="0" wrapText="1"/>
    </xf>
    <xf borderId="0" fillId="13" fontId="46" numFmtId="0" xfId="0" applyAlignment="1" applyFont="1">
      <alignment readingOrder="0"/>
    </xf>
    <xf borderId="0" fillId="0" fontId="46" numFmtId="0" xfId="0" applyAlignment="1" applyFont="1">
      <alignment readingOrder="0" shrinkToFit="0" wrapText="1"/>
    </xf>
    <xf borderId="0" fillId="0" fontId="46" numFmtId="0" xfId="0" applyAlignment="1" applyFont="1">
      <alignment horizontal="left" vertical="top"/>
    </xf>
    <xf borderId="0" fillId="0" fontId="41" numFmtId="0" xfId="0" applyAlignment="1" applyFont="1">
      <alignment readingOrder="0"/>
    </xf>
    <xf borderId="0" fillId="13" fontId="46" numFmtId="0" xfId="0" applyAlignment="1" applyFont="1">
      <alignment horizontal="left" vertical="top"/>
    </xf>
    <xf borderId="0" fillId="13" fontId="46" numFmtId="0" xfId="0" applyAlignment="1" applyFont="1">
      <alignment shrinkToFit="0" wrapText="1"/>
    </xf>
    <xf borderId="0" fillId="13" fontId="46" numFmtId="0" xfId="0" applyFont="1"/>
    <xf borderId="0" fillId="13" fontId="46" numFmtId="0" xfId="0" applyAlignment="1" applyFont="1">
      <alignment readingOrder="0" shrinkToFit="0" wrapText="1"/>
    </xf>
    <xf borderId="0" fillId="13" fontId="47" numFmtId="0" xfId="0" applyFont="1"/>
    <xf borderId="0" fillId="13" fontId="47" numFmtId="0" xfId="0" applyAlignment="1" applyFont="1">
      <alignment horizontal="left" vertical="top"/>
    </xf>
    <xf borderId="0" fillId="13" fontId="47" numFmtId="0" xfId="0" applyAlignment="1" applyFont="1">
      <alignment shrinkToFit="0" wrapText="1"/>
    </xf>
    <xf borderId="17" fillId="0" fontId="20" numFmtId="0" xfId="0" applyAlignment="1" applyBorder="1" applyFont="1">
      <alignment horizontal="left" readingOrder="0" shrinkToFit="0" vertical="center" wrapText="1"/>
    </xf>
    <xf borderId="0" fillId="0" fontId="94" numFmtId="0" xfId="0" applyAlignment="1" applyFont="1">
      <alignment vertical="center"/>
    </xf>
    <xf borderId="0" fillId="0" fontId="95" numFmtId="0" xfId="0" applyAlignment="1" applyFont="1">
      <alignment vertical="center"/>
    </xf>
    <xf borderId="17" fillId="0" fontId="96" numFmtId="0" xfId="0" applyAlignment="1" applyBorder="1" applyFont="1">
      <alignment horizontal="left" readingOrder="0" shrinkToFit="0" vertical="top" wrapText="1"/>
    </xf>
    <xf borderId="27" fillId="0" fontId="20" numFmtId="0" xfId="0" applyAlignment="1" applyBorder="1" applyFont="1">
      <alignment horizontal="center" readingOrder="0" shrinkToFit="0" vertical="center" wrapText="1"/>
    </xf>
    <xf borderId="32" fillId="0" fontId="9" numFmtId="0" xfId="0" applyBorder="1" applyFont="1"/>
    <xf borderId="28" fillId="0" fontId="9" numFmtId="0" xfId="0" applyBorder="1" applyFont="1"/>
    <xf borderId="0" fillId="13" fontId="97" numFmtId="0" xfId="0" applyAlignment="1" applyFont="1">
      <alignment horizontal="center" readingOrder="0" vertical="center"/>
    </xf>
    <xf borderId="0" fillId="7" fontId="20" numFmtId="0" xfId="0" applyAlignment="1" applyFont="1">
      <alignment horizontal="center" readingOrder="0" vertical="center"/>
    </xf>
    <xf borderId="0" fillId="0" fontId="95" numFmtId="0" xfId="0" applyAlignment="1" applyFont="1">
      <alignment horizontal="center" vertical="center"/>
    </xf>
    <xf borderId="0" fillId="13" fontId="98" numFmtId="0" xfId="0" applyAlignment="1" applyFont="1">
      <alignment readingOrder="0"/>
    </xf>
    <xf borderId="0" fillId="13" fontId="99" numFmtId="0" xfId="0" applyAlignment="1" applyFont="1">
      <alignment horizontal="center" readingOrder="0" vertical="center"/>
    </xf>
    <xf borderId="0" fillId="13" fontId="46" numFmtId="0" xfId="0" applyAlignment="1" applyFont="1">
      <alignment readingOrder="0" vertical="top"/>
    </xf>
    <xf borderId="0" fillId="0" fontId="99" numFmtId="0" xfId="0" applyAlignment="1" applyFont="1">
      <alignment horizontal="left" readingOrder="0" shrinkToFit="0" wrapText="1"/>
    </xf>
    <xf borderId="0" fillId="13" fontId="100" numFmtId="0" xfId="0" applyAlignment="1" applyFont="1">
      <alignment readingOrder="0"/>
    </xf>
    <xf borderId="0" fillId="13" fontId="91" numFmtId="0" xfId="0" applyAlignment="1" applyFont="1">
      <alignment readingOrder="0" shrinkToFit="0" wrapText="1"/>
    </xf>
    <xf borderId="0" fillId="0" fontId="101" numFmtId="0" xfId="0" applyAlignment="1" applyFont="1">
      <alignment shrinkToFit="0" wrapText="1"/>
    </xf>
    <xf borderId="0" fillId="13" fontId="102" numFmtId="0" xfId="0" applyAlignment="1" applyFont="1">
      <alignment readingOrder="0"/>
    </xf>
    <xf borderId="0" fillId="13" fontId="20" numFmtId="0" xfId="0" applyAlignment="1" applyFont="1">
      <alignment horizontal="center" readingOrder="0" shrinkToFit="0" vertical="center" wrapText="1"/>
    </xf>
    <xf borderId="24" fillId="5" fontId="20" numFmtId="0" xfId="0" applyAlignment="1" applyBorder="1" applyFont="1">
      <alignment horizontal="left" readingOrder="0" shrinkToFit="0" vertical="center" wrapText="1"/>
    </xf>
    <xf borderId="24" fillId="5" fontId="103" numFmtId="0" xfId="0" applyAlignment="1" applyBorder="1" applyFont="1">
      <alignment horizontal="left" readingOrder="0" shrinkToFit="0" vertical="center" wrapText="1"/>
    </xf>
    <xf borderId="24" fillId="7" fontId="104" numFmtId="0" xfId="0" applyAlignment="1" applyBorder="1" applyFont="1">
      <alignment horizontal="left" readingOrder="0" shrinkToFit="0" vertical="center" wrapText="1"/>
    </xf>
    <xf borderId="24" fillId="7" fontId="105" numFmtId="0" xfId="0" applyAlignment="1" applyBorder="1" applyFont="1">
      <alignment horizontal="left" readingOrder="0" shrinkToFit="0" vertical="center" wrapText="1"/>
    </xf>
    <xf borderId="2" fillId="7" fontId="106" numFmtId="0" xfId="0" applyAlignment="1" applyBorder="1" applyFont="1">
      <alignment horizontal="left" readingOrder="0" shrinkToFit="0" vertical="center" wrapText="1"/>
    </xf>
    <xf borderId="24" fillId="7" fontId="107" numFmtId="0" xfId="0" applyAlignment="1" applyBorder="1" applyFont="1">
      <alignment readingOrder="0" shrinkToFit="0" vertical="center" wrapText="1"/>
    </xf>
    <xf borderId="0" fillId="0" fontId="41" numFmtId="0" xfId="0" applyFont="1"/>
    <xf borderId="0" fillId="0" fontId="46" numFmtId="0" xfId="0" applyAlignment="1" applyFont="1">
      <alignment readingOrder="0"/>
    </xf>
    <xf borderId="24" fillId="9" fontId="108" numFmtId="0" xfId="0" applyAlignment="1" applyBorder="1" applyFont="1">
      <alignment horizontal="left" readingOrder="0" shrinkToFit="0" vertical="top" wrapText="1"/>
    </xf>
    <xf borderId="24" fillId="11" fontId="22" numFmtId="0" xfId="0" applyAlignment="1" applyBorder="1" applyFont="1">
      <alignment shrinkToFit="0" vertical="bottom" wrapText="1"/>
    </xf>
    <xf borderId="28" fillId="11" fontId="22" numFmtId="0" xfId="0" applyAlignment="1" applyBorder="1" applyFont="1">
      <alignment readingOrder="0" vertical="top"/>
    </xf>
    <xf borderId="24" fillId="11" fontId="22" numFmtId="0" xfId="0" applyAlignment="1" applyBorder="1" applyFont="1">
      <alignment readingOrder="0" shrinkToFit="0" vertical="bottom" wrapText="1"/>
    </xf>
    <xf borderId="24" fillId="11" fontId="109" numFmtId="0" xfId="0" applyAlignment="1" applyBorder="1" applyFont="1">
      <alignment horizontal="left" readingOrder="0" vertical="top"/>
    </xf>
    <xf borderId="28" fillId="11" fontId="22" numFmtId="0" xfId="0" applyAlignment="1" applyBorder="1" applyFont="1">
      <alignment vertical="top"/>
    </xf>
    <xf borderId="24" fillId="9" fontId="110" numFmtId="0" xfId="0" applyAlignment="1" applyBorder="1" applyFont="1">
      <alignment horizontal="left" readingOrder="0" shrinkToFit="0" vertical="top" wrapText="1"/>
    </xf>
    <xf borderId="0" fillId="11" fontId="57" numFmtId="0" xfId="0" applyAlignment="1" applyFont="1">
      <alignment readingOrder="0" shrinkToFit="0" vertical="bottom" wrapText="1"/>
    </xf>
    <xf borderId="0" fillId="11" fontId="111" numFmtId="0" xfId="0" applyAlignment="1" applyFont="1">
      <alignment readingOrder="0" shrinkToFit="0" vertical="bottom" wrapText="1"/>
    </xf>
    <xf borderId="24" fillId="9" fontId="22" numFmtId="0" xfId="0" applyAlignment="1" applyBorder="1" applyFont="1">
      <alignment readingOrder="0" shrinkToFit="0" vertical="bottom" wrapText="1"/>
    </xf>
    <xf borderId="28" fillId="9" fontId="22" numFmtId="0" xfId="0" applyAlignment="1" applyBorder="1" applyFont="1">
      <alignment readingOrder="0" vertical="top"/>
    </xf>
    <xf borderId="24" fillId="9" fontId="22" numFmtId="0" xfId="0" applyAlignment="1" applyBorder="1" applyFont="1">
      <alignment shrinkToFit="0" vertical="bottom" wrapText="1"/>
    </xf>
    <xf borderId="0" fillId="9" fontId="112" numFmtId="0" xfId="0" applyAlignment="1" applyFont="1">
      <alignment readingOrder="0" vertical="bottom"/>
    </xf>
    <xf borderId="24" fillId="9" fontId="113" numFmtId="0" xfId="0" applyAlignment="1" applyBorder="1" applyFont="1">
      <alignment horizontal="left" readingOrder="0" shrinkToFit="0" vertical="top" wrapText="1"/>
    </xf>
    <xf borderId="0" fillId="13" fontId="114" numFmtId="0" xfId="0" applyAlignment="1" applyFont="1">
      <alignment readingOrder="0" shrinkToFit="0" wrapText="1"/>
    </xf>
    <xf borderId="0" fillId="13" fontId="1" numFmtId="0" xfId="0" applyAlignment="1" applyFont="1">
      <alignment readingOrder="0" shrinkToFit="0" wrapText="1"/>
    </xf>
    <xf borderId="33" fillId="5" fontId="25" numFmtId="0" xfId="0" applyAlignment="1" applyBorder="1" applyFont="1">
      <alignment readingOrder="0" vertical="center"/>
    </xf>
    <xf borderId="33" fillId="5" fontId="25" numFmtId="0" xfId="0" applyAlignment="1" applyBorder="1" applyFont="1">
      <alignment readingOrder="0" shrinkToFit="0" vertical="center" wrapText="1"/>
    </xf>
    <xf borderId="34" fillId="9" fontId="115" numFmtId="0" xfId="0" applyAlignment="1" applyBorder="1" applyFont="1">
      <alignment readingOrder="0" vertical="top"/>
    </xf>
    <xf borderId="0" fillId="9" fontId="116" numFmtId="0" xfId="0" applyAlignment="1" applyFont="1">
      <alignment readingOrder="0" shrinkToFit="0" wrapText="1"/>
    </xf>
    <xf borderId="0" fillId="9" fontId="1" numFmtId="0" xfId="0" applyAlignment="1" applyFont="1">
      <alignment readingOrder="0" shrinkToFit="0" wrapText="1"/>
    </xf>
    <xf borderId="34" fillId="0" fontId="9" numFmtId="0" xfId="0" applyBorder="1" applyFont="1"/>
    <xf borderId="0" fillId="9" fontId="117" numFmtId="0" xfId="0" applyAlignment="1" applyFont="1">
      <alignment shrinkToFit="0" vertical="bottom" wrapText="1"/>
    </xf>
    <xf borderId="0" fillId="9" fontId="118" numFmtId="0" xfId="0" applyAlignment="1" applyFont="1">
      <alignment shrinkToFit="0" vertical="bottom" wrapText="1"/>
    </xf>
    <xf borderId="0" fillId="9" fontId="119" numFmtId="0" xfId="0" applyAlignment="1" applyFont="1">
      <alignment readingOrder="0" shrinkToFit="0" vertical="bottom" wrapText="1"/>
    </xf>
    <xf borderId="0" fillId="9" fontId="118" numFmtId="0" xfId="0" applyAlignment="1" applyFont="1">
      <alignment readingOrder="0" shrinkToFit="0" vertical="bottom" wrapText="1"/>
    </xf>
    <xf borderId="34" fillId="9" fontId="22" numFmtId="0" xfId="0" applyAlignment="1" applyBorder="1" applyFont="1">
      <alignment vertical="top"/>
    </xf>
    <xf borderId="0" fillId="9" fontId="120" numFmtId="0" xfId="0" applyAlignment="1" applyFont="1">
      <alignment shrinkToFit="0" wrapText="1"/>
    </xf>
    <xf borderId="34" fillId="10" fontId="115" numFmtId="0" xfId="0" applyAlignment="1" applyBorder="1" applyFont="1">
      <alignment readingOrder="0" vertical="top"/>
    </xf>
    <xf borderId="0" fillId="10" fontId="121" numFmtId="0" xfId="0" applyAlignment="1" applyFont="1">
      <alignment readingOrder="0" shrinkToFit="0" wrapText="1"/>
    </xf>
    <xf borderId="0" fillId="10" fontId="122" numFmtId="0" xfId="0" applyAlignment="1" applyFont="1">
      <alignment readingOrder="0" shrinkToFit="0" wrapText="1"/>
    </xf>
    <xf borderId="0" fillId="10" fontId="123" numFmtId="0" xfId="0" applyAlignment="1" applyFont="1">
      <alignment shrinkToFit="0" vertical="bottom" wrapText="1"/>
    </xf>
    <xf borderId="0" fillId="10" fontId="118" numFmtId="0" xfId="0" applyAlignment="1" applyFont="1">
      <alignment shrinkToFit="0" vertical="bottom" wrapText="1"/>
    </xf>
    <xf borderId="0" fillId="10" fontId="124" numFmtId="0" xfId="0" applyAlignment="1" applyFont="1">
      <alignment horizontal="left" readingOrder="0" shrinkToFit="0" wrapText="1"/>
    </xf>
    <xf borderId="0" fillId="10" fontId="122" numFmtId="0" xfId="0" applyAlignment="1" applyFont="1">
      <alignment horizontal="left" readingOrder="0" shrinkToFit="0" wrapText="1"/>
    </xf>
    <xf borderId="34" fillId="10" fontId="22" numFmtId="0" xfId="0" applyAlignment="1" applyBorder="1" applyFont="1">
      <alignment vertical="top"/>
    </xf>
    <xf borderId="34" fillId="12" fontId="115" numFmtId="0" xfId="0" applyAlignment="1" applyBorder="1" applyFont="1">
      <alignment readingOrder="0" vertical="top"/>
    </xf>
    <xf borderId="0" fillId="12" fontId="125" numFmtId="0" xfId="0" applyAlignment="1" applyFont="1">
      <alignment readingOrder="0" shrinkToFit="0" wrapText="1"/>
    </xf>
    <xf borderId="0" fillId="12" fontId="122" numFmtId="0" xfId="0" applyAlignment="1" applyFont="1">
      <alignment readingOrder="0" shrinkToFit="0" wrapText="1"/>
    </xf>
    <xf borderId="34" fillId="12" fontId="22" numFmtId="0" xfId="0" applyAlignment="1" applyBorder="1" applyFont="1">
      <alignment vertical="top"/>
    </xf>
    <xf borderId="0" fillId="12" fontId="126" numFmtId="0" xfId="0" applyAlignment="1" applyFont="1">
      <alignment shrinkToFit="0" wrapText="1"/>
    </xf>
    <xf borderId="34" fillId="11" fontId="115" numFmtId="0" xfId="0" applyAlignment="1" applyBorder="1" applyFont="1">
      <alignment readingOrder="0" vertical="top"/>
    </xf>
    <xf borderId="0" fillId="11" fontId="127" numFmtId="0" xfId="0" applyAlignment="1" applyFont="1">
      <alignment readingOrder="0" shrinkToFit="0" wrapText="1"/>
    </xf>
    <xf borderId="0" fillId="11" fontId="118" numFmtId="0" xfId="0" applyAlignment="1" applyFont="1">
      <alignment readingOrder="0" shrinkToFit="0" wrapText="1"/>
    </xf>
    <xf borderId="0" fillId="11" fontId="1" numFmtId="0" xfId="0" applyAlignment="1" applyFont="1">
      <alignment readingOrder="0" shrinkToFit="0" wrapText="1"/>
    </xf>
    <xf borderId="0" fillId="11" fontId="122" numFmtId="0" xfId="0" applyAlignment="1" applyFont="1">
      <alignment readingOrder="0" shrinkToFit="0" wrapText="1"/>
    </xf>
    <xf borderId="0" fillId="11" fontId="128" numFmtId="0" xfId="0" applyAlignment="1" applyFont="1">
      <alignment shrinkToFit="0" vertical="bottom" wrapText="1"/>
    </xf>
    <xf borderId="0" fillId="11" fontId="118" numFmtId="0" xfId="0" applyAlignment="1" applyFont="1">
      <alignment shrinkToFit="0" vertical="bottom" wrapText="1"/>
    </xf>
    <xf borderId="34" fillId="11" fontId="22" numFmtId="0" xfId="0" applyAlignment="1" applyBorder="1" applyFont="1">
      <alignment vertical="top"/>
    </xf>
    <xf borderId="34" fillId="15" fontId="115" numFmtId="0" xfId="0" applyAlignment="1" applyBorder="1" applyFill="1" applyFont="1">
      <alignment readingOrder="0" shrinkToFit="0" vertical="top" wrapText="1"/>
    </xf>
    <xf borderId="0" fillId="15" fontId="129" numFmtId="0" xfId="0" applyAlignment="1" applyFont="1">
      <alignment readingOrder="0" shrinkToFit="0" wrapText="1"/>
    </xf>
    <xf borderId="0" fillId="15" fontId="122" numFmtId="0" xfId="0" applyAlignment="1" applyFont="1">
      <alignment readingOrder="0" shrinkToFit="0" wrapText="1"/>
    </xf>
    <xf borderId="0" fillId="15" fontId="130" numFmtId="0" xfId="0" applyAlignment="1" applyFont="1">
      <alignment readingOrder="0" shrinkToFit="0" wrapText="1"/>
    </xf>
    <xf borderId="0" fillId="15" fontId="122" numFmtId="0" xfId="0" applyAlignment="1" applyFont="1">
      <alignment readingOrder="0" shrinkToFit="0" wrapText="1"/>
    </xf>
    <xf borderId="0" fillId="15" fontId="131" numFmtId="0" xfId="0" applyAlignment="1" applyFont="1">
      <alignment readingOrder="0" shrinkToFit="0" wrapText="1"/>
    </xf>
    <xf borderId="0" fillId="15" fontId="131" numFmtId="0" xfId="0" applyAlignment="1" applyFont="1">
      <alignment readingOrder="0" shrinkToFit="0" wrapText="1"/>
    </xf>
    <xf borderId="34" fillId="16" fontId="115" numFmtId="0" xfId="0" applyAlignment="1" applyBorder="1" applyFill="1" applyFont="1">
      <alignment readingOrder="0" vertical="top"/>
    </xf>
    <xf borderId="0" fillId="16" fontId="132" numFmtId="0" xfId="0" applyAlignment="1" applyFont="1">
      <alignment readingOrder="0" shrinkToFit="0" wrapText="1"/>
    </xf>
    <xf borderId="0" fillId="16" fontId="118" numFmtId="0" xfId="0" applyAlignment="1" applyFont="1">
      <alignment readingOrder="0" shrinkToFit="0" wrapText="1"/>
    </xf>
    <xf borderId="0" fillId="16" fontId="133" numFmtId="0" xfId="0" applyAlignment="1" applyFont="1">
      <alignment shrinkToFit="0" vertical="bottom" wrapText="1"/>
    </xf>
    <xf borderId="0" fillId="16" fontId="118" numFmtId="0" xfId="0" applyAlignment="1" applyFont="1">
      <alignment shrinkToFit="0" vertical="bottom" wrapText="1"/>
    </xf>
    <xf borderId="0" fillId="16" fontId="131" numFmtId="0" xfId="0" applyAlignment="1" applyFont="1">
      <alignment readingOrder="0" shrinkToFit="0" wrapText="1"/>
    </xf>
    <xf borderId="0" fillId="16" fontId="115" numFmtId="0" xfId="0" applyAlignment="1" applyFont="1">
      <alignment readingOrder="0" vertical="top"/>
    </xf>
    <xf borderId="0" fillId="16" fontId="134" numFmtId="0" xfId="0" applyAlignment="1" applyFont="1">
      <alignment readingOrder="0" shrinkToFit="0" wrapText="1"/>
    </xf>
    <xf borderId="0" fillId="16" fontId="22" numFmtId="0" xfId="0" applyAlignment="1" applyFont="1">
      <alignment vertical="top"/>
    </xf>
    <xf borderId="0" fillId="16" fontId="135" numFmtId="0" xfId="0" applyAlignment="1" applyFont="1">
      <alignment shrinkToFit="0" wrapText="1"/>
    </xf>
    <xf borderId="0" fillId="17" fontId="115" numFmtId="0" xfId="0" applyAlignment="1" applyFill="1" applyFont="1">
      <alignment vertical="top"/>
    </xf>
    <xf borderId="0" fillId="17" fontId="22" numFmtId="0" xfId="0" applyAlignment="1" applyFont="1">
      <alignment shrinkToFit="0" vertical="bottom" wrapText="1"/>
    </xf>
    <xf borderId="0" fillId="17" fontId="22" numFmtId="0" xfId="0" applyAlignment="1" applyFont="1">
      <alignment vertical="bottom"/>
    </xf>
    <xf borderId="0" fillId="17" fontId="22" numFmtId="0" xfId="0" applyAlignment="1" applyFont="1">
      <alignment vertical="top"/>
    </xf>
    <xf borderId="0" fillId="17" fontId="136" numFmtId="0" xfId="0" applyAlignment="1" applyFont="1">
      <alignment shrinkToFit="0" vertical="bottom" wrapText="1"/>
    </xf>
    <xf borderId="0" fillId="17" fontId="118" numFmtId="0" xfId="0" applyAlignment="1" applyFont="1">
      <alignment shrinkToFit="0" vertical="bottom" wrapText="1"/>
    </xf>
    <xf borderId="0" fillId="18" fontId="137" numFmtId="0" xfId="0" applyAlignment="1" applyFill="1" applyFont="1">
      <alignment readingOrder="0" vertical="top"/>
    </xf>
    <xf borderId="0" fillId="18" fontId="138" numFmtId="0" xfId="0" applyAlignment="1" applyFont="1">
      <alignment shrinkToFit="0" vertical="bottom" wrapText="1"/>
    </xf>
    <xf borderId="0" fillId="18" fontId="118" numFmtId="0" xfId="0" applyAlignment="1" applyFont="1">
      <alignment shrinkToFit="0" vertical="bottom" wrapText="1"/>
    </xf>
    <xf borderId="0" fillId="18" fontId="22" numFmtId="0" xfId="0" applyAlignment="1" applyFont="1">
      <alignment vertical="top"/>
    </xf>
    <xf borderId="0" fillId="18" fontId="139" numFmtId="0" xfId="0" applyAlignment="1" applyFont="1">
      <alignment readingOrder="0" shrinkToFit="0" vertical="bottom" wrapText="1"/>
    </xf>
    <xf borderId="0" fillId="18" fontId="118" numFmtId="0" xfId="0" applyAlignment="1" applyFont="1">
      <alignment readingOrder="0" shrinkToFit="0" vertical="bottom" wrapText="1"/>
    </xf>
  </cellXfs>
  <cellStyles count="1">
    <cellStyle xfId="0" name="Normal" builtinId="0"/>
  </cellStyles>
  <dxfs count="2">
    <dxf>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705600" cy="3514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7410450</xdr:colOff>
      <xdr:row>0</xdr:row>
      <xdr:rowOff>85725</xdr:rowOff>
    </xdr:from>
    <xdr:ext cx="3981450" cy="39624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28675" cy="8286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atabricks.com/resources/whitepaper/databricks-ai-security-framework-dasf" TargetMode="External"/><Relationship Id="rId2" Type="http://schemas.openxmlformats.org/officeDocument/2006/relationships/hyperlink" Target="https://youtu.be/nfdRMIYWhdc"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databricks.com/resources/whitepaper/databricks-ai-security-framework-dasf" TargetMode="External"/><Relationship Id="rId2" Type="http://schemas.openxmlformats.org/officeDocument/2006/relationships/hyperlink" Target="https://www.databricks.com/resources/whitepaper/databricks-ai-security-framework-dasf"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genai.owasp.org/llmrisk/llm05-supply-chain-vulnerabilities/:" TargetMode="External"/><Relationship Id="rId190" Type="http://schemas.openxmlformats.org/officeDocument/2006/relationships/hyperlink" Target="https://attack.mitre.org/techniques/T1134/001/" TargetMode="External"/><Relationship Id="rId42" Type="http://schemas.openxmlformats.org/officeDocument/2006/relationships/hyperlink" Target="https://artificialintelligenceact.eu/article/12/" TargetMode="External"/><Relationship Id="rId41" Type="http://schemas.openxmlformats.org/officeDocument/2006/relationships/hyperlink" Target="https://owasp.org/www-project-machine-learning-security-top-10/docs/ML02_2023-Data_Poisoning_Attack.html" TargetMode="External"/><Relationship Id="rId44" Type="http://schemas.openxmlformats.org/officeDocument/2006/relationships/hyperlink" Target="https://attack.mitre.org/techniques/T1565/" TargetMode="External"/><Relationship Id="rId43" Type="http://schemas.openxmlformats.org/officeDocument/2006/relationships/hyperlink" Target="https://atlas.mitre.org/techniques/AML.T0019" TargetMode="External"/><Relationship Id="rId46" Type="http://schemas.openxmlformats.org/officeDocument/2006/relationships/hyperlink" Target="https://owasp.org/www-project-machine-learning-security-top-10/docs/ML02_2023-Data_Poisoning_Attack.html" TargetMode="External"/><Relationship Id="rId45" Type="http://schemas.openxmlformats.org/officeDocument/2006/relationships/hyperlink" Target="https://genai.owasp.org/llmrisk/llm03-training-data-poisoning/" TargetMode="External"/><Relationship Id="rId191" Type="http://schemas.openxmlformats.org/officeDocument/2006/relationships/drawing" Target="../drawings/drawing3.xml"/><Relationship Id="rId107" Type="http://schemas.openxmlformats.org/officeDocument/2006/relationships/hyperlink" Target="https://atlas.mitre.org/tactics/AML.TA0000" TargetMode="External"/><Relationship Id="rId106" Type="http://schemas.openxmlformats.org/officeDocument/2006/relationships/hyperlink" Target="https://docs.google.com/document/d/1Th06XIJrHBQ8vrBdLfdJDAOce16m4bAQVBamIjVuGKY/edit" TargetMode="External"/><Relationship Id="rId105" Type="http://schemas.openxmlformats.org/officeDocument/2006/relationships/hyperlink" Target="https://owasp.org/www-project-machine-learning-security-top-10/docs/ML01_2023-Input_Manipulation_Attack.html" TargetMode="External"/><Relationship Id="rId104" Type="http://schemas.openxmlformats.org/officeDocument/2006/relationships/hyperlink" Target="https://genai.owasp.org/llmrisk/llm01-prompt-injection/" TargetMode="External"/><Relationship Id="rId109" Type="http://schemas.openxmlformats.org/officeDocument/2006/relationships/hyperlink" Target="https://genai.owasp.org/llmrisk/llm01-prompt-injection/" TargetMode="External"/><Relationship Id="rId108" Type="http://schemas.openxmlformats.org/officeDocument/2006/relationships/hyperlink" Target="https://attack.mitre.org/techniques/T1134/001/" TargetMode="External"/><Relationship Id="rId48" Type="http://schemas.openxmlformats.org/officeDocument/2006/relationships/hyperlink" Target="https://owasp.org/www-project-machine-learning-security-top-10/docs/ML02_2023-Data_Poisoning_Attack.html" TargetMode="External"/><Relationship Id="rId187" Type="http://schemas.openxmlformats.org/officeDocument/2006/relationships/hyperlink" Target="https://artificialintelligenceact.eu/article/15/" TargetMode="External"/><Relationship Id="rId47" Type="http://schemas.openxmlformats.org/officeDocument/2006/relationships/hyperlink" Target="https://attack.mitre.org/techniques/T1565/" TargetMode="External"/><Relationship Id="rId186" Type="http://schemas.openxmlformats.org/officeDocument/2006/relationships/hyperlink" Target="https://attack.mitre.org/techniques/T1578/" TargetMode="External"/><Relationship Id="rId185" Type="http://schemas.openxmlformats.org/officeDocument/2006/relationships/hyperlink" Target="https://owasp.org/www-project-top-ten/" TargetMode="External"/><Relationship Id="rId49" Type="http://schemas.openxmlformats.org/officeDocument/2006/relationships/hyperlink" Target="https://atlas.mitre.org/tactics/AML.TA0011" TargetMode="External"/><Relationship Id="rId184" Type="http://schemas.openxmlformats.org/officeDocument/2006/relationships/hyperlink" Target="https://artificialintelligenceact.eu/article/15/" TargetMode="External"/><Relationship Id="rId103" Type="http://schemas.openxmlformats.org/officeDocument/2006/relationships/hyperlink" Target="https://docs.google.com/document/d/1Th06XIJrHBQ8vrBdLfdJDAOce16m4bAQVBamIjVuGKY/edit" TargetMode="External"/><Relationship Id="rId102" Type="http://schemas.openxmlformats.org/officeDocument/2006/relationships/hyperlink" Target="https://artificialintelligenceact.eu/article/15/" TargetMode="External"/><Relationship Id="rId101" Type="http://schemas.openxmlformats.org/officeDocument/2006/relationships/hyperlink" Target="https://genai.owasp.org/llmrisk/llm01-prompt-injection/" TargetMode="External"/><Relationship Id="rId189" Type="http://schemas.openxmlformats.org/officeDocument/2006/relationships/hyperlink" Target="https://atlas.mitre.org/tactics/AML.TA0004" TargetMode="External"/><Relationship Id="rId100" Type="http://schemas.openxmlformats.org/officeDocument/2006/relationships/hyperlink" Target="https://attack.mitre.org/techniques/T1554/" TargetMode="External"/><Relationship Id="rId188" Type="http://schemas.openxmlformats.org/officeDocument/2006/relationships/hyperlink" Target="https://owasp.org/www-project-machine-learning-security-top-10/docs/ML08_2023-Model_Skewing.html" TargetMode="External"/><Relationship Id="rId31" Type="http://schemas.openxmlformats.org/officeDocument/2006/relationships/hyperlink" Target="https://atlas.mitre.org/techniques/AML.T0020" TargetMode="External"/><Relationship Id="rId30" Type="http://schemas.openxmlformats.org/officeDocument/2006/relationships/hyperlink" Target="https://genai.owasp.org/llmrisk/llm03-training-data-poisoning/:" TargetMode="External"/><Relationship Id="rId33" Type="http://schemas.openxmlformats.org/officeDocument/2006/relationships/hyperlink" Target="https://atlas.mitre.org/techniques/AML.T0057" TargetMode="External"/><Relationship Id="rId183" Type="http://schemas.openxmlformats.org/officeDocument/2006/relationships/hyperlink" Target="https://attack.mitre.org/techniques/T1578/" TargetMode="External"/><Relationship Id="rId32" Type="http://schemas.openxmlformats.org/officeDocument/2006/relationships/hyperlink" Target="https://genai.owasp.org/llmrisk/llm03-training-data-poisoning/:" TargetMode="External"/><Relationship Id="rId182" Type="http://schemas.openxmlformats.org/officeDocument/2006/relationships/hyperlink" Target="https://owasp.org/www-project-machine-learning-security-top-10/docs/ML08_2023-Model_Skewing.html" TargetMode="External"/><Relationship Id="rId35" Type="http://schemas.openxmlformats.org/officeDocument/2006/relationships/hyperlink" Target="https://owasp.org/www-project-machine-learning-security-top-10/docs/ML01_2023-Input_Manipulation_Attack.html" TargetMode="External"/><Relationship Id="rId181" Type="http://schemas.openxmlformats.org/officeDocument/2006/relationships/hyperlink" Target="https://genai.owasp.org/llmrisk/llm03-training-data-poisoning/" TargetMode="External"/><Relationship Id="rId34" Type="http://schemas.openxmlformats.org/officeDocument/2006/relationships/hyperlink" Target="https://genai.owasp.org/llmrisk/llm05-supply-chain-vulnerabilities/" TargetMode="External"/><Relationship Id="rId180" Type="http://schemas.openxmlformats.org/officeDocument/2006/relationships/hyperlink" Target="https://atlas.mitre.org/techniques/AML.T0010.001" TargetMode="External"/><Relationship Id="rId37" Type="http://schemas.openxmlformats.org/officeDocument/2006/relationships/hyperlink" Target="https://genai.owasp.org/llmrisk/llm03-training-data-poisoning/" TargetMode="External"/><Relationship Id="rId176" Type="http://schemas.openxmlformats.org/officeDocument/2006/relationships/hyperlink" Target="https://owasp.org/www-project-machine-learning-security-top-10/docs/ML01_2023-Input_Manipulation_Attack.html" TargetMode="External"/><Relationship Id="rId36" Type="http://schemas.openxmlformats.org/officeDocument/2006/relationships/hyperlink" Target="https://atlas.mitre.org/techniques/AML.T0020" TargetMode="External"/><Relationship Id="rId175" Type="http://schemas.openxmlformats.org/officeDocument/2006/relationships/hyperlink" Target="https://genai.owasp.org/llmrisk/llm01-prompt-injection/" TargetMode="External"/><Relationship Id="rId39" Type="http://schemas.openxmlformats.org/officeDocument/2006/relationships/hyperlink" Target="https://atlas.mitre.org/techniques/AML.T0020" TargetMode="External"/><Relationship Id="rId174" Type="http://schemas.openxmlformats.org/officeDocument/2006/relationships/hyperlink" Target="https://en.wikipedia.org/wiki/Adversarial_machine_learning" TargetMode="External"/><Relationship Id="rId38" Type="http://schemas.openxmlformats.org/officeDocument/2006/relationships/hyperlink" Target="https://owasp.org/www-project-machine-learning-security-top-10/docs/ML08_2023-Model_Skewing.html" TargetMode="External"/><Relationship Id="rId173" Type="http://schemas.openxmlformats.org/officeDocument/2006/relationships/hyperlink" Target="https://owasp.org/www-project-machine-learning-security-top-10/docs/ML01_2023-Input_Manipulation_Attack.html" TargetMode="External"/><Relationship Id="rId179" Type="http://schemas.openxmlformats.org/officeDocument/2006/relationships/hyperlink" Target="https://owasp.org/www-project-machine-learning-security-top-10/docs/ML01_2023-Input_Manipulation_Attack.html" TargetMode="External"/><Relationship Id="rId178" Type="http://schemas.openxmlformats.org/officeDocument/2006/relationships/hyperlink" Target="https://genai.owasp.org/llmrisk/llm01-prompt-injection/" TargetMode="External"/><Relationship Id="rId177" Type="http://schemas.openxmlformats.org/officeDocument/2006/relationships/hyperlink" Target="https://atlas.mitre.org/techniques/AML.T0056" TargetMode="External"/><Relationship Id="rId20" Type="http://schemas.openxmlformats.org/officeDocument/2006/relationships/hyperlink" Target="https://owasp.org/www-project-machine-learning-security-top-10/docs/ML08_2023-Model_Skewing.html" TargetMode="External"/><Relationship Id="rId22" Type="http://schemas.openxmlformats.org/officeDocument/2006/relationships/hyperlink" Target="https://atlas.mitre.org/techniques/AML.T0051" TargetMode="External"/><Relationship Id="rId21" Type="http://schemas.openxmlformats.org/officeDocument/2006/relationships/hyperlink" Target="https://artificialintelligenceact.eu/article/10/" TargetMode="External"/><Relationship Id="rId24" Type="http://schemas.openxmlformats.org/officeDocument/2006/relationships/hyperlink" Target="https://genai.owasp.org/llmrisk/llm01-prompt-injection/" TargetMode="External"/><Relationship Id="rId23" Type="http://schemas.openxmlformats.org/officeDocument/2006/relationships/hyperlink" Target="https://attack.mitre.org/techniques/T1486/" TargetMode="External"/><Relationship Id="rId129" Type="http://schemas.openxmlformats.org/officeDocument/2006/relationships/hyperlink" Target="https://docs.google.com/document/d/1Th06XIJrHBQ8vrBdLfdJDAOce16m4bAQVBamIjVuGKY/edit" TargetMode="External"/><Relationship Id="rId128" Type="http://schemas.openxmlformats.org/officeDocument/2006/relationships/hyperlink" Target="https://owasp.org/www-project-machine-learning-security-top-10/docs/ML03_2023-Model_Inversion_Attack.html" TargetMode="External"/><Relationship Id="rId127" Type="http://schemas.openxmlformats.org/officeDocument/2006/relationships/hyperlink" Target="https://genai.owasp.org/llmrisk/llm01-prompt-injection/" TargetMode="External"/><Relationship Id="rId126" Type="http://schemas.openxmlformats.org/officeDocument/2006/relationships/hyperlink" Target="https://atlas.mitre.org/tactics/AML.TA0005" TargetMode="External"/><Relationship Id="rId26" Type="http://schemas.openxmlformats.org/officeDocument/2006/relationships/hyperlink" Target="https://atlas.mitre.org/techniques/AML.T0020" TargetMode="External"/><Relationship Id="rId121" Type="http://schemas.openxmlformats.org/officeDocument/2006/relationships/hyperlink" Target="https://genai.owasp.org/llmrisk/llm01-prompt-injection/" TargetMode="External"/><Relationship Id="rId25" Type="http://schemas.openxmlformats.org/officeDocument/2006/relationships/hyperlink" Target="https://owasp.org/www-project-machine-learning-security-top-10/docs/ML02_2023-Data_Poisoning_Attack.html" TargetMode="External"/><Relationship Id="rId120" Type="http://schemas.openxmlformats.org/officeDocument/2006/relationships/hyperlink" Target="https://atlas.mitre.org/techniques/AML.T0051" TargetMode="External"/><Relationship Id="rId28" Type="http://schemas.openxmlformats.org/officeDocument/2006/relationships/hyperlink" Target="https://genai.owasp.org/llmrisk/llm03-training-data-poisoning/:" TargetMode="External"/><Relationship Id="rId27" Type="http://schemas.openxmlformats.org/officeDocument/2006/relationships/hyperlink" Target="https://attack.mitre.org/techniques/T1565/" TargetMode="External"/><Relationship Id="rId125" Type="http://schemas.openxmlformats.org/officeDocument/2006/relationships/hyperlink" Target="https://docs.google.com/document/d/1Th06XIJrHBQ8vrBdLfdJDAOce16m4bAQVBamIjVuGKY/edit" TargetMode="External"/><Relationship Id="rId29" Type="http://schemas.openxmlformats.org/officeDocument/2006/relationships/hyperlink" Target="https://atlas.mitre.org/techniques/AML.T0020" TargetMode="External"/><Relationship Id="rId124" Type="http://schemas.openxmlformats.org/officeDocument/2006/relationships/hyperlink" Target="https://owasp.org/www-project-machine-learning-security-top-10/docs/ML01_2023-Input_Manipulation_Attack.html" TargetMode="External"/><Relationship Id="rId123" Type="http://schemas.openxmlformats.org/officeDocument/2006/relationships/hyperlink" Target="https://genai.owasp.org/llmrisk/llm01-prompt-injection/" TargetMode="External"/><Relationship Id="rId122" Type="http://schemas.openxmlformats.org/officeDocument/2006/relationships/hyperlink" Target="https://owasp.org/www-project-machine-learning-security-top-10/docs/ML01_2023-Input_Manipulation_Attack.html" TargetMode="External"/><Relationship Id="rId95" Type="http://schemas.openxmlformats.org/officeDocument/2006/relationships/hyperlink" Target="https://attack.mitre.org/techniques/T1554/" TargetMode="External"/><Relationship Id="rId94" Type="http://schemas.openxmlformats.org/officeDocument/2006/relationships/hyperlink" Target="https://atlas.mitre.org/tactics/AML.TA0003" TargetMode="External"/><Relationship Id="rId97" Type="http://schemas.openxmlformats.org/officeDocument/2006/relationships/hyperlink" Target="https://owasp.org/www-project-machine-learning-security-top-10/docs/ML08_2023-Model_Skewing.html" TargetMode="External"/><Relationship Id="rId96" Type="http://schemas.openxmlformats.org/officeDocument/2006/relationships/hyperlink" Target="https://genai.owasp.org/llmrisk/llm01-prompt-injection/" TargetMode="External"/><Relationship Id="rId11" Type="http://schemas.openxmlformats.org/officeDocument/2006/relationships/hyperlink" Target="https://atlas.mitre.org/tactics/AML.TA0004" TargetMode="External"/><Relationship Id="rId99" Type="http://schemas.openxmlformats.org/officeDocument/2006/relationships/hyperlink" Target="https://atlas.mitre.org/techniques/AML.T0016.001" TargetMode="External"/><Relationship Id="rId10" Type="http://schemas.openxmlformats.org/officeDocument/2006/relationships/hyperlink" Target="https://owasp.org/www-project-mcp-top-10/" TargetMode="External"/><Relationship Id="rId98" Type="http://schemas.openxmlformats.org/officeDocument/2006/relationships/hyperlink" Target="https://artificialintelligenceact.eu/article/15/" TargetMode="External"/><Relationship Id="rId13" Type="http://schemas.openxmlformats.org/officeDocument/2006/relationships/hyperlink" Target="https://genai.owasp.org/llmrisk/llm01-prompt-injection/" TargetMode="External"/><Relationship Id="rId12" Type="http://schemas.openxmlformats.org/officeDocument/2006/relationships/hyperlink" Target="https://attack.mitre.org/techniques/T1486/" TargetMode="External"/><Relationship Id="rId91" Type="http://schemas.openxmlformats.org/officeDocument/2006/relationships/hyperlink" Target="https://atlas.mitre.org/tactics/AML.TA0010" TargetMode="External"/><Relationship Id="rId90" Type="http://schemas.openxmlformats.org/officeDocument/2006/relationships/hyperlink" Target="https://artificialintelligenceact.eu/article/15/" TargetMode="External"/><Relationship Id="rId93" Type="http://schemas.openxmlformats.org/officeDocument/2006/relationships/hyperlink" Target="https://owasp.org/www-project-machine-learning-security-top-10/docs/ML02_2023-Data_Poisoning_Attack.html" TargetMode="External"/><Relationship Id="rId92" Type="http://schemas.openxmlformats.org/officeDocument/2006/relationships/hyperlink" Target="https://genai.owasp.org/llmrisk/llm01-prompt-injection/" TargetMode="External"/><Relationship Id="rId118" Type="http://schemas.openxmlformats.org/officeDocument/2006/relationships/hyperlink" Target="https://owasp.org/www-project-machine-learning-security-top-10/docs/ML01_2023-Input_Manipulation_Attack.html" TargetMode="External"/><Relationship Id="rId117" Type="http://schemas.openxmlformats.org/officeDocument/2006/relationships/hyperlink" Target="https://genai.owasp.org/llmrisk/llm01-prompt-injection/" TargetMode="External"/><Relationship Id="rId116" Type="http://schemas.openxmlformats.org/officeDocument/2006/relationships/hyperlink" Target="https://atlas.mitre.org/techniques/AML.T0024.001" TargetMode="External"/><Relationship Id="rId115" Type="http://schemas.openxmlformats.org/officeDocument/2006/relationships/hyperlink" Target="https://docs.google.com/document/d/1Th06XIJrHBQ8vrBdLfdJDAOce16m4bAQVBamIjVuGKY/edit" TargetMode="External"/><Relationship Id="rId119" Type="http://schemas.openxmlformats.org/officeDocument/2006/relationships/hyperlink" Target="https://docs.google.com/document/d/1Th06XIJrHBQ8vrBdLfdJDAOce16m4bAQVBamIjVuGKY/edit" TargetMode="External"/><Relationship Id="rId15" Type="http://schemas.openxmlformats.org/officeDocument/2006/relationships/hyperlink" Target="https://atlas.mitre.org/techniques/AML.T0043" TargetMode="External"/><Relationship Id="rId110" Type="http://schemas.openxmlformats.org/officeDocument/2006/relationships/hyperlink" Target="https://owasp.org/www-project-machine-learning-security-top-10/docs/ML01_2023-Input_Manipulation_Attack.html" TargetMode="External"/><Relationship Id="rId14" Type="http://schemas.openxmlformats.org/officeDocument/2006/relationships/hyperlink" Target="https://owasp.org/www-project-machine-learning-security-top-10/docs/ML02_2023-Data_Poisoning_Attack.html" TargetMode="External"/><Relationship Id="rId17" Type="http://schemas.openxmlformats.org/officeDocument/2006/relationships/hyperlink" Target="https://owasp.org/www-project-machine-learning-security-top-10/docs/ML02_2023-Data_Poisoning_Attack.html" TargetMode="External"/><Relationship Id="rId16" Type="http://schemas.openxmlformats.org/officeDocument/2006/relationships/hyperlink" Target="https://genai.owasp.org/llmrisk/llm03-training-data-poisoning/" TargetMode="External"/><Relationship Id="rId19" Type="http://schemas.openxmlformats.org/officeDocument/2006/relationships/hyperlink" Target="https://genai.owasp.org/llmrisk/llm03-training-data-poisoning/" TargetMode="External"/><Relationship Id="rId114" Type="http://schemas.openxmlformats.org/officeDocument/2006/relationships/hyperlink" Target="https://artificialintelligenceact.eu/article/14/" TargetMode="External"/><Relationship Id="rId18" Type="http://schemas.openxmlformats.org/officeDocument/2006/relationships/hyperlink" Target="https://atlas.mitre.org/techniques/AML.T0020" TargetMode="External"/><Relationship Id="rId113" Type="http://schemas.openxmlformats.org/officeDocument/2006/relationships/hyperlink" Target="https://owasp.org/www-project-machine-learning-security-top-10/docs/ML01_2023-Input_Manipulation_Attack.html" TargetMode="External"/><Relationship Id="rId112" Type="http://schemas.openxmlformats.org/officeDocument/2006/relationships/hyperlink" Target="https://genai.owasp.org/llmrisk/llm01-prompt-injection/" TargetMode="External"/><Relationship Id="rId111" Type="http://schemas.openxmlformats.org/officeDocument/2006/relationships/hyperlink" Target="https://docs.google.com/document/d/1Th06XIJrHBQ8vrBdLfdJDAOce16m4bAQVBamIjVuGKY/edit" TargetMode="External"/><Relationship Id="rId84" Type="http://schemas.openxmlformats.org/officeDocument/2006/relationships/hyperlink" Target="https://arxiv.org/html/2404.14082v1" TargetMode="External"/><Relationship Id="rId83" Type="http://schemas.openxmlformats.org/officeDocument/2006/relationships/hyperlink" Target="https://genai.owasp.org/llmrisk/llm03-training-data-poisoning/" TargetMode="External"/><Relationship Id="rId86" Type="http://schemas.openxmlformats.org/officeDocument/2006/relationships/hyperlink" Target="https://atlas.mitre.org/tactics/AML.TA0006" TargetMode="External"/><Relationship Id="rId85" Type="http://schemas.openxmlformats.org/officeDocument/2006/relationships/hyperlink" Target="https://artificialintelligenceact.eu/article/10/" TargetMode="External"/><Relationship Id="rId88" Type="http://schemas.openxmlformats.org/officeDocument/2006/relationships/hyperlink" Target="https://genai.owasp.org/llmrisk/llm01-prompt-injection/" TargetMode="External"/><Relationship Id="rId150" Type="http://schemas.openxmlformats.org/officeDocument/2006/relationships/hyperlink" Target="https://docs.google.com/document/d/1Th06XIJrHBQ8vrBdLfdJDAOce16m4bAQVBamIjVuGKY/edit" TargetMode="External"/><Relationship Id="rId87" Type="http://schemas.openxmlformats.org/officeDocument/2006/relationships/hyperlink" Target="https://attack.mitre.org/techniques/T1587/001/" TargetMode="External"/><Relationship Id="rId89" Type="http://schemas.openxmlformats.org/officeDocument/2006/relationships/hyperlink" Target="https://owasp.org/www-project-machine-learning-security-top-10/docs/ML02_2023-Data_Poisoning_Attack.html" TargetMode="External"/><Relationship Id="rId80" Type="http://schemas.openxmlformats.org/officeDocument/2006/relationships/hyperlink" Target="https://artificialintelligenceact.eu/article/15/" TargetMode="External"/><Relationship Id="rId82" Type="http://schemas.openxmlformats.org/officeDocument/2006/relationships/hyperlink" Target="https://owasp.org/www-project-machine-learning-security-top-10/docs/ML02_2023-Data_Poisoning_Attack.html" TargetMode="External"/><Relationship Id="rId81" Type="http://schemas.openxmlformats.org/officeDocument/2006/relationships/hyperlink" Target="https://genai.owasp.org/llmrisk/llm01-prompt-injection/" TargetMode="External"/><Relationship Id="rId1" Type="http://schemas.openxmlformats.org/officeDocument/2006/relationships/hyperlink" Target="https://atlas.mitre.org/techniques" TargetMode="External"/><Relationship Id="rId2" Type="http://schemas.openxmlformats.org/officeDocument/2006/relationships/hyperlink" Target="https://attack.mitre.org/techniques/enterprise/" TargetMode="External"/><Relationship Id="rId3" Type="http://schemas.openxmlformats.org/officeDocument/2006/relationships/hyperlink" Target="https://genai.owasp.org/resource/owasp-top-10-for-llm-applications-2025" TargetMode="External"/><Relationship Id="rId149" Type="http://schemas.openxmlformats.org/officeDocument/2006/relationships/hyperlink" Target="https://owasp.org/www-project-machine-learning-security-top-10/docs/ML02_2023-Data_Poisoning_Attack.html" TargetMode="External"/><Relationship Id="rId4" Type="http://schemas.openxmlformats.org/officeDocument/2006/relationships/hyperlink" Target="https://owasp.org/www-project-machine-learning-security-top-10/" TargetMode="External"/><Relationship Id="rId148" Type="http://schemas.openxmlformats.org/officeDocument/2006/relationships/hyperlink" Target="https://genai.owasp.org/llmrisk/llm01-prompt-injection/" TargetMode="External"/><Relationship Id="rId9" Type="http://schemas.openxmlformats.org/officeDocument/2006/relationships/hyperlink" Target="https://modelcontextprotocol-security.io/top10/" TargetMode="External"/><Relationship Id="rId143" Type="http://schemas.openxmlformats.org/officeDocument/2006/relationships/hyperlink" Target="https://owasp.org/www-project-machine-learning-security-top-10/docs/ML02_2023-Data_Poisoning_Attack.html" TargetMode="External"/><Relationship Id="rId142" Type="http://schemas.openxmlformats.org/officeDocument/2006/relationships/hyperlink" Target="https://genai.owasp.org/llmrisk/llm01-prompt-injection/" TargetMode="External"/><Relationship Id="rId141" Type="http://schemas.openxmlformats.org/officeDocument/2006/relationships/hyperlink" Target="https://attack.mitre.org/techniques/T1499/" TargetMode="External"/><Relationship Id="rId140" Type="http://schemas.openxmlformats.org/officeDocument/2006/relationships/hyperlink" Target="https://atlas.mitre.org/tactics/AML.TA0011" TargetMode="External"/><Relationship Id="rId5" Type="http://schemas.openxmlformats.org/officeDocument/2006/relationships/hyperlink" Target="https://genai.owasp.org/resource/agentic-ai-threats-and-mitigations/" TargetMode="External"/><Relationship Id="rId147" Type="http://schemas.openxmlformats.org/officeDocument/2006/relationships/hyperlink" Target="https://atlas.mitre.org/tactics/AML.TA0012" TargetMode="External"/><Relationship Id="rId6" Type="http://schemas.openxmlformats.org/officeDocument/2006/relationships/hyperlink" Target="https://csrc.nist.gov/pubs/sp/800/53/b/upd1/final" TargetMode="External"/><Relationship Id="rId146" Type="http://schemas.openxmlformats.org/officeDocument/2006/relationships/hyperlink" Target="https://nvlpubs.nist.gov/nistpubs/ai/NIST.AI.100-2e2023.pdf" TargetMode="External"/><Relationship Id="rId7" Type="http://schemas.openxmlformats.org/officeDocument/2006/relationships/hyperlink" Target="https://www.manula.com/manuals/hitrust/ai-security-certification-requirements-draft/1/en/topic/about-this-assessment-and-certification" TargetMode="External"/><Relationship Id="rId145" Type="http://schemas.openxmlformats.org/officeDocument/2006/relationships/hyperlink" Target="https://docs.google.com/document/d/1Th06XIJrHBQ8vrBdLfdJDAOce16m4bAQVBamIjVuGKY/edit" TargetMode="External"/><Relationship Id="rId8" Type="http://schemas.openxmlformats.org/officeDocument/2006/relationships/hyperlink" Target="https://www.enisa.europa.eu/publications/securing-machine-learning-algorithms" TargetMode="External"/><Relationship Id="rId144" Type="http://schemas.openxmlformats.org/officeDocument/2006/relationships/hyperlink" Target="https://docs.google.com/document/d/1Th06XIJrHBQ8vrBdLfdJDAOce16m4bAQVBamIjVuGKY/edit" TargetMode="External"/><Relationship Id="rId73" Type="http://schemas.openxmlformats.org/officeDocument/2006/relationships/hyperlink" Target="https://genai.owasp.org/llmrisk/llm03-training-data-poisoning/" TargetMode="External"/><Relationship Id="rId72" Type="http://schemas.openxmlformats.org/officeDocument/2006/relationships/hyperlink" Target="https://owasp.org/www-project-machine-learning-security-top-10/docs/ML08_2023-Model_Skewing.html" TargetMode="External"/><Relationship Id="rId75" Type="http://schemas.openxmlformats.org/officeDocument/2006/relationships/hyperlink" Target="https://artificialintelligenceact.eu/article/72/" TargetMode="External"/><Relationship Id="rId74" Type="http://schemas.openxmlformats.org/officeDocument/2006/relationships/hyperlink" Target="https://owasp.org/www-project-machine-learning-security-top-10/docs/ML02_2023-Data_Poisoning_Attack.html" TargetMode="External"/><Relationship Id="rId77" Type="http://schemas.openxmlformats.org/officeDocument/2006/relationships/hyperlink" Target="https://owasp.org/www-project-machine-learning-security-top-10/docs/ML08_2023-Model_Skewing.html" TargetMode="External"/><Relationship Id="rId76" Type="http://schemas.openxmlformats.org/officeDocument/2006/relationships/hyperlink" Target="https://genai.owasp.org/llmrisk/llm03-training-data-poisoning/" TargetMode="External"/><Relationship Id="rId79" Type="http://schemas.openxmlformats.org/officeDocument/2006/relationships/hyperlink" Target="https://atlas.mitre.org/techniques/AML.T0017.000" TargetMode="External"/><Relationship Id="rId78" Type="http://schemas.openxmlformats.org/officeDocument/2006/relationships/hyperlink" Target="https://docs.google.com/document/d/1epsOvh7MQpp3QHerB_Zmzb9-XXd5U374-cNK1t1LlEg/edit" TargetMode="External"/><Relationship Id="rId71" Type="http://schemas.openxmlformats.org/officeDocument/2006/relationships/hyperlink" Target="https://genai.owasp.org/llmrisk/llm03-training-data-poisoning/" TargetMode="External"/><Relationship Id="rId70" Type="http://schemas.openxmlformats.org/officeDocument/2006/relationships/hyperlink" Target="https://owasp.org/www-project-machine-learning-security-top-10/docs/ML02_2023-Data_Poisoning_Attack.html" TargetMode="External"/><Relationship Id="rId139" Type="http://schemas.openxmlformats.org/officeDocument/2006/relationships/hyperlink" Target="https://docs.google.com/document/d/1Th06XIJrHBQ8vrBdLfdJDAOce16m4bAQVBamIjVuGKY/edit" TargetMode="External"/><Relationship Id="rId138" Type="http://schemas.openxmlformats.org/officeDocument/2006/relationships/hyperlink" Target="https://owasp.org/www-project-machine-learning-security-top-10/docs/ML01_2023-Input_Manipulation_Attack.html" TargetMode="External"/><Relationship Id="rId137" Type="http://schemas.openxmlformats.org/officeDocument/2006/relationships/hyperlink" Target="https://genai.owasp.org/llmrisk/llm01-prompt-injection/" TargetMode="External"/><Relationship Id="rId132" Type="http://schemas.openxmlformats.org/officeDocument/2006/relationships/hyperlink" Target="https://genai.owasp.org/llmrisk/llm01-prompt-injection/" TargetMode="External"/><Relationship Id="rId131" Type="http://schemas.openxmlformats.org/officeDocument/2006/relationships/hyperlink" Target="https://atlas.mitre.org/techniques/AML.T0016" TargetMode="External"/><Relationship Id="rId130" Type="http://schemas.openxmlformats.org/officeDocument/2006/relationships/hyperlink" Target="https://docs.google.com/document/d/1Th06XIJrHBQ8vrBdLfdJDAOce16m4bAQVBamIjVuGKY/edit" TargetMode="External"/><Relationship Id="rId136" Type="http://schemas.openxmlformats.org/officeDocument/2006/relationships/hyperlink" Target="https://atlas.mitre.org/techniques/AML.T0013" TargetMode="External"/><Relationship Id="rId135" Type="http://schemas.openxmlformats.org/officeDocument/2006/relationships/hyperlink" Target="https://atlas.mitre.org/techniques/AML.T0013" TargetMode="External"/><Relationship Id="rId134" Type="http://schemas.openxmlformats.org/officeDocument/2006/relationships/hyperlink" Target="https://docs.google.com/document/d/1Th06XIJrHBQ8vrBdLfdJDAOce16m4bAQVBamIjVuGKY/edit" TargetMode="External"/><Relationship Id="rId133" Type="http://schemas.openxmlformats.org/officeDocument/2006/relationships/hyperlink" Target="https://owasp.org/www-project-machine-learning-security-top-10/docs/ML01_2023-Input_Manipulation_Attack.html" TargetMode="External"/><Relationship Id="rId62" Type="http://schemas.openxmlformats.org/officeDocument/2006/relationships/hyperlink" Target="https://owasp.org/www-project-machine-learning-security-top-10/docs/ML02_2023-Data_Poisoning_Attack.html" TargetMode="External"/><Relationship Id="rId61" Type="http://schemas.openxmlformats.org/officeDocument/2006/relationships/hyperlink" Target="https://genai.owasp.org/llmrisk/llm01-prompt-injection/" TargetMode="External"/><Relationship Id="rId64" Type="http://schemas.openxmlformats.org/officeDocument/2006/relationships/hyperlink" Target="https://genai.owasp.org/llmrisk/llm01-prompt-injection/" TargetMode="External"/><Relationship Id="rId63" Type="http://schemas.openxmlformats.org/officeDocument/2006/relationships/hyperlink" Target="https://atlas.mitre.org/techniques/AML.T0051" TargetMode="External"/><Relationship Id="rId66" Type="http://schemas.openxmlformats.org/officeDocument/2006/relationships/hyperlink" Target="https://artificialintelligenceact.eu/article/5/" TargetMode="External"/><Relationship Id="rId172" Type="http://schemas.openxmlformats.org/officeDocument/2006/relationships/hyperlink" Target="https://genai.owasp.org/llmrisk/llm01-prompt-injection/" TargetMode="External"/><Relationship Id="rId65" Type="http://schemas.openxmlformats.org/officeDocument/2006/relationships/hyperlink" Target="https://owasp.org/www-project-machine-learning-security-top-10/docs/ML02_2023-Data_Poisoning_Attack.html" TargetMode="External"/><Relationship Id="rId171" Type="http://schemas.openxmlformats.org/officeDocument/2006/relationships/hyperlink" Target="https://atlas.mitre.org/techniques/AML.T0014" TargetMode="External"/><Relationship Id="rId68" Type="http://schemas.openxmlformats.org/officeDocument/2006/relationships/hyperlink" Target="https://owasp.org/www-project-machine-learning-security-top-10/docs/ML02_2023-Data_Poisoning_Attack.html" TargetMode="External"/><Relationship Id="rId170" Type="http://schemas.openxmlformats.org/officeDocument/2006/relationships/hyperlink" Target="https://owasp.org/www-project-machine-learning-security-top-10/docs/ML01_2023-Input_Manipulation_Attack.html" TargetMode="External"/><Relationship Id="rId67" Type="http://schemas.openxmlformats.org/officeDocument/2006/relationships/hyperlink" Target="https://atlas.mitre.org/tactics/AML.TA0011" TargetMode="External"/><Relationship Id="rId60" Type="http://schemas.openxmlformats.org/officeDocument/2006/relationships/hyperlink" Target="https://atlas.mitre.org/techniques/AML.T0043" TargetMode="External"/><Relationship Id="rId165" Type="http://schemas.openxmlformats.org/officeDocument/2006/relationships/hyperlink" Target="https://artificialintelligenceact.eu/article/72/" TargetMode="External"/><Relationship Id="rId69" Type="http://schemas.openxmlformats.org/officeDocument/2006/relationships/hyperlink" Target="https://genai.owasp.org/llmrisk/llm01-prompt-injection/" TargetMode="External"/><Relationship Id="rId164" Type="http://schemas.openxmlformats.org/officeDocument/2006/relationships/hyperlink" Target="https://owasp.org/www-project-machine-learning-security-top-10/docs/ML03_2023-Model_Inversion_Attack.html" TargetMode="External"/><Relationship Id="rId163" Type="http://schemas.openxmlformats.org/officeDocument/2006/relationships/hyperlink" Target="https://genai.owasp.org/llmrisk/llm03-training-data-poisoning/" TargetMode="External"/><Relationship Id="rId162" Type="http://schemas.openxmlformats.org/officeDocument/2006/relationships/hyperlink" Target="https://genai.owasp.org/llmrisk/llm08-excessive-agency/" TargetMode="External"/><Relationship Id="rId169" Type="http://schemas.openxmlformats.org/officeDocument/2006/relationships/hyperlink" Target="https://genai.owasp.org/llmrisk/llm01-prompt-injection/" TargetMode="External"/><Relationship Id="rId168" Type="http://schemas.openxmlformats.org/officeDocument/2006/relationships/hyperlink" Target="https://atlas.mitre.org/techniques/AML.T0013" TargetMode="External"/><Relationship Id="rId167" Type="http://schemas.openxmlformats.org/officeDocument/2006/relationships/hyperlink" Target="https://owasp.org/www-project-machine-learning-security-top-10/docs/ML01_2023-Input_Manipulation_Attack.html" TargetMode="External"/><Relationship Id="rId166" Type="http://schemas.openxmlformats.org/officeDocument/2006/relationships/hyperlink" Target="https://genai.owasp.org/llmrisk/llm01-prompt-injection/" TargetMode="External"/><Relationship Id="rId51" Type="http://schemas.openxmlformats.org/officeDocument/2006/relationships/hyperlink" Target="https://owasp.org/www-project-machine-learning-security-top-10/docs/ML02_2023-Data_Poisoning_Attack.html" TargetMode="External"/><Relationship Id="rId50" Type="http://schemas.openxmlformats.org/officeDocument/2006/relationships/hyperlink" Target="https://attack.mitre.org/techniques/T1565/" TargetMode="External"/><Relationship Id="rId53" Type="http://schemas.openxmlformats.org/officeDocument/2006/relationships/hyperlink" Target="https://genai.owasp.org/llmrisk/llm03-training-data-poisoning/" TargetMode="External"/><Relationship Id="rId52" Type="http://schemas.openxmlformats.org/officeDocument/2006/relationships/hyperlink" Target="https://atlas.mitre.org/tactics/AML.TA0011" TargetMode="External"/><Relationship Id="rId55" Type="http://schemas.openxmlformats.org/officeDocument/2006/relationships/hyperlink" Target="https://atlas.mitre.org/tactics/AML.TA0011" TargetMode="External"/><Relationship Id="rId161" Type="http://schemas.openxmlformats.org/officeDocument/2006/relationships/hyperlink" Target="https://docs.google.com/document/d/1Th06XIJrHBQ8vrBdLfdJDAOce16m4bAQVBamIjVuGKY/edit" TargetMode="External"/><Relationship Id="rId54" Type="http://schemas.openxmlformats.org/officeDocument/2006/relationships/hyperlink" Target="https://owasp.org/www-project-machine-learning-security-top-10/docs/ML02_2023-Data_Poisoning_Attack.html" TargetMode="External"/><Relationship Id="rId160" Type="http://schemas.openxmlformats.org/officeDocument/2006/relationships/hyperlink" Target="https://attack.mitre.org/techniques/T1134/001/" TargetMode="External"/><Relationship Id="rId57" Type="http://schemas.openxmlformats.org/officeDocument/2006/relationships/hyperlink" Target="https://genai.owasp.org/llmrisk/llm03-training-data-poisoning/" TargetMode="External"/><Relationship Id="rId56" Type="http://schemas.openxmlformats.org/officeDocument/2006/relationships/hyperlink" Target="https://attack.mitre.org/techniques/T1565/" TargetMode="External"/><Relationship Id="rId159" Type="http://schemas.openxmlformats.org/officeDocument/2006/relationships/hyperlink" Target="https://atlas.mitre.org/tactics/AML.TA0004" TargetMode="External"/><Relationship Id="rId59" Type="http://schemas.openxmlformats.org/officeDocument/2006/relationships/hyperlink" Target="https://docs.google.com/document/d/1epsOvh7MQpp3QHerB_Zmzb9-XXd5U374-cNK1t1LlEg/edit" TargetMode="External"/><Relationship Id="rId154" Type="http://schemas.openxmlformats.org/officeDocument/2006/relationships/hyperlink" Target="https://owasp.org/www-project-machine-learning-security-top-10/docs/ML02_2023-Data_Poisoning_Attack.html" TargetMode="External"/><Relationship Id="rId58" Type="http://schemas.openxmlformats.org/officeDocument/2006/relationships/hyperlink" Target="https://owasp.org/www-project-machine-learning-security-top-10/docs/ML02_2023-Data_Poisoning_Attack.html" TargetMode="External"/><Relationship Id="rId153" Type="http://schemas.openxmlformats.org/officeDocument/2006/relationships/hyperlink" Target="https://genai.owasp.org/llmrisk/llm01-prompt-injection/" TargetMode="External"/><Relationship Id="rId152" Type="http://schemas.openxmlformats.org/officeDocument/2006/relationships/hyperlink" Target="https://attack.mitre.org/techniques/T1134/001/" TargetMode="External"/><Relationship Id="rId151" Type="http://schemas.openxmlformats.org/officeDocument/2006/relationships/hyperlink" Target="https://atlas.mitre.org/tactics/AML.TA0013" TargetMode="External"/><Relationship Id="rId158" Type="http://schemas.openxmlformats.org/officeDocument/2006/relationships/hyperlink" Target="https://docs.google.com/document/d/1Th06XIJrHBQ8vrBdLfdJDAOce16m4bAQVBamIjVuGKY/edit" TargetMode="External"/><Relationship Id="rId157" Type="http://schemas.openxmlformats.org/officeDocument/2006/relationships/hyperlink" Target="https://attack.mitre.org/techniques/T1134/001/" TargetMode="External"/><Relationship Id="rId156" Type="http://schemas.openxmlformats.org/officeDocument/2006/relationships/hyperlink" Target="https://atlas.mitre.org/tactics/AML.TA0004" TargetMode="External"/><Relationship Id="rId155" Type="http://schemas.openxmlformats.org/officeDocument/2006/relationships/hyperlink" Target="https://docs.google.com/document/d/1Th06XIJrHBQ8vrBdLfdJDAOce16m4bAQVBamIjVuGKY/edit"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gcp.databricks.com/en/data-governance/unity-catalog/manage-privileges/privileges.html" TargetMode="External"/><Relationship Id="rId190" Type="http://schemas.openxmlformats.org/officeDocument/2006/relationships/hyperlink" Target="https://owasp.org/www-project-machine-learning-security-top-10/docs/ML03_2023-Model_Inversion_Attack.html" TargetMode="External"/><Relationship Id="rId42" Type="http://schemas.openxmlformats.org/officeDocument/2006/relationships/hyperlink" Target="https://attack.mitre.org/mitigations/M1029" TargetMode="External"/><Relationship Id="rId41" Type="http://schemas.openxmlformats.org/officeDocument/2006/relationships/hyperlink" Target="https://atlas.mitre.org/mitigations/AML.M0005" TargetMode="External"/><Relationship Id="rId44" Type="http://schemas.openxmlformats.org/officeDocument/2006/relationships/hyperlink" Target="https://owasp.org/www-project-machine-learning-security-top-10/docs/ML02_2023-Data_Poisoning_Attack.html" TargetMode="External"/><Relationship Id="rId194" Type="http://schemas.openxmlformats.org/officeDocument/2006/relationships/hyperlink" Target="https://docs.gcp.databricks.com/en/lakehouse-monitoring/monitor-alerts.html" TargetMode="External"/><Relationship Id="rId43" Type="http://schemas.openxmlformats.org/officeDocument/2006/relationships/hyperlink" Target="https://genai.owasp.org/llmrisk/llm01-prompt-injection/" TargetMode="External"/><Relationship Id="rId193" Type="http://schemas.openxmlformats.org/officeDocument/2006/relationships/hyperlink" Target="https://learn.microsoft.com/en-us/azure/databricks/lakehouse-monitoring/monitor-alerts" TargetMode="External"/><Relationship Id="rId46" Type="http://schemas.openxmlformats.org/officeDocument/2006/relationships/hyperlink" Target="https://docs.databricks.com/aws/en/lakehouse-monitoring/data-classification" TargetMode="External"/><Relationship Id="rId192" Type="http://schemas.openxmlformats.org/officeDocument/2006/relationships/hyperlink" Target="https://docs.databricks.com/en/lakehouse-monitoring/monitor-alerts.html" TargetMode="External"/><Relationship Id="rId45" Type="http://schemas.openxmlformats.org/officeDocument/2006/relationships/hyperlink" Target="https://artificialintelligenceact.eu/article/5/" TargetMode="External"/><Relationship Id="rId191" Type="http://schemas.openxmlformats.org/officeDocument/2006/relationships/hyperlink" Target="https://artificialintelligenceact.eu/article/72/" TargetMode="External"/><Relationship Id="rId48" Type="http://schemas.openxmlformats.org/officeDocument/2006/relationships/hyperlink" Target="https://docs.databricks.com/gcp/en/lakehouse-monitoring/data-classification" TargetMode="External"/><Relationship Id="rId187" Type="http://schemas.openxmlformats.org/officeDocument/2006/relationships/hyperlink" Target="https://docs.databricks.com/en/lakehouse-monitoring/index.html" TargetMode="External"/><Relationship Id="rId47" Type="http://schemas.openxmlformats.org/officeDocument/2006/relationships/hyperlink" Target="https://learn.microsoft.com/en-us/azure/databricks/lakehouse-monitoring/data-classification" TargetMode="External"/><Relationship Id="rId186" Type="http://schemas.openxmlformats.org/officeDocument/2006/relationships/hyperlink" Target="https://owasp.org/www-project-machine-learning-security-top-10/docs/ML03_2023-Model_Inversion_Attack.html" TargetMode="External"/><Relationship Id="rId185" Type="http://schemas.openxmlformats.org/officeDocument/2006/relationships/hyperlink" Target="https://genai.owasp.org/llmrisk/llm10-model-theft/" TargetMode="External"/><Relationship Id="rId49" Type="http://schemas.openxmlformats.org/officeDocument/2006/relationships/hyperlink" Target="https://attack.mitre.org/mitigations/M1057" TargetMode="External"/><Relationship Id="rId184" Type="http://schemas.openxmlformats.org/officeDocument/2006/relationships/hyperlink" Target="https://attack.mitre.org/mitigations/M1048" TargetMode="External"/><Relationship Id="rId189" Type="http://schemas.openxmlformats.org/officeDocument/2006/relationships/hyperlink" Target="https://docs.gcp.databricks.com/en/lakehouse-monitoring/index.html" TargetMode="External"/><Relationship Id="rId188" Type="http://schemas.openxmlformats.org/officeDocument/2006/relationships/hyperlink" Target="https://learn.microsoft.com/en-us/azure/databricks/lakehouse-monitoring/" TargetMode="External"/><Relationship Id="rId31" Type="http://schemas.openxmlformats.org/officeDocument/2006/relationships/hyperlink" Target="https://owasp.org/www-project-machine-learning-security-top-10/docs/ML02_2023-Data_Poisoning_Attack.html" TargetMode="External"/><Relationship Id="rId30" Type="http://schemas.openxmlformats.org/officeDocument/2006/relationships/hyperlink" Target="https://genai.owasp.org/llmrisk/llm01-prompt-injection/" TargetMode="External"/><Relationship Id="rId33" Type="http://schemas.openxmlformats.org/officeDocument/2006/relationships/hyperlink" Target="https://learn.microsoft.com/en-us/azure/databricks/security/network/classic/private-link" TargetMode="External"/><Relationship Id="rId183" Type="http://schemas.openxmlformats.org/officeDocument/2006/relationships/hyperlink" Target="https://atlas.mitre.org/mitigations/AML.M0017" TargetMode="External"/><Relationship Id="rId32" Type="http://schemas.openxmlformats.org/officeDocument/2006/relationships/hyperlink" Target="https://docs.databricks.com/en/administration-guide/cloud-configurations/aws/privatelink.html" TargetMode="External"/><Relationship Id="rId182" Type="http://schemas.openxmlformats.org/officeDocument/2006/relationships/hyperlink" Target="https://docs.gcp.databricks.com/en/machine-learning/model-serving/index.html" TargetMode="External"/><Relationship Id="rId35" Type="http://schemas.openxmlformats.org/officeDocument/2006/relationships/hyperlink" Target="https://attack.mitre.org/mitigations/M1035" TargetMode="External"/><Relationship Id="rId181" Type="http://schemas.openxmlformats.org/officeDocument/2006/relationships/hyperlink" Target="https://learn.microsoft.com/en-us/azure/databricks/machine-learning/model-serving/" TargetMode="External"/><Relationship Id="rId34" Type="http://schemas.openxmlformats.org/officeDocument/2006/relationships/hyperlink" Target="https://docs.gcp.databricks.com/en/security/network/classic/private-service-connect.html" TargetMode="External"/><Relationship Id="rId180" Type="http://schemas.openxmlformats.org/officeDocument/2006/relationships/hyperlink" Target="https://docs.databricks.com/en/machine-learning/model-serving/index.html" TargetMode="External"/><Relationship Id="rId37" Type="http://schemas.openxmlformats.org/officeDocument/2006/relationships/hyperlink" Target="https://owasp.org/www-project-machine-learning-security-top-10/docs/ML02_2023-Data_Poisoning_Attack.html" TargetMode="External"/><Relationship Id="rId176" Type="http://schemas.openxmlformats.org/officeDocument/2006/relationships/hyperlink" Target="https://docs.databricks.com/en/security/secrets/index.html" TargetMode="External"/><Relationship Id="rId297" Type="http://schemas.openxmlformats.org/officeDocument/2006/relationships/hyperlink" Target="https://artificialintelligenceact.eu/article/15/" TargetMode="External"/><Relationship Id="rId36" Type="http://schemas.openxmlformats.org/officeDocument/2006/relationships/hyperlink" Target="https://genai.owasp.org/llmrisk/llm01-prompt-injection/" TargetMode="External"/><Relationship Id="rId175" Type="http://schemas.openxmlformats.org/officeDocument/2006/relationships/hyperlink" Target="https://genai.owasp.org/llmrisk/llm01-prompt-injection/" TargetMode="External"/><Relationship Id="rId296" Type="http://schemas.openxmlformats.org/officeDocument/2006/relationships/hyperlink" Target="https://atlas.mitre.org/mitigations/AML.M0004" TargetMode="External"/><Relationship Id="rId39" Type="http://schemas.openxmlformats.org/officeDocument/2006/relationships/hyperlink" Target="https://learn.microsoft.com/en-us/azure/databricks/sql/language-manual/sql-ref-privileges" TargetMode="External"/><Relationship Id="rId174" Type="http://schemas.openxmlformats.org/officeDocument/2006/relationships/hyperlink" Target="https://genai.owasp.org/llmrisk/llm01-prompt-injection/" TargetMode="External"/><Relationship Id="rId295" Type="http://schemas.openxmlformats.org/officeDocument/2006/relationships/hyperlink" Target="https://docs.gcp.databricks.com/en/ai-gateway/configure-ai-gateway-endpoints.html?_ga=2.80967959.1251193109.1732293955-1097798340.1705515054" TargetMode="External"/><Relationship Id="rId38" Type="http://schemas.openxmlformats.org/officeDocument/2006/relationships/hyperlink" Target="https://docs.databricks.com/en/data-governance/unity-catalog/manage-privileges/privileges.html" TargetMode="External"/><Relationship Id="rId173" Type="http://schemas.openxmlformats.org/officeDocument/2006/relationships/hyperlink" Target="https://atlas.mitre.org/mitigations/AML.M0009" TargetMode="External"/><Relationship Id="rId294" Type="http://schemas.openxmlformats.org/officeDocument/2006/relationships/hyperlink" Target="https://learn.microsoft.com/en-us/azure/databricks/ai-gateway/configure-ai-gateway-endpoints" TargetMode="External"/><Relationship Id="rId179" Type="http://schemas.openxmlformats.org/officeDocument/2006/relationships/hyperlink" Target="https://attack.mitre.org/mitigations/M1043" TargetMode="External"/><Relationship Id="rId178" Type="http://schemas.openxmlformats.org/officeDocument/2006/relationships/hyperlink" Target="https://docs.gcp.databricks.com/en/security/secrets/index.html" TargetMode="External"/><Relationship Id="rId299" Type="http://schemas.openxmlformats.org/officeDocument/2006/relationships/hyperlink" Target="https://customer-academy.databricks.com/learn" TargetMode="External"/><Relationship Id="rId177" Type="http://schemas.openxmlformats.org/officeDocument/2006/relationships/hyperlink" Target="https://learn.microsoft.com/en-us/azure/databricks/security/secrets/" TargetMode="External"/><Relationship Id="rId298" Type="http://schemas.openxmlformats.org/officeDocument/2006/relationships/hyperlink" Target="https://www.databricks.com/trust/ai-security" TargetMode="External"/><Relationship Id="rId20" Type="http://schemas.openxmlformats.org/officeDocument/2006/relationships/hyperlink" Target="https://docs.databricks.com/en/administration-guide/users-groups/scim/index.html" TargetMode="External"/><Relationship Id="rId22" Type="http://schemas.openxmlformats.org/officeDocument/2006/relationships/hyperlink" Target="https://docs.gcp.databricks.com/en/administration-guide/users-groups/scim/index.html" TargetMode="External"/><Relationship Id="rId21" Type="http://schemas.openxmlformats.org/officeDocument/2006/relationships/hyperlink" Target="https://learn.microsoft.com/en-us/azure/databricks/administration-guide/users-groups/scim/" TargetMode="External"/><Relationship Id="rId24" Type="http://schemas.openxmlformats.org/officeDocument/2006/relationships/hyperlink" Target="https://genai.owasp.org/llmrisk/llm01-prompt-injection/" TargetMode="External"/><Relationship Id="rId23" Type="http://schemas.openxmlformats.org/officeDocument/2006/relationships/hyperlink" Target="https://attack.mitre.org/mitigations/M1015" TargetMode="External"/><Relationship Id="rId26" Type="http://schemas.openxmlformats.org/officeDocument/2006/relationships/hyperlink" Target="https://docs.databricks.com/en/security/network/ip-access-list.html" TargetMode="External"/><Relationship Id="rId25" Type="http://schemas.openxmlformats.org/officeDocument/2006/relationships/hyperlink" Target="https://owasp.org/www-project-machine-learning-security-top-10/docs/ML02_2023-Data_Poisoning_Attack.html" TargetMode="External"/><Relationship Id="rId28" Type="http://schemas.openxmlformats.org/officeDocument/2006/relationships/hyperlink" Target="https://docs.gcp.databricks.com/en/security/network/front-end/ip-access-list.html" TargetMode="External"/><Relationship Id="rId27" Type="http://schemas.openxmlformats.org/officeDocument/2006/relationships/hyperlink" Target="https://learn.microsoft.com/en-us/azure/databricks/security/network/front-end/ip-access-list" TargetMode="External"/><Relationship Id="rId29" Type="http://schemas.openxmlformats.org/officeDocument/2006/relationships/hyperlink" Target="https://attack.mitre.org/mitigations/M1035" TargetMode="External"/><Relationship Id="rId11" Type="http://schemas.openxmlformats.org/officeDocument/2006/relationships/hyperlink" Target="https://artificialintelligenceact.eu/ai-act-explorer/" TargetMode="External"/><Relationship Id="rId10" Type="http://schemas.openxmlformats.org/officeDocument/2006/relationships/hyperlink" Target="https://www.enisa.europa.eu/publications/securing-machine-learning-algorithms" TargetMode="External"/><Relationship Id="rId13" Type="http://schemas.openxmlformats.org/officeDocument/2006/relationships/hyperlink" Target="https://www.aiuc-1.com/" TargetMode="External"/><Relationship Id="rId12" Type="http://schemas.openxmlformats.org/officeDocument/2006/relationships/hyperlink" Target="https://www.nist.gov/cyberframework" TargetMode="External"/><Relationship Id="rId15" Type="http://schemas.openxmlformats.org/officeDocument/2006/relationships/hyperlink" Target="https://learn.microsoft.com/en-us/azure/databricks/security/auth-authz/" TargetMode="External"/><Relationship Id="rId198" Type="http://schemas.openxmlformats.org/officeDocument/2006/relationships/hyperlink" Target="https://learn.microsoft.com/en-us/azure/databricks/machine-learning/model-serving/inference-tables" TargetMode="External"/><Relationship Id="rId14" Type="http://schemas.openxmlformats.org/officeDocument/2006/relationships/hyperlink" Target="https://docs.databricks.com/en/admin/account-settings-e2/single-sign-on/index.html" TargetMode="External"/><Relationship Id="rId197" Type="http://schemas.openxmlformats.org/officeDocument/2006/relationships/hyperlink" Target="https://docs.databricks.com/en/machine-learning/model-serving/inference-tables.html" TargetMode="External"/><Relationship Id="rId17" Type="http://schemas.openxmlformats.org/officeDocument/2006/relationships/hyperlink" Target="https://attack.mitre.org/mitigations/M1036" TargetMode="External"/><Relationship Id="rId196" Type="http://schemas.openxmlformats.org/officeDocument/2006/relationships/hyperlink" Target="https://owasp.org/www-project-machine-learning-security-top-10/docs/ML08_2023-Model_Skewing.html" TargetMode="External"/><Relationship Id="rId16" Type="http://schemas.openxmlformats.org/officeDocument/2006/relationships/hyperlink" Target="https://docs.gcp.databricks.com/en/security/auth-authz/index.html" TargetMode="External"/><Relationship Id="rId195" Type="http://schemas.openxmlformats.org/officeDocument/2006/relationships/hyperlink" Target="https://genai.owasp.org/llmrisk/llm03-training-data-poisoning/" TargetMode="External"/><Relationship Id="rId19" Type="http://schemas.openxmlformats.org/officeDocument/2006/relationships/hyperlink" Target="https://owasp.org/www-project-machine-learning-security-top-10/docs/ML02_2023-Data_Poisoning_Attack.html" TargetMode="External"/><Relationship Id="rId18" Type="http://schemas.openxmlformats.org/officeDocument/2006/relationships/hyperlink" Target="https://genai.owasp.org/llmrisk/llm01-prompt-injection/" TargetMode="External"/><Relationship Id="rId199" Type="http://schemas.openxmlformats.org/officeDocument/2006/relationships/hyperlink" Target="https://www.databricks.com/trust/trust" TargetMode="External"/><Relationship Id="rId84" Type="http://schemas.openxmlformats.org/officeDocument/2006/relationships/hyperlink" Target="https://learn.microsoft.com/en-us/azure/databricks/delta/tutorial" TargetMode="External"/><Relationship Id="rId83" Type="http://schemas.openxmlformats.org/officeDocument/2006/relationships/hyperlink" Target="https://docs.databricks.com/en/delta/tutorial.html" TargetMode="External"/><Relationship Id="rId86" Type="http://schemas.openxmlformats.org/officeDocument/2006/relationships/hyperlink" Target="https://docs.databricks.com/en/structured-streaming/index.html" TargetMode="External"/><Relationship Id="rId85" Type="http://schemas.openxmlformats.org/officeDocument/2006/relationships/hyperlink" Target="https://docs.gcp.databricks.com/en/delta/tutorial.html" TargetMode="External"/><Relationship Id="rId88" Type="http://schemas.openxmlformats.org/officeDocument/2006/relationships/hyperlink" Target="https://docs.gcp.databricks.com/en/structured-streaming/index.html" TargetMode="External"/><Relationship Id="rId150" Type="http://schemas.openxmlformats.org/officeDocument/2006/relationships/hyperlink" Target="https://owasp.org/www-project-machine-learning-security-top-10/docs/ML05_2023-Model_Theft.html" TargetMode="External"/><Relationship Id="rId271" Type="http://schemas.openxmlformats.org/officeDocument/2006/relationships/hyperlink" Target="https://learn.microsoft.com/en-us/azure/databricks/admin/system-tables/" TargetMode="External"/><Relationship Id="rId87" Type="http://schemas.openxmlformats.org/officeDocument/2006/relationships/hyperlink" Target="https://learn.microsoft.com/en-us/azure/databricks/structured-streaming/" TargetMode="External"/><Relationship Id="rId270" Type="http://schemas.openxmlformats.org/officeDocument/2006/relationships/hyperlink" Target="https://docs.databricks.com/en/admin/system-tables/index.html" TargetMode="External"/><Relationship Id="rId89" Type="http://schemas.openxmlformats.org/officeDocument/2006/relationships/hyperlink" Target="https://genai.owasp.org/llmrisk/llm03-training-data-poisoning/" TargetMode="External"/><Relationship Id="rId80" Type="http://schemas.openxmlformats.org/officeDocument/2006/relationships/hyperlink" Target="https://learn.microsoft.com/en-us/azure/databricks/data-governance/unity-catalog/data-lineage" TargetMode="External"/><Relationship Id="rId82" Type="http://schemas.openxmlformats.org/officeDocument/2006/relationships/hyperlink" Target="https://genai.owasp.org/llmrisk/llm03-training-data-poisoning/:" TargetMode="External"/><Relationship Id="rId81" Type="http://schemas.openxmlformats.org/officeDocument/2006/relationships/hyperlink" Target="https://docs.gcp.databricks.com/en/data-governance/unity-catalog/data-lineage.html" TargetMode="External"/><Relationship Id="rId1" Type="http://schemas.openxmlformats.org/officeDocument/2006/relationships/hyperlink" Target="https://github.com/databricks-industry-solutions/security-analysis-tool/blob/main/configs/security_best_practices.csv" TargetMode="External"/><Relationship Id="rId2" Type="http://schemas.openxmlformats.org/officeDocument/2006/relationships/hyperlink" Target="https://atlas.mitre.org/mitigations" TargetMode="External"/><Relationship Id="rId3" Type="http://schemas.openxmlformats.org/officeDocument/2006/relationships/hyperlink" Target="https://attack.mitre.org/mitigations/enterprise/" TargetMode="External"/><Relationship Id="rId149" Type="http://schemas.openxmlformats.org/officeDocument/2006/relationships/hyperlink" Target="https://genai.owasp.org/llmrisk/llm10-model-theft/" TargetMode="External"/><Relationship Id="rId4" Type="http://schemas.openxmlformats.org/officeDocument/2006/relationships/hyperlink" Target="https://genai.owasp.org/resource/owasp-top-10-for-llm-applications-2025/" TargetMode="External"/><Relationship Id="rId148" Type="http://schemas.openxmlformats.org/officeDocument/2006/relationships/hyperlink" Target="https://docs.gcp.databricks.com/en/machine-learning/manage-model-lifecycle/index.html" TargetMode="External"/><Relationship Id="rId269" Type="http://schemas.openxmlformats.org/officeDocument/2006/relationships/hyperlink" Target="https://docs.databricks.com/en/admin/account-settings/audit-logs.html" TargetMode="External"/><Relationship Id="rId9" Type="http://schemas.openxmlformats.org/officeDocument/2006/relationships/hyperlink" Target="https://www.manula.com/manuals/hitrust/ai-security-certification-requirements-draft/1/en/topic/about-this-assessment-and-certification" TargetMode="External"/><Relationship Id="rId143" Type="http://schemas.openxmlformats.org/officeDocument/2006/relationships/hyperlink" Target="https://genai.owasp.org/llmrisk/llm09-overreliance/" TargetMode="External"/><Relationship Id="rId264" Type="http://schemas.openxmlformats.org/officeDocument/2006/relationships/hyperlink" Target="https://attack.mitre.org/mitigations/M1033" TargetMode="External"/><Relationship Id="rId142" Type="http://schemas.openxmlformats.org/officeDocument/2006/relationships/hyperlink" Target="https://learn.microsoft.com/en-us/azure/databricks/large-language-models/foundation-model-training/" TargetMode="External"/><Relationship Id="rId263" Type="http://schemas.openxmlformats.org/officeDocument/2006/relationships/hyperlink" Target="https://atlas.mitre.org/mitigations/AML.M0011" TargetMode="External"/><Relationship Id="rId141" Type="http://schemas.openxmlformats.org/officeDocument/2006/relationships/hyperlink" Target="https://docs.databricks.com/en/large-language-models/foundation-model-training/index.html" TargetMode="External"/><Relationship Id="rId262" Type="http://schemas.openxmlformats.org/officeDocument/2006/relationships/hyperlink" Target="https://docs.gcp.databricks.com/en/data-governance/unity-catalog/manage-privileges/allowlist.html" TargetMode="External"/><Relationship Id="rId140" Type="http://schemas.openxmlformats.org/officeDocument/2006/relationships/hyperlink" Target="https://docs.databricks.com/gcp/en/generative-ai/retrieval-augmented-generation" TargetMode="External"/><Relationship Id="rId261" Type="http://schemas.openxmlformats.org/officeDocument/2006/relationships/hyperlink" Target="https://learn.microsoft.com/en-us/azure/databricks/data-governance/unity-catalog/manage-privileges/allowlist" TargetMode="External"/><Relationship Id="rId5" Type="http://schemas.openxmlformats.org/officeDocument/2006/relationships/hyperlink" Target="https://owasp.org/www-project-machine-learning-security-top-10/" TargetMode="External"/><Relationship Id="rId147" Type="http://schemas.openxmlformats.org/officeDocument/2006/relationships/hyperlink" Target="https://learn.microsoft.com/en-us/azure/databricks/machine-learning/manage-model-lifecycle/" TargetMode="External"/><Relationship Id="rId268" Type="http://schemas.openxmlformats.org/officeDocument/2006/relationships/hyperlink" Target="https://artificialintelligenceact.eu/article/5/" TargetMode="External"/><Relationship Id="rId6" Type="http://schemas.openxmlformats.org/officeDocument/2006/relationships/hyperlink" Target="https://www.iso.org/standard/81230.html" TargetMode="External"/><Relationship Id="rId146" Type="http://schemas.openxmlformats.org/officeDocument/2006/relationships/hyperlink" Target="https://docs.databricks.com/en/machine-learning/manage-model-lifecycle/index.html" TargetMode="External"/><Relationship Id="rId267" Type="http://schemas.openxmlformats.org/officeDocument/2006/relationships/hyperlink" Target="https://docs.databricks.com/gcp/en/ai-gateway" TargetMode="External"/><Relationship Id="rId7" Type="http://schemas.openxmlformats.org/officeDocument/2006/relationships/hyperlink" Target="https://www.iso.org/standard/27001" TargetMode="External"/><Relationship Id="rId145" Type="http://schemas.openxmlformats.org/officeDocument/2006/relationships/hyperlink" Target="https://www.databricks.com/glossary/large-language-models-llm" TargetMode="External"/><Relationship Id="rId266" Type="http://schemas.openxmlformats.org/officeDocument/2006/relationships/hyperlink" Target="https://learn.microsoft.com/en-us/azure/databricks/ai-gateway/" TargetMode="External"/><Relationship Id="rId8" Type="http://schemas.openxmlformats.org/officeDocument/2006/relationships/hyperlink" Target="https://csrc.nist.gov/pubs/sp/800/53/r5/upd1/final" TargetMode="External"/><Relationship Id="rId144" Type="http://schemas.openxmlformats.org/officeDocument/2006/relationships/hyperlink" Target="https://www.databricks.com/glossary/large-language-models-llm" TargetMode="External"/><Relationship Id="rId265" Type="http://schemas.openxmlformats.org/officeDocument/2006/relationships/hyperlink" Target="https://docs.databricks.com/en/ai-gateway/index.html" TargetMode="External"/><Relationship Id="rId73" Type="http://schemas.openxmlformats.org/officeDocument/2006/relationships/hyperlink" Target="https://artificialintelligenceact.eu/article/5/" TargetMode="External"/><Relationship Id="rId72" Type="http://schemas.openxmlformats.org/officeDocument/2006/relationships/hyperlink" Target="https://owasp.org/www-project-machine-learning-security-top-10/docs/ML02_2023-Data_Poisoning_Attack.html" TargetMode="External"/><Relationship Id="rId75" Type="http://schemas.openxmlformats.org/officeDocument/2006/relationships/hyperlink" Target="https://learn.microsoft.com/en-us/azure/databricks/delta/" TargetMode="External"/><Relationship Id="rId74" Type="http://schemas.openxmlformats.org/officeDocument/2006/relationships/hyperlink" Target="https://docs.databricks.com/en/delta/index.html" TargetMode="External"/><Relationship Id="rId77" Type="http://schemas.openxmlformats.org/officeDocument/2006/relationships/hyperlink" Target="https://attack.mitre.org/mitigations/M1053" TargetMode="External"/><Relationship Id="rId260" Type="http://schemas.openxmlformats.org/officeDocument/2006/relationships/hyperlink" Target="https://docs.databricks.com/en/data-governance/unity-catalog/manage-privileges/allowlist.html" TargetMode="External"/><Relationship Id="rId76" Type="http://schemas.openxmlformats.org/officeDocument/2006/relationships/hyperlink" Target="https://docs.gcp.databricks.com/en/delta/index.html" TargetMode="External"/><Relationship Id="rId79" Type="http://schemas.openxmlformats.org/officeDocument/2006/relationships/hyperlink" Target="https://docs.databricks.com/en/data-governance/unity-catalog/data-lineage.html" TargetMode="External"/><Relationship Id="rId78" Type="http://schemas.openxmlformats.org/officeDocument/2006/relationships/hyperlink" Target="https://genai.owasp.org/llmrisk/llm03-training-data-poisoning/:" TargetMode="External"/><Relationship Id="rId71" Type="http://schemas.openxmlformats.org/officeDocument/2006/relationships/hyperlink" Target="https://genai.owasp.org/llmrisk/llm03-training-data-poisoning/:" TargetMode="External"/><Relationship Id="rId70" Type="http://schemas.openxmlformats.org/officeDocument/2006/relationships/hyperlink" Target="https://attack.mitre.org/mitigations/M1041" TargetMode="External"/><Relationship Id="rId139" Type="http://schemas.openxmlformats.org/officeDocument/2006/relationships/hyperlink" Target="https://learn.microsoft.com/en-us/azure/databricks/generative-ai/retrieval-augmented-generation" TargetMode="External"/><Relationship Id="rId138" Type="http://schemas.openxmlformats.org/officeDocument/2006/relationships/hyperlink" Target="https://docs.databricks.com/en/generative-ai/retrieval-augmented-generation.html" TargetMode="External"/><Relationship Id="rId259" Type="http://schemas.openxmlformats.org/officeDocument/2006/relationships/hyperlink" Target="https://docs.gcp.databricks.com/en/repos/index.html" TargetMode="External"/><Relationship Id="rId137" Type="http://schemas.openxmlformats.org/officeDocument/2006/relationships/hyperlink" Target="https://owasp.org/www-project-machine-learning-security-top-10/docs/ML03_2023-Model_Inversion_Attack.html" TargetMode="External"/><Relationship Id="rId258" Type="http://schemas.openxmlformats.org/officeDocument/2006/relationships/hyperlink" Target="https://learn.microsoft.com/en-us/azure/databricks/repos/" TargetMode="External"/><Relationship Id="rId132" Type="http://schemas.openxmlformats.org/officeDocument/2006/relationships/hyperlink" Target="https://docs.databricks.com/en/machine-learning/manage-model-lifecycle/index.html" TargetMode="External"/><Relationship Id="rId253" Type="http://schemas.openxmlformats.org/officeDocument/2006/relationships/hyperlink" Target="https://artificialintelligenceact.eu/article/72/" TargetMode="External"/><Relationship Id="rId131" Type="http://schemas.openxmlformats.org/officeDocument/2006/relationships/hyperlink" Target="https://docs.gcp.databricks.com/en/machine-learning/manage-model-lifecycle/index.html" TargetMode="External"/><Relationship Id="rId252" Type="http://schemas.openxmlformats.org/officeDocument/2006/relationships/hyperlink" Target="https://www.databricks.com/trust/compliance" TargetMode="External"/><Relationship Id="rId130" Type="http://schemas.openxmlformats.org/officeDocument/2006/relationships/hyperlink" Target="https://learn.microsoft.com/en-us/azure/databricks/machine-learning/manage-model-lifecycle/" TargetMode="External"/><Relationship Id="rId251" Type="http://schemas.openxmlformats.org/officeDocument/2006/relationships/hyperlink" Target="https://www.databricks.com/trust/compliance" TargetMode="External"/><Relationship Id="rId250" Type="http://schemas.openxmlformats.org/officeDocument/2006/relationships/hyperlink" Target="https://www.databricks.com/trust/compliance" TargetMode="External"/><Relationship Id="rId136" Type="http://schemas.openxmlformats.org/officeDocument/2006/relationships/hyperlink" Target="https://genai.owasp.org/llmrisk/llm01-prompt-injection/" TargetMode="External"/><Relationship Id="rId257" Type="http://schemas.openxmlformats.org/officeDocument/2006/relationships/hyperlink" Target="https://docs.databricks.com/en/repos/index.html" TargetMode="External"/><Relationship Id="rId135" Type="http://schemas.openxmlformats.org/officeDocument/2006/relationships/hyperlink" Target="https://atlas.mitre.org/mitigations/AML.M0005" TargetMode="External"/><Relationship Id="rId256" Type="http://schemas.openxmlformats.org/officeDocument/2006/relationships/hyperlink" Target="https://docs.gcp.databricks.com/en/data-sharing/index.html" TargetMode="External"/><Relationship Id="rId134" Type="http://schemas.openxmlformats.org/officeDocument/2006/relationships/hyperlink" Target="https://docs.gcp.databricks.com/en/machine-learning/manage-model-lifecycle/index.html" TargetMode="External"/><Relationship Id="rId255" Type="http://schemas.openxmlformats.org/officeDocument/2006/relationships/hyperlink" Target="https://learn.microsoft.com/en-us/azure/databricks/data-sharing/" TargetMode="External"/><Relationship Id="rId133" Type="http://schemas.openxmlformats.org/officeDocument/2006/relationships/hyperlink" Target="https://learn.microsoft.com/en-us/azure/databricks/machine-learning/manage-model-lifecycle/" TargetMode="External"/><Relationship Id="rId254" Type="http://schemas.openxmlformats.org/officeDocument/2006/relationships/hyperlink" Target="https://docs.databricks.com/en/data-sharing/index.html" TargetMode="External"/><Relationship Id="rId62" Type="http://schemas.openxmlformats.org/officeDocument/2006/relationships/hyperlink" Target="https://attack.mitre.org/mitigations/M1041" TargetMode="External"/><Relationship Id="rId61" Type="http://schemas.openxmlformats.org/officeDocument/2006/relationships/hyperlink" Target="https://atlas.mitre.org/mitigations/AML.M0012" TargetMode="External"/><Relationship Id="rId64" Type="http://schemas.openxmlformats.org/officeDocument/2006/relationships/hyperlink" Target="https://owasp.org/www-project-machine-learning-security-top-10/docs/ML02_2023-Data_Poisoning_Attack.html" TargetMode="External"/><Relationship Id="rId63" Type="http://schemas.openxmlformats.org/officeDocument/2006/relationships/hyperlink" Target="https://genai.owasp.org/llmrisk/llm03-training-data-poisoning/:" TargetMode="External"/><Relationship Id="rId66" Type="http://schemas.openxmlformats.org/officeDocument/2006/relationships/hyperlink" Target="https://www.databricks.com/legal/security-addendum" TargetMode="External"/><Relationship Id="rId172" Type="http://schemas.openxmlformats.org/officeDocument/2006/relationships/hyperlink" Target="https://atlas.mitre.org/mitigations/AML.M0009" TargetMode="External"/><Relationship Id="rId293" Type="http://schemas.openxmlformats.org/officeDocument/2006/relationships/hyperlink" Target="https://docs.databricks.com/en/ai-gateway/configure-ai-gateway-endpoints.html" TargetMode="External"/><Relationship Id="rId65" Type="http://schemas.openxmlformats.org/officeDocument/2006/relationships/hyperlink" Target="https://artificialintelligenceact.eu/article/5/" TargetMode="External"/><Relationship Id="rId171" Type="http://schemas.openxmlformats.org/officeDocument/2006/relationships/hyperlink" Target="https://docs.databricks.com/gcp/en/ai-gateway/" TargetMode="External"/><Relationship Id="rId292" Type="http://schemas.openxmlformats.org/officeDocument/2006/relationships/hyperlink" Target="https://www.databricks.com/discover/enterprise-data-platform/clean-room" TargetMode="External"/><Relationship Id="rId68" Type="http://schemas.openxmlformats.org/officeDocument/2006/relationships/hyperlink" Target="https://www.databricks.com/legal/security-addendum" TargetMode="External"/><Relationship Id="rId170" Type="http://schemas.openxmlformats.org/officeDocument/2006/relationships/hyperlink" Target="https://learn.microsoft.com/en-us/azure/databricks/ai-gateway/" TargetMode="External"/><Relationship Id="rId291" Type="http://schemas.openxmlformats.org/officeDocument/2006/relationships/hyperlink" Target="https://learn.microsoft.com/en-us/azure/databricks/clean-rooms/" TargetMode="External"/><Relationship Id="rId67" Type="http://schemas.openxmlformats.org/officeDocument/2006/relationships/hyperlink" Target="https://www.databricks.com/legal/security-addendum" TargetMode="External"/><Relationship Id="rId290" Type="http://schemas.openxmlformats.org/officeDocument/2006/relationships/hyperlink" Target="https://docs.databricks.com/en/clean-rooms/index.html" TargetMode="External"/><Relationship Id="rId60" Type="http://schemas.openxmlformats.org/officeDocument/2006/relationships/hyperlink" Target="https://docs.gcp.databricks.com/en/security/keys/customer-managed-keys.html" TargetMode="External"/><Relationship Id="rId165" Type="http://schemas.openxmlformats.org/officeDocument/2006/relationships/hyperlink" Target="https://docs.gcp.databricks.com/en/machine-learning/model-serving/manage-serving-endpoints.html" TargetMode="External"/><Relationship Id="rId286" Type="http://schemas.openxmlformats.org/officeDocument/2006/relationships/hyperlink" Target="https://docs.databricks.com/en/tables/row-and-column-filters.html" TargetMode="External"/><Relationship Id="rId69" Type="http://schemas.openxmlformats.org/officeDocument/2006/relationships/hyperlink" Target="https://atlas.mitre.org/mitigations/AML.M0012" TargetMode="External"/><Relationship Id="rId164" Type="http://schemas.openxmlformats.org/officeDocument/2006/relationships/hyperlink" Target="https://learn.microsoft.com/en-us/azure/databricks/machine-learning/model-serving/manage-serving-endpoints" TargetMode="External"/><Relationship Id="rId285" Type="http://schemas.openxmlformats.org/officeDocument/2006/relationships/hyperlink" Target="https://genai.owasp.org/llmrisk/llm01-prompt-injection/" TargetMode="External"/><Relationship Id="rId163" Type="http://schemas.openxmlformats.org/officeDocument/2006/relationships/hyperlink" Target="https://docs.databricks.com/en/machine-learning/model-serving/manage-serving-endpoints.html" TargetMode="External"/><Relationship Id="rId284" Type="http://schemas.openxmlformats.org/officeDocument/2006/relationships/hyperlink" Target="https://www.databricks.com/blog/whats-new-databricks-unity-catalog-data-ai-summit-2024" TargetMode="External"/><Relationship Id="rId162" Type="http://schemas.openxmlformats.org/officeDocument/2006/relationships/hyperlink" Target="https://artificialintelligenceact.eu/article/15/" TargetMode="External"/><Relationship Id="rId283" Type="http://schemas.openxmlformats.org/officeDocument/2006/relationships/hyperlink" Target="https://www.databricks.com/blog/whats-new-databricks-unity-catalog-data-ai-summit-2024" TargetMode="External"/><Relationship Id="rId169" Type="http://schemas.openxmlformats.org/officeDocument/2006/relationships/hyperlink" Target="https://docs.databricks.com/aws/en/ai-gateway/" TargetMode="External"/><Relationship Id="rId168" Type="http://schemas.openxmlformats.org/officeDocument/2006/relationships/hyperlink" Target="https://owasp.org/www-project-machine-learning-security-top-10/docs/ML03_2023-Model_Inversion_Attack.html" TargetMode="External"/><Relationship Id="rId289" Type="http://schemas.openxmlformats.org/officeDocument/2006/relationships/hyperlink" Target="https://artificialintelligenceact.eu/article/5/" TargetMode="External"/><Relationship Id="rId167" Type="http://schemas.openxmlformats.org/officeDocument/2006/relationships/hyperlink" Target="https://genai.owasp.org/llmrisk/llm01-prompt-injection/" TargetMode="External"/><Relationship Id="rId288" Type="http://schemas.openxmlformats.org/officeDocument/2006/relationships/hyperlink" Target="https://docs.gcp.databricks.com/en/tables/row-and-column-filters.html" TargetMode="External"/><Relationship Id="rId166" Type="http://schemas.openxmlformats.org/officeDocument/2006/relationships/hyperlink" Target="https://atlas.mitre.org/mitigations/AML.M0019" TargetMode="External"/><Relationship Id="rId287" Type="http://schemas.openxmlformats.org/officeDocument/2006/relationships/hyperlink" Target="https://learn.microsoft.com/en-us/azure/databricks/tables/row-and-column-filters" TargetMode="External"/><Relationship Id="rId51" Type="http://schemas.openxmlformats.org/officeDocument/2006/relationships/hyperlink" Target="https://genai.owasp.org/llmrisk/llm03-training-data-poisoning/:" TargetMode="External"/><Relationship Id="rId50" Type="http://schemas.openxmlformats.org/officeDocument/2006/relationships/hyperlink" Target="https://attack.mitre.org/mitigations/M1057" TargetMode="External"/><Relationship Id="rId53" Type="http://schemas.openxmlformats.org/officeDocument/2006/relationships/hyperlink" Target="https://docs.databricks.com/en/delta-live-tables/expectations.html" TargetMode="External"/><Relationship Id="rId52" Type="http://schemas.openxmlformats.org/officeDocument/2006/relationships/hyperlink" Target="https://owasp.org/www-project-machine-learning-security-top-10/docs/ML02_2023-Data_Poisoning_Attack.html" TargetMode="External"/><Relationship Id="rId55" Type="http://schemas.openxmlformats.org/officeDocument/2006/relationships/hyperlink" Target="https://docs.gcp.databricks.com/en/delta-live-tables/expectations.html" TargetMode="External"/><Relationship Id="rId161" Type="http://schemas.openxmlformats.org/officeDocument/2006/relationships/hyperlink" Target="https://owasp.org/www-project-machine-learning-security-top-10/docs/ML01_2023-Input_Manipulation_Attack.html" TargetMode="External"/><Relationship Id="rId282" Type="http://schemas.openxmlformats.org/officeDocument/2006/relationships/hyperlink" Target="https://www.databricks.com/blog/whats-new-databricks-unity-catalog-data-ai-summit-2024" TargetMode="External"/><Relationship Id="rId54" Type="http://schemas.openxmlformats.org/officeDocument/2006/relationships/hyperlink" Target="https://learn.microsoft.com/en-us/azure/databricks/delta-live-tables/expectations" TargetMode="External"/><Relationship Id="rId160" Type="http://schemas.openxmlformats.org/officeDocument/2006/relationships/hyperlink" Target="https://attack.mitre.org/mitigations/M1041" TargetMode="External"/><Relationship Id="rId281" Type="http://schemas.openxmlformats.org/officeDocument/2006/relationships/hyperlink" Target="https://artificialintelligenceact.eu/article/15/" TargetMode="External"/><Relationship Id="rId57" Type="http://schemas.openxmlformats.org/officeDocument/2006/relationships/hyperlink" Target="https://genai.owasp.org/llmrisk/llm03-training-data-poisoning/:" TargetMode="External"/><Relationship Id="rId280" Type="http://schemas.openxmlformats.org/officeDocument/2006/relationships/hyperlink" Target="https://genai.owasp.org/llmrisk/llm01-prompt-injection/" TargetMode="External"/><Relationship Id="rId56" Type="http://schemas.openxmlformats.org/officeDocument/2006/relationships/hyperlink" Target="https://atlas.mitre.org/mitigations/AML.M0007" TargetMode="External"/><Relationship Id="rId159" Type="http://schemas.openxmlformats.org/officeDocument/2006/relationships/hyperlink" Target="https://atlas.mitre.org/mitigations/AML.M0012" TargetMode="External"/><Relationship Id="rId59" Type="http://schemas.openxmlformats.org/officeDocument/2006/relationships/hyperlink" Target="https://learn.microsoft.com/en-us/azure/databricks/security/keys/customer-managed-keys" TargetMode="External"/><Relationship Id="rId154" Type="http://schemas.openxmlformats.org/officeDocument/2006/relationships/hyperlink" Target="https://genai.owasp.org/llmrisk/llm05-supply-chain-vulnerabilities/" TargetMode="External"/><Relationship Id="rId275" Type="http://schemas.openxmlformats.org/officeDocument/2006/relationships/hyperlink" Target="https://artificialintelligenceact.eu/article/17/" TargetMode="External"/><Relationship Id="rId58" Type="http://schemas.openxmlformats.org/officeDocument/2006/relationships/hyperlink" Target="https://docs.databricks.com/en/security/keys/customer-managed-keys.html" TargetMode="External"/><Relationship Id="rId153" Type="http://schemas.openxmlformats.org/officeDocument/2006/relationships/hyperlink" Target="https://docs.gcp.databricks.com/en/machine-learning/mlops/mlops-workflow.html" TargetMode="External"/><Relationship Id="rId274" Type="http://schemas.openxmlformats.org/officeDocument/2006/relationships/hyperlink" Target="https://owasp.org/www-project-machine-learning-security-top-10/docs/ML09_2023-Output_Integrity_Attack.html" TargetMode="External"/><Relationship Id="rId152" Type="http://schemas.openxmlformats.org/officeDocument/2006/relationships/hyperlink" Target="https://learn.microsoft.com/en-us/azure/databricks/machine-learning/mlops/mlops-workflow" TargetMode="External"/><Relationship Id="rId273" Type="http://schemas.openxmlformats.org/officeDocument/2006/relationships/hyperlink" Target="https://attack.mitre.org/mitigations/M1047" TargetMode="External"/><Relationship Id="rId151" Type="http://schemas.openxmlformats.org/officeDocument/2006/relationships/hyperlink" Target="https://docs.databricks.com/en/machine-learning/mlops/mlops-workflow.html" TargetMode="External"/><Relationship Id="rId272" Type="http://schemas.openxmlformats.org/officeDocument/2006/relationships/hyperlink" Target="https://docs.gcp.databricks.com/en/admin/system-tables/index.html" TargetMode="External"/><Relationship Id="rId158" Type="http://schemas.openxmlformats.org/officeDocument/2006/relationships/hyperlink" Target="https://docs.gcp.databricks.com/en/machine-learning/model-serving/index.html" TargetMode="External"/><Relationship Id="rId279" Type="http://schemas.openxmlformats.org/officeDocument/2006/relationships/hyperlink" Target="https://attack.mitre.org/mitigations/M1037" TargetMode="External"/><Relationship Id="rId157" Type="http://schemas.openxmlformats.org/officeDocument/2006/relationships/hyperlink" Target="https://learn.microsoft.com/en-us/azure/databricks/machine-learning/model-serving/" TargetMode="External"/><Relationship Id="rId278" Type="http://schemas.openxmlformats.org/officeDocument/2006/relationships/hyperlink" Target="https://docs.databricks.com/gcp/en/security/network/serverless-network-security/network-policies" TargetMode="External"/><Relationship Id="rId156" Type="http://schemas.openxmlformats.org/officeDocument/2006/relationships/hyperlink" Target="https://docs.databricks.com/en/machine-learning/model-serving/index.html" TargetMode="External"/><Relationship Id="rId277" Type="http://schemas.openxmlformats.org/officeDocument/2006/relationships/hyperlink" Target="https://learn.microsoft.com/en-us/azure/databricks/security/network/serverless-network-security/network-policies" TargetMode="External"/><Relationship Id="rId155" Type="http://schemas.openxmlformats.org/officeDocument/2006/relationships/hyperlink" Target="https://owasp.org/www-project-machine-learning-security-top-10/docs/ML01_2023-Input_Manipulation_Attack.html" TargetMode="External"/><Relationship Id="rId276" Type="http://schemas.openxmlformats.org/officeDocument/2006/relationships/hyperlink" Target="https://docs.databricks.com/en/security/network/serverless-network-security/network-policies.html" TargetMode="External"/><Relationship Id="rId107" Type="http://schemas.openxmlformats.org/officeDocument/2006/relationships/hyperlink" Target="https://docs.databricks.com/en/mlflow/tracking.html" TargetMode="External"/><Relationship Id="rId228" Type="http://schemas.openxmlformats.org/officeDocument/2006/relationships/hyperlink" Target="https://docs.gcp.databricks.com/en/mlflow/model-registry-webhooks.html" TargetMode="External"/><Relationship Id="rId349" Type="http://schemas.openxmlformats.org/officeDocument/2006/relationships/hyperlink" Target="https://learn.microsoft.com/en-us/azure/databricks/oltp/projects/about" TargetMode="External"/><Relationship Id="rId106" Type="http://schemas.openxmlformats.org/officeDocument/2006/relationships/hyperlink" Target="https://artificialintelligenceact.eu/article/15/" TargetMode="External"/><Relationship Id="rId227" Type="http://schemas.openxmlformats.org/officeDocument/2006/relationships/hyperlink" Target="https://learn.microsoft.com/en-us/azure/databricks/mlflow/model-registry-webhooks" TargetMode="External"/><Relationship Id="rId348" Type="http://schemas.openxmlformats.org/officeDocument/2006/relationships/hyperlink" Target="https://docs.databricks.com/aws/en/oltp/projects/about" TargetMode="External"/><Relationship Id="rId105" Type="http://schemas.openxmlformats.org/officeDocument/2006/relationships/hyperlink" Target="https://docs.gcp.databricks.com/en/machine-learning/feature-store/index.html" TargetMode="External"/><Relationship Id="rId226" Type="http://schemas.openxmlformats.org/officeDocument/2006/relationships/hyperlink" Target="https://docs.databricks.com/en/mlflow/model-registry-webhooks.html" TargetMode="External"/><Relationship Id="rId347" Type="http://schemas.openxmlformats.org/officeDocument/2006/relationships/hyperlink" Target="https://docs.databricks.com/gcp/en/generative-ai/agent-framework/log-agent" TargetMode="External"/><Relationship Id="rId104" Type="http://schemas.openxmlformats.org/officeDocument/2006/relationships/hyperlink" Target="https://learn.microsoft.com/en-us/azure/databricks/machine-learning/feature-store/" TargetMode="External"/><Relationship Id="rId225" Type="http://schemas.openxmlformats.org/officeDocument/2006/relationships/hyperlink" Target="https://attack.mitre.org/mitigations/M1039" TargetMode="External"/><Relationship Id="rId346" Type="http://schemas.openxmlformats.org/officeDocument/2006/relationships/hyperlink" Target="https://learn.microsoft.com/en-us/azure/databricks/generative-ai/agent-framework/log-agent" TargetMode="External"/><Relationship Id="rId109" Type="http://schemas.openxmlformats.org/officeDocument/2006/relationships/hyperlink" Target="https://docs.gcp.databricks.com/en/mlflow/tracking.html" TargetMode="External"/><Relationship Id="rId108" Type="http://schemas.openxmlformats.org/officeDocument/2006/relationships/hyperlink" Target="https://learn.microsoft.com/en-us/azure/databricks/mlflow/tracking" TargetMode="External"/><Relationship Id="rId229" Type="http://schemas.openxmlformats.org/officeDocument/2006/relationships/hyperlink" Target="https://docs.databricks.com/en/mlflow/llm-evaluate.html" TargetMode="External"/><Relationship Id="rId220" Type="http://schemas.openxmlformats.org/officeDocument/2006/relationships/hyperlink" Target="https://genai.owasp.org/llmrisk/llm03-training-data-poisoning/" TargetMode="External"/><Relationship Id="rId341" Type="http://schemas.openxmlformats.org/officeDocument/2006/relationships/hyperlink" Target="https://docs.databricks.com/aws/en/generative-ai/mcp/external-mcp" TargetMode="External"/><Relationship Id="rId340" Type="http://schemas.openxmlformats.org/officeDocument/2006/relationships/hyperlink" Target="https://genai.owasp.org/llmrisk2023-24/llm08-excessive-agency/" TargetMode="External"/><Relationship Id="rId103" Type="http://schemas.openxmlformats.org/officeDocument/2006/relationships/hyperlink" Target="https://docs.databricks.com/en/machine-learning/feature-store/index.html" TargetMode="External"/><Relationship Id="rId224" Type="http://schemas.openxmlformats.org/officeDocument/2006/relationships/hyperlink" Target="https://docs.gcp.databricks.com/en/security/auth-authz/access-control/index.html" TargetMode="External"/><Relationship Id="rId345" Type="http://schemas.openxmlformats.org/officeDocument/2006/relationships/hyperlink" Target="https://docs.databricks.com/aws/en/generative-ai/agent-framework/log-agent" TargetMode="External"/><Relationship Id="rId102" Type="http://schemas.openxmlformats.org/officeDocument/2006/relationships/hyperlink" Target="https://owasp.org/www-project-machine-learning-security-top-10/docs/ML02_2023-Data_Poisoning_Attack.html" TargetMode="External"/><Relationship Id="rId223" Type="http://schemas.openxmlformats.org/officeDocument/2006/relationships/hyperlink" Target="https://learn.microsoft.com/en-us/azure/databricks/security/auth-authz/access-control/" TargetMode="External"/><Relationship Id="rId344" Type="http://schemas.openxmlformats.org/officeDocument/2006/relationships/hyperlink" Target="https://genai.owasp.org/llmrisk2023-24/llm08-excessive-agency/" TargetMode="External"/><Relationship Id="rId101" Type="http://schemas.openxmlformats.org/officeDocument/2006/relationships/hyperlink" Target="https://genai.owasp.org/llmrisk/llm03-training-data-poisoning/" TargetMode="External"/><Relationship Id="rId222" Type="http://schemas.openxmlformats.org/officeDocument/2006/relationships/hyperlink" Target="https://docs.databricks.com/en/security/auth-authz/access-control/index.html" TargetMode="External"/><Relationship Id="rId343" Type="http://schemas.openxmlformats.org/officeDocument/2006/relationships/hyperlink" Target="https://docs.databricks.com/gcp/en/generative-ai/mcp/external-mcp" TargetMode="External"/><Relationship Id="rId100" Type="http://schemas.openxmlformats.org/officeDocument/2006/relationships/hyperlink" Target="https://atlas.mitre.org/mitigations/AML.M0007" TargetMode="External"/><Relationship Id="rId221" Type="http://schemas.openxmlformats.org/officeDocument/2006/relationships/hyperlink" Target="https://owasp.org/www-project-machine-learning-security-top-10/docs/ML08_2023-Model_Skewing.html" TargetMode="External"/><Relationship Id="rId342" Type="http://schemas.openxmlformats.org/officeDocument/2006/relationships/hyperlink" Target="https://learn.microsoft.com/en-us/azure/databricks/generative-ai/mcp/external-mcp" TargetMode="External"/><Relationship Id="rId217" Type="http://schemas.openxmlformats.org/officeDocument/2006/relationships/hyperlink" Target="https://www.databricks.com/resources/ebook/the-big-book-of-mlops" TargetMode="External"/><Relationship Id="rId338" Type="http://schemas.openxmlformats.org/officeDocument/2006/relationships/hyperlink" Target="https://learn.microsoft.com/en-us/azure/databricks/generative-ai/mcp/custom-mcp" TargetMode="External"/><Relationship Id="rId216" Type="http://schemas.openxmlformats.org/officeDocument/2006/relationships/hyperlink" Target="https://attack.mitre.org/mitigations/M1054" TargetMode="External"/><Relationship Id="rId337" Type="http://schemas.openxmlformats.org/officeDocument/2006/relationships/hyperlink" Target="https://docs.databricks.com/aws/en/generative-ai/mcp/custom-mcp" TargetMode="External"/><Relationship Id="rId215" Type="http://schemas.openxmlformats.org/officeDocument/2006/relationships/hyperlink" Target="https://www.databricks.com/trust/trust" TargetMode="External"/><Relationship Id="rId336" Type="http://schemas.openxmlformats.org/officeDocument/2006/relationships/hyperlink" Target="https://genai.owasp.org/llmrisk2023-24/llm08-excessive-agency/" TargetMode="External"/><Relationship Id="rId214" Type="http://schemas.openxmlformats.org/officeDocument/2006/relationships/hyperlink" Target="https://www.databricks.com/trust/trust" TargetMode="External"/><Relationship Id="rId335" Type="http://schemas.openxmlformats.org/officeDocument/2006/relationships/hyperlink" Target="https://docs.databricks.com/gcp/en/generative-ai/mcp/managed-mcp" TargetMode="External"/><Relationship Id="rId219" Type="http://schemas.openxmlformats.org/officeDocument/2006/relationships/hyperlink" Target="https://www.databricks.com/resources/ebook/the-big-book-of-mlops" TargetMode="External"/><Relationship Id="rId218" Type="http://schemas.openxmlformats.org/officeDocument/2006/relationships/hyperlink" Target="https://www.databricks.com/resources/ebook/the-big-book-of-mlops" TargetMode="External"/><Relationship Id="rId339" Type="http://schemas.openxmlformats.org/officeDocument/2006/relationships/hyperlink" Target="https://docs.databricks.com/gcp/en/generative-ai/mcp/custom-mcp" TargetMode="External"/><Relationship Id="rId330" Type="http://schemas.openxmlformats.org/officeDocument/2006/relationships/hyperlink" Target="https://attack.mitre.org/mitigations/M1036" TargetMode="External"/><Relationship Id="rId213" Type="http://schemas.openxmlformats.org/officeDocument/2006/relationships/hyperlink" Target="https://www.databricks.com/trust/trust" TargetMode="External"/><Relationship Id="rId334" Type="http://schemas.openxmlformats.org/officeDocument/2006/relationships/hyperlink" Target="https://learn.microsoft.com/en-us/azure/databricks/generative-ai/mcp/managed-mcp" TargetMode="External"/><Relationship Id="rId212" Type="http://schemas.openxmlformats.org/officeDocument/2006/relationships/hyperlink" Target="https://owasp.org/www-project-machine-learning-security-top-10/docs/ML08_2023-Model_Skewing.html" TargetMode="External"/><Relationship Id="rId333" Type="http://schemas.openxmlformats.org/officeDocument/2006/relationships/hyperlink" Target="https://docs.databricks.com/aws/en/generative-ai/mcp/managed-mcp" TargetMode="External"/><Relationship Id="rId211" Type="http://schemas.openxmlformats.org/officeDocument/2006/relationships/hyperlink" Target="https://www.databricks.com/trust/trust" TargetMode="External"/><Relationship Id="rId332" Type="http://schemas.openxmlformats.org/officeDocument/2006/relationships/hyperlink" Target="https://owasp.org/www-project-machine-learning-security-top-10/docs/ML02_2023-Data_Poisoning_Attack.html" TargetMode="External"/><Relationship Id="rId210" Type="http://schemas.openxmlformats.org/officeDocument/2006/relationships/hyperlink" Target="https://www.databricks.com/trust/trust" TargetMode="External"/><Relationship Id="rId331" Type="http://schemas.openxmlformats.org/officeDocument/2006/relationships/hyperlink" Target="https://genai.owasp.org/llmrisk/llm01-prompt-injection/" TargetMode="External"/><Relationship Id="rId129" Type="http://schemas.openxmlformats.org/officeDocument/2006/relationships/hyperlink" Target="https://docs.databricks.com/en/machine-learning/manage-model-lifecycle/index.html" TargetMode="External"/><Relationship Id="rId128" Type="http://schemas.openxmlformats.org/officeDocument/2006/relationships/hyperlink" Target="https://genai.owasp.org/llmrisk/llm03-training-data-poisoning/" TargetMode="External"/><Relationship Id="rId249" Type="http://schemas.openxmlformats.org/officeDocument/2006/relationships/hyperlink" Target="https://docs.databricks.com/aws/en/databricks-ai/databricks-ai-trust" TargetMode="External"/><Relationship Id="rId127" Type="http://schemas.openxmlformats.org/officeDocument/2006/relationships/hyperlink" Target="https://www.databricks.com/product/data-lakehouse" TargetMode="External"/><Relationship Id="rId248" Type="http://schemas.openxmlformats.org/officeDocument/2006/relationships/hyperlink" Target="https://docs.gcp.databricks.com/en/generative-ai/agent-evaluation/llm-judge-metrics.html" TargetMode="External"/><Relationship Id="rId126" Type="http://schemas.openxmlformats.org/officeDocument/2006/relationships/hyperlink" Target="https://www.databricks.com/product/data-lakehouse" TargetMode="External"/><Relationship Id="rId247" Type="http://schemas.openxmlformats.org/officeDocument/2006/relationships/hyperlink" Target="https://learn.microsoft.com/en-us/azure/databricks/generative-ai/agent-evaluation/llm-judge-metrics" TargetMode="External"/><Relationship Id="rId121" Type="http://schemas.openxmlformats.org/officeDocument/2006/relationships/hyperlink" Target="https://docs.gcp.databricks.com/en/mlflow/tracking.html" TargetMode="External"/><Relationship Id="rId242" Type="http://schemas.openxmlformats.org/officeDocument/2006/relationships/hyperlink" Target="https://learn.microsoft.com/en-us/azure/databricks/machine-learning/" TargetMode="External"/><Relationship Id="rId120" Type="http://schemas.openxmlformats.org/officeDocument/2006/relationships/hyperlink" Target="https://learn.microsoft.com/en-us/azure/databricks/mlflow/tracking" TargetMode="External"/><Relationship Id="rId241" Type="http://schemas.openxmlformats.org/officeDocument/2006/relationships/hyperlink" Target="https://docs.databricks.com/en/machine-learning/index.html" TargetMode="External"/><Relationship Id="rId240" Type="http://schemas.openxmlformats.org/officeDocument/2006/relationships/hyperlink" Target="https://docs.gcp.databricks.com/en/large-language-models/ai-playground.html" TargetMode="External"/><Relationship Id="rId125" Type="http://schemas.openxmlformats.org/officeDocument/2006/relationships/hyperlink" Target="https://www.databricks.com/product/data-lakehouse" TargetMode="External"/><Relationship Id="rId246" Type="http://schemas.openxmlformats.org/officeDocument/2006/relationships/hyperlink" Target="https://docs.databricks.com/en/generative-ai/agent-evaluation/llm-judge-metrics.html" TargetMode="External"/><Relationship Id="rId124" Type="http://schemas.openxmlformats.org/officeDocument/2006/relationships/hyperlink" Target="https://docs.databricks.com/gcp/en/data-quality-monitoring/data-profiling" TargetMode="External"/><Relationship Id="rId245" Type="http://schemas.openxmlformats.org/officeDocument/2006/relationships/hyperlink" Target="https://attack.mitre.org/mitigations/M1028" TargetMode="External"/><Relationship Id="rId123" Type="http://schemas.openxmlformats.org/officeDocument/2006/relationships/hyperlink" Target="https://learn.microsoft.com/en-us/azure/databricks/lakehouse-monitoring/" TargetMode="External"/><Relationship Id="rId244" Type="http://schemas.openxmlformats.org/officeDocument/2006/relationships/hyperlink" Target="https://attack.mitre.org/mitigations/M1046" TargetMode="External"/><Relationship Id="rId122" Type="http://schemas.openxmlformats.org/officeDocument/2006/relationships/hyperlink" Target="https://docs.databricks.com/en/lakehouse-monitoring/index.html" TargetMode="External"/><Relationship Id="rId243" Type="http://schemas.openxmlformats.org/officeDocument/2006/relationships/hyperlink" Target="https://docs.gcp.databricks.com/en/machine-learning/index.html" TargetMode="External"/><Relationship Id="rId95" Type="http://schemas.openxmlformats.org/officeDocument/2006/relationships/hyperlink" Target="https://owasp.org/www-project-machine-learning-security-top-10/docs/ML02_2023-Data_Poisoning_Attack.html" TargetMode="External"/><Relationship Id="rId94" Type="http://schemas.openxmlformats.org/officeDocument/2006/relationships/hyperlink" Target="https://genai.owasp.org/llmrisk/llm05-supply-chain-vulnerabilities/" TargetMode="External"/><Relationship Id="rId97" Type="http://schemas.openxmlformats.org/officeDocument/2006/relationships/hyperlink" Target="https://docs.databricks.com/en/exploratory-data-analysis/index.html" TargetMode="External"/><Relationship Id="rId96" Type="http://schemas.openxmlformats.org/officeDocument/2006/relationships/hyperlink" Target="https://artificialintelligenceact.eu/article/12/" TargetMode="External"/><Relationship Id="rId99" Type="http://schemas.openxmlformats.org/officeDocument/2006/relationships/hyperlink" Target="https://docs.gcp.databricks.com/en/exploratory-data-analysis/index.html" TargetMode="External"/><Relationship Id="rId98" Type="http://schemas.openxmlformats.org/officeDocument/2006/relationships/hyperlink" Target="https://learn.microsoft.com/en-us/azure/databricks/exploratory-data-analysis/" TargetMode="External"/><Relationship Id="rId91" Type="http://schemas.openxmlformats.org/officeDocument/2006/relationships/hyperlink" Target="https://docs.databricks.com/en/data-governance/unity-catalog/audit.html" TargetMode="External"/><Relationship Id="rId90" Type="http://schemas.openxmlformats.org/officeDocument/2006/relationships/hyperlink" Target="https://owasp.org/www-project-machine-learning-security-top-10/docs/ML08_2023-Model_Skewing.html" TargetMode="External"/><Relationship Id="rId93" Type="http://schemas.openxmlformats.org/officeDocument/2006/relationships/hyperlink" Target="https://docs.gcp.databricks.com/en/data-governance/unity-catalog/audit.html" TargetMode="External"/><Relationship Id="rId92" Type="http://schemas.openxmlformats.org/officeDocument/2006/relationships/hyperlink" Target="https://learn.microsoft.com/en-us/azure/databricks/data-governance/unity-catalog/audit" TargetMode="External"/><Relationship Id="rId118" Type="http://schemas.openxmlformats.org/officeDocument/2006/relationships/hyperlink" Target="https://artificialintelligenceact.eu/article/14/" TargetMode="External"/><Relationship Id="rId239" Type="http://schemas.openxmlformats.org/officeDocument/2006/relationships/hyperlink" Target="https://learn.microsoft.com/en-us/azure/databricks/large-language-models/ai-playground" TargetMode="External"/><Relationship Id="rId117" Type="http://schemas.openxmlformats.org/officeDocument/2006/relationships/hyperlink" Target="https://docs.gcp.databricks.com/en/mlflow/index.html" TargetMode="External"/><Relationship Id="rId238" Type="http://schemas.openxmlformats.org/officeDocument/2006/relationships/hyperlink" Target="https://docs.databricks.com/en/large-language-models/ai-playground.html" TargetMode="External"/><Relationship Id="rId116" Type="http://schemas.openxmlformats.org/officeDocument/2006/relationships/hyperlink" Target="https://learn.microsoft.com/en-us/azure/databricks/mlflow/" TargetMode="External"/><Relationship Id="rId237" Type="http://schemas.openxmlformats.org/officeDocument/2006/relationships/hyperlink" Target="https://docs.gcp.databricks.com/en/generative-ai/vector-search.html" TargetMode="External"/><Relationship Id="rId115" Type="http://schemas.openxmlformats.org/officeDocument/2006/relationships/hyperlink" Target="https://docs.databricks.com/en/mlflow/index.html" TargetMode="External"/><Relationship Id="rId236" Type="http://schemas.openxmlformats.org/officeDocument/2006/relationships/hyperlink" Target="https://learn.microsoft.com/en-us/azure/databricks/generative-ai/vector-search" TargetMode="External"/><Relationship Id="rId119" Type="http://schemas.openxmlformats.org/officeDocument/2006/relationships/hyperlink" Target="https://docs.databricks.com/en/mlflow/tracking.html" TargetMode="External"/><Relationship Id="rId110" Type="http://schemas.openxmlformats.org/officeDocument/2006/relationships/hyperlink" Target="https://owasp.org/www-project-machine-learning-security-top-10/docs/ML02_2023-Data_Poisoning_Attack.html" TargetMode="External"/><Relationship Id="rId231" Type="http://schemas.openxmlformats.org/officeDocument/2006/relationships/hyperlink" Target="https://docs.gcp.databricks.com/en/mlflow/llm-evaluate.html" TargetMode="External"/><Relationship Id="rId352" Type="http://schemas.openxmlformats.org/officeDocument/2006/relationships/hyperlink" Target="https://learn.microsoft.com/en-us/azure/databricks/mlflow3/genai/prompt-version-mgmt/prompt-registry/" TargetMode="External"/><Relationship Id="rId230" Type="http://schemas.openxmlformats.org/officeDocument/2006/relationships/hyperlink" Target="https://learn.microsoft.com/en-us/azure/databricks/mlflow/llm-evaluate" TargetMode="External"/><Relationship Id="rId351" Type="http://schemas.openxmlformats.org/officeDocument/2006/relationships/hyperlink" Target="https://docs.databricks.com/aws/en/mlflow3/genai/prompt-version-mgmt/prompt-registry/" TargetMode="External"/><Relationship Id="rId350" Type="http://schemas.openxmlformats.org/officeDocument/2006/relationships/hyperlink" Target="https://genai.owasp.org/llmrisk/llm022025-sensitive-information-disclosure/" TargetMode="External"/><Relationship Id="rId114" Type="http://schemas.openxmlformats.org/officeDocument/2006/relationships/hyperlink" Target="https://docs.gcp.databricks.com/en/machine-learning/index.html" TargetMode="External"/><Relationship Id="rId235" Type="http://schemas.openxmlformats.org/officeDocument/2006/relationships/hyperlink" Target="https://docs.databricks.com/en/generative-ai/vector-search.html" TargetMode="External"/><Relationship Id="rId113" Type="http://schemas.openxmlformats.org/officeDocument/2006/relationships/hyperlink" Target="https://learn.microsoft.com/en-us/azure/databricks/machine-learning/" TargetMode="External"/><Relationship Id="rId234" Type="http://schemas.openxmlformats.org/officeDocument/2006/relationships/hyperlink" Target="https://docs.databricks.com/en/security/keys/customer-managed-keys.html" TargetMode="External"/><Relationship Id="rId355" Type="http://schemas.openxmlformats.org/officeDocument/2006/relationships/drawing" Target="../drawings/drawing4.xml"/><Relationship Id="rId112" Type="http://schemas.openxmlformats.org/officeDocument/2006/relationships/hyperlink" Target="https://docs.databricks.com/en/machine-learning/index.html" TargetMode="External"/><Relationship Id="rId233" Type="http://schemas.openxmlformats.org/officeDocument/2006/relationships/hyperlink" Target="https://artificialintelligenceact.eu/article/72/" TargetMode="External"/><Relationship Id="rId354" Type="http://schemas.openxmlformats.org/officeDocument/2006/relationships/hyperlink" Target="https://genai.owasp.org/llmrisk/llm01-prompt-injection/" TargetMode="External"/><Relationship Id="rId111" Type="http://schemas.openxmlformats.org/officeDocument/2006/relationships/hyperlink" Target="https://artificialintelligenceact.eu/article/72/" TargetMode="External"/><Relationship Id="rId232" Type="http://schemas.openxmlformats.org/officeDocument/2006/relationships/hyperlink" Target="https://atlas.mitre.org/mitigations/AML.M0008" TargetMode="External"/><Relationship Id="rId353" Type="http://schemas.openxmlformats.org/officeDocument/2006/relationships/hyperlink" Target="https://docs.databricks.com/gcp/en/mlflow3/genai/prompt-version-mgmt/prompt-registry/" TargetMode="External"/><Relationship Id="rId305" Type="http://schemas.openxmlformats.org/officeDocument/2006/relationships/hyperlink" Target="https://learn.microsoft.com/en-us/azure/databricks/security/network/serverless-network-security/network-policies" TargetMode="External"/><Relationship Id="rId304" Type="http://schemas.openxmlformats.org/officeDocument/2006/relationships/hyperlink" Target="https://docs.databricks.com/en/security/network/serverless-network-security/network-policies.html" TargetMode="External"/><Relationship Id="rId303" Type="http://schemas.openxmlformats.org/officeDocument/2006/relationships/hyperlink" Target="https://attack.mitre.org/mitigations/M1013" TargetMode="External"/><Relationship Id="rId302" Type="http://schemas.openxmlformats.org/officeDocument/2006/relationships/hyperlink" Target="https://atlas.mitre.org/mitigations/AML.M0018" TargetMode="External"/><Relationship Id="rId309" Type="http://schemas.openxmlformats.org/officeDocument/2006/relationships/hyperlink" Target="https://learn.microsoft.com/en-us/azure/databricks/admin/clusters/automatic-cluster-update" TargetMode="External"/><Relationship Id="rId308" Type="http://schemas.openxmlformats.org/officeDocument/2006/relationships/hyperlink" Target="https://docs.databricks.com/en/admin/clusters/automatic-cluster-update.html" TargetMode="External"/><Relationship Id="rId307" Type="http://schemas.openxmlformats.org/officeDocument/2006/relationships/hyperlink" Target="https://attack.mitre.org/mitigations/M1030" TargetMode="External"/><Relationship Id="rId306" Type="http://schemas.openxmlformats.org/officeDocument/2006/relationships/hyperlink" Target="https://docs.databricks.com/gcp/en/security/network/serverless-network-security/network-policies" TargetMode="External"/><Relationship Id="rId301" Type="http://schemas.openxmlformats.org/officeDocument/2006/relationships/hyperlink" Target="https://customer-academy.databricks.com/learn" TargetMode="External"/><Relationship Id="rId300" Type="http://schemas.openxmlformats.org/officeDocument/2006/relationships/hyperlink" Target="https://customer-academy.databricks.com/learn" TargetMode="External"/><Relationship Id="rId206" Type="http://schemas.openxmlformats.org/officeDocument/2006/relationships/hyperlink" Target="https://www.databricks.com/trust/trust" TargetMode="External"/><Relationship Id="rId327" Type="http://schemas.openxmlformats.org/officeDocument/2006/relationships/hyperlink" Target="https://docs.databricks.com/aws/en/dev-tools/auth/oauth-federation" TargetMode="External"/><Relationship Id="rId205" Type="http://schemas.openxmlformats.org/officeDocument/2006/relationships/hyperlink" Target="https://www.databricks.com/trust/trust" TargetMode="External"/><Relationship Id="rId326" Type="http://schemas.openxmlformats.org/officeDocument/2006/relationships/hyperlink" Target="https://artificialintelligenceact.eu/article/14/" TargetMode="External"/><Relationship Id="rId204" Type="http://schemas.openxmlformats.org/officeDocument/2006/relationships/hyperlink" Target="https://www.databricks.com/trust/trust" TargetMode="External"/><Relationship Id="rId325" Type="http://schemas.openxmlformats.org/officeDocument/2006/relationships/hyperlink" Target="https://atlas.mitre.org/mitigations/AML.M0022" TargetMode="External"/><Relationship Id="rId203" Type="http://schemas.openxmlformats.org/officeDocument/2006/relationships/hyperlink" Target="https://attack.mitre.org/mitigations/M1016" TargetMode="External"/><Relationship Id="rId324" Type="http://schemas.openxmlformats.org/officeDocument/2006/relationships/hyperlink" Target="https://docs.databricks.com/gcp/en/mlflow3/genai/human-feedback/user-feedback" TargetMode="External"/><Relationship Id="rId209" Type="http://schemas.openxmlformats.org/officeDocument/2006/relationships/hyperlink" Target="https://www.databricks.com/trust/trust" TargetMode="External"/><Relationship Id="rId208" Type="http://schemas.openxmlformats.org/officeDocument/2006/relationships/hyperlink" Target="https://artificialintelligenceact.eu/article/17/" TargetMode="External"/><Relationship Id="rId329" Type="http://schemas.openxmlformats.org/officeDocument/2006/relationships/hyperlink" Target="https://docs.databricks.com/gcp/en/dev-tools/auth/oauth-federation" TargetMode="External"/><Relationship Id="rId207" Type="http://schemas.openxmlformats.org/officeDocument/2006/relationships/hyperlink" Target="https://attack.mitre.org/mitigations/M1040" TargetMode="External"/><Relationship Id="rId328" Type="http://schemas.openxmlformats.org/officeDocument/2006/relationships/hyperlink" Target="https://learn.microsoft.com/en-us/azure/databricks/dev-tools/auth/oauth-federation" TargetMode="External"/><Relationship Id="rId202" Type="http://schemas.openxmlformats.org/officeDocument/2006/relationships/hyperlink" Target="https://atlas.mitre.org/mitigations/AML.M0016" TargetMode="External"/><Relationship Id="rId323" Type="http://schemas.openxmlformats.org/officeDocument/2006/relationships/hyperlink" Target="https://learn.microsoft.com/en-us/azure/databricks/mlflow3/genai/tracing/collect-user-feedback/" TargetMode="External"/><Relationship Id="rId201" Type="http://schemas.openxmlformats.org/officeDocument/2006/relationships/hyperlink" Target="https://www.databricks.com/trust/trust" TargetMode="External"/><Relationship Id="rId322" Type="http://schemas.openxmlformats.org/officeDocument/2006/relationships/hyperlink" Target="https://docs.databricks.com/aws/en/mlflow3/genai/human-feedback/user-feedback" TargetMode="External"/><Relationship Id="rId200" Type="http://schemas.openxmlformats.org/officeDocument/2006/relationships/hyperlink" Target="https://www.databricks.com/trust/trust" TargetMode="External"/><Relationship Id="rId321" Type="http://schemas.openxmlformats.org/officeDocument/2006/relationships/hyperlink" Target="https://artificialintelligenceact.eu/article/72/" TargetMode="External"/><Relationship Id="rId320" Type="http://schemas.openxmlformats.org/officeDocument/2006/relationships/hyperlink" Target="https://owasp.org/www-project-machine-learning-security-top-10/docs/ML02_2023-Data_Poisoning_Attack.html" TargetMode="External"/><Relationship Id="rId316" Type="http://schemas.openxmlformats.org/officeDocument/2006/relationships/hyperlink" Target="https://artificialintelligenceact.eu/article/5/" TargetMode="External"/><Relationship Id="rId315" Type="http://schemas.openxmlformats.org/officeDocument/2006/relationships/hyperlink" Target="https://artificialintelligenceact.eu/article/5/" TargetMode="External"/><Relationship Id="rId314" Type="http://schemas.openxmlformats.org/officeDocument/2006/relationships/hyperlink" Target="https://docs.databricks.com/gcp/en/generative-ai/agent-framework/authenticate-on-behalf-of-user" TargetMode="External"/><Relationship Id="rId313" Type="http://schemas.openxmlformats.org/officeDocument/2006/relationships/hyperlink" Target="https://learn.microsoft.com/en-us/azure/databricks/generative-ai/agent-framework/authenticate-on-behalf-of-user" TargetMode="External"/><Relationship Id="rId319" Type="http://schemas.openxmlformats.org/officeDocument/2006/relationships/hyperlink" Target="https://docs.databricks.com/gcp/en/mlflow3/genai/tracing" TargetMode="External"/><Relationship Id="rId318" Type="http://schemas.openxmlformats.org/officeDocument/2006/relationships/hyperlink" Target="https://learn.microsoft.com/en-us/azure/databricks/mlflow3/genai/tracing/" TargetMode="External"/><Relationship Id="rId317" Type="http://schemas.openxmlformats.org/officeDocument/2006/relationships/hyperlink" Target="https://docs.databricks.com/aws/en/mlflow3/genai/tracing" TargetMode="External"/><Relationship Id="rId312" Type="http://schemas.openxmlformats.org/officeDocument/2006/relationships/hyperlink" Target="https://docs.databricks.com/aws/en/generative-ai/agent-framework/authenticate-on-behalf-of-user" TargetMode="External"/><Relationship Id="rId311" Type="http://schemas.openxmlformats.org/officeDocument/2006/relationships/hyperlink" Target="https://attack.mitre.org/mitigations/enterprise/" TargetMode="External"/><Relationship Id="rId310" Type="http://schemas.openxmlformats.org/officeDocument/2006/relationships/hyperlink" Target="https://docs.databricks.com/gcp/en/admin/clusters/automatic-cluster-updat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attack.mitre.org/mitigations/M1041" TargetMode="External"/><Relationship Id="rId42" Type="http://schemas.openxmlformats.org/officeDocument/2006/relationships/hyperlink" Target="https://owasp.org/www-project-machine-learning-security-top-10/docs/ML02_2023-Data_Poisoning_Attack.html" TargetMode="External"/><Relationship Id="rId41" Type="http://schemas.openxmlformats.org/officeDocument/2006/relationships/hyperlink" Target="https://genai.owasp.org/llmrisk/llm03-training-data-poisoning/:" TargetMode="External"/><Relationship Id="rId44" Type="http://schemas.openxmlformats.org/officeDocument/2006/relationships/hyperlink" Target="https://attack.mitre.org/mitigations/M1053" TargetMode="External"/><Relationship Id="rId43" Type="http://schemas.openxmlformats.org/officeDocument/2006/relationships/hyperlink" Target="https://artificialintelligenceact.eu/article/5/" TargetMode="External"/><Relationship Id="rId46" Type="http://schemas.openxmlformats.org/officeDocument/2006/relationships/hyperlink" Target="https://genai.owasp.org/llmrisk/llm03-training-data-poisoning/:" TargetMode="External"/><Relationship Id="rId45" Type="http://schemas.openxmlformats.org/officeDocument/2006/relationships/hyperlink" Target="https://genai.owasp.org/llmrisk/llm03-training-data-poisoning/:" TargetMode="External"/><Relationship Id="rId48" Type="http://schemas.openxmlformats.org/officeDocument/2006/relationships/hyperlink" Target="https://owasp.org/www-project-machine-learning-security-top-10/docs/ML08_2023-Model_Skewing.html" TargetMode="External"/><Relationship Id="rId47" Type="http://schemas.openxmlformats.org/officeDocument/2006/relationships/hyperlink" Target="https://genai.owasp.org/llmrisk/llm03-training-data-poisoning/" TargetMode="External"/><Relationship Id="rId49" Type="http://schemas.openxmlformats.org/officeDocument/2006/relationships/hyperlink" Target="https://genai.owasp.org/llmrisk/llm05-supply-chain-vulnerabilities/" TargetMode="External"/><Relationship Id="rId31" Type="http://schemas.openxmlformats.org/officeDocument/2006/relationships/hyperlink" Target="https://owasp.org/www-project-machine-learning-security-top-10/docs/ML02_2023-Data_Poisoning_Attack.html" TargetMode="External"/><Relationship Id="rId30" Type="http://schemas.openxmlformats.org/officeDocument/2006/relationships/hyperlink" Target="https://genai.owasp.org/llmrisk/llm03-training-data-poisoning/:" TargetMode="External"/><Relationship Id="rId33" Type="http://schemas.openxmlformats.org/officeDocument/2006/relationships/hyperlink" Target="https://genai.owasp.org/llmrisk/llm03-training-data-poisoning/:" TargetMode="External"/><Relationship Id="rId32" Type="http://schemas.openxmlformats.org/officeDocument/2006/relationships/hyperlink" Target="https://atlas.mitre.org/mitigations/AML.M0007" TargetMode="External"/><Relationship Id="rId35" Type="http://schemas.openxmlformats.org/officeDocument/2006/relationships/hyperlink" Target="https://attack.mitre.org/mitigations/M1041" TargetMode="External"/><Relationship Id="rId34" Type="http://schemas.openxmlformats.org/officeDocument/2006/relationships/hyperlink" Target="https://atlas.mitre.org/mitigations/AML.M0012" TargetMode="External"/><Relationship Id="rId37" Type="http://schemas.openxmlformats.org/officeDocument/2006/relationships/hyperlink" Target="https://owasp.org/www-project-machine-learning-security-top-10/docs/ML02_2023-Data_Poisoning_Attack.html" TargetMode="External"/><Relationship Id="rId36" Type="http://schemas.openxmlformats.org/officeDocument/2006/relationships/hyperlink" Target="https://genai.owasp.org/llmrisk/llm03-training-data-poisoning/:" TargetMode="External"/><Relationship Id="rId39" Type="http://schemas.openxmlformats.org/officeDocument/2006/relationships/hyperlink" Target="https://atlas.mitre.org/mitigations/AML.M0012" TargetMode="External"/><Relationship Id="rId38" Type="http://schemas.openxmlformats.org/officeDocument/2006/relationships/hyperlink" Target="https://artificialintelligenceact.eu/article/5/" TargetMode="External"/><Relationship Id="rId20" Type="http://schemas.openxmlformats.org/officeDocument/2006/relationships/hyperlink" Target="https://owasp.org/www-project-machine-learning-security-top-10/docs/ML02_2023-Data_Poisoning_Attack.html" TargetMode="External"/><Relationship Id="rId22" Type="http://schemas.openxmlformats.org/officeDocument/2006/relationships/hyperlink" Target="https://genai.owasp.org/llmrisk/llm01-prompt-injection/" TargetMode="External"/><Relationship Id="rId21" Type="http://schemas.openxmlformats.org/officeDocument/2006/relationships/hyperlink" Target="https://attack.mitre.org/mitigations/M1035" TargetMode="External"/><Relationship Id="rId24" Type="http://schemas.openxmlformats.org/officeDocument/2006/relationships/hyperlink" Target="https://atlas.mitre.org/mitigations/AML.M0005" TargetMode="External"/><Relationship Id="rId23" Type="http://schemas.openxmlformats.org/officeDocument/2006/relationships/hyperlink" Target="https://owasp.org/www-project-machine-learning-security-top-10/docs/ML02_2023-Data_Poisoning_Attack.html" TargetMode="External"/><Relationship Id="rId26" Type="http://schemas.openxmlformats.org/officeDocument/2006/relationships/hyperlink" Target="https://genai.owasp.org/llmrisk/llm01-prompt-injection/" TargetMode="External"/><Relationship Id="rId25" Type="http://schemas.openxmlformats.org/officeDocument/2006/relationships/hyperlink" Target="https://attack.mitre.org/mitigations/M1029" TargetMode="External"/><Relationship Id="rId28" Type="http://schemas.openxmlformats.org/officeDocument/2006/relationships/hyperlink" Target="https://artificialintelligenceact.eu/article/5/" TargetMode="External"/><Relationship Id="rId27" Type="http://schemas.openxmlformats.org/officeDocument/2006/relationships/hyperlink" Target="https://owasp.org/www-project-machine-learning-security-top-10/docs/ML02_2023-Data_Poisoning_Attack.html" TargetMode="External"/><Relationship Id="rId29" Type="http://schemas.openxmlformats.org/officeDocument/2006/relationships/hyperlink" Target="https://attack.mitre.org/mitigations/M1057" TargetMode="External"/><Relationship Id="rId11" Type="http://schemas.openxmlformats.org/officeDocument/2006/relationships/hyperlink" Target="https://artificialintelligenceact.eu/ai-act-explorer/" TargetMode="External"/><Relationship Id="rId10" Type="http://schemas.openxmlformats.org/officeDocument/2006/relationships/hyperlink" Target="https://www.enisa.europa.eu/publications/securing-machine-learning-algorithms" TargetMode="External"/><Relationship Id="rId13" Type="http://schemas.openxmlformats.org/officeDocument/2006/relationships/hyperlink" Target="https://genai.owasp.org/llmrisk/llm01-prompt-injection/" TargetMode="External"/><Relationship Id="rId12" Type="http://schemas.openxmlformats.org/officeDocument/2006/relationships/hyperlink" Target="https://attack.mitre.org/mitigations/M1036" TargetMode="External"/><Relationship Id="rId15" Type="http://schemas.openxmlformats.org/officeDocument/2006/relationships/hyperlink" Target="https://attack.mitre.org/mitigations/M1015" TargetMode="External"/><Relationship Id="rId14" Type="http://schemas.openxmlformats.org/officeDocument/2006/relationships/hyperlink" Target="https://owasp.org/www-project-machine-learning-security-top-10/docs/ML02_2023-Data_Poisoning_Attack.html" TargetMode="External"/><Relationship Id="rId17" Type="http://schemas.openxmlformats.org/officeDocument/2006/relationships/hyperlink" Target="https://owasp.org/www-project-machine-learning-security-top-10/docs/ML02_2023-Data_Poisoning_Attack.html" TargetMode="External"/><Relationship Id="rId16" Type="http://schemas.openxmlformats.org/officeDocument/2006/relationships/hyperlink" Target="https://genai.owasp.org/llmrisk/llm01-prompt-injection/" TargetMode="External"/><Relationship Id="rId19" Type="http://schemas.openxmlformats.org/officeDocument/2006/relationships/hyperlink" Target="https://genai.owasp.org/llmrisk/llm01-prompt-injection/" TargetMode="External"/><Relationship Id="rId18" Type="http://schemas.openxmlformats.org/officeDocument/2006/relationships/hyperlink" Target="https://attack.mitre.org/mitigations/M1035" TargetMode="External"/><Relationship Id="rId84" Type="http://schemas.openxmlformats.org/officeDocument/2006/relationships/hyperlink" Target="https://genai.owasp.org/llmrisk/llm03-training-data-poisoning/" TargetMode="External"/><Relationship Id="rId83" Type="http://schemas.openxmlformats.org/officeDocument/2006/relationships/hyperlink" Target="https://artificialintelligenceact.eu/article/72/" TargetMode="External"/><Relationship Id="rId86" Type="http://schemas.openxmlformats.org/officeDocument/2006/relationships/hyperlink" Target="https://atlas.mitre.org/mitigations/AML.M0016" TargetMode="External"/><Relationship Id="rId85" Type="http://schemas.openxmlformats.org/officeDocument/2006/relationships/hyperlink" Target="https://owasp.org/www-project-machine-learning-security-top-10/docs/ML08_2023-Model_Skewing.html" TargetMode="External"/><Relationship Id="rId88" Type="http://schemas.openxmlformats.org/officeDocument/2006/relationships/hyperlink" Target="https://attack.mitre.org/mitigations/M1040" TargetMode="External"/><Relationship Id="rId87" Type="http://schemas.openxmlformats.org/officeDocument/2006/relationships/hyperlink" Target="https://attack.mitre.org/mitigations/M1016" TargetMode="External"/><Relationship Id="rId89" Type="http://schemas.openxmlformats.org/officeDocument/2006/relationships/hyperlink" Target="https://artificialintelligenceact.eu/article/17/" TargetMode="External"/><Relationship Id="rId80" Type="http://schemas.openxmlformats.org/officeDocument/2006/relationships/hyperlink" Target="https://genai.owasp.org/llmrisk/llm10-model-theft/" TargetMode="External"/><Relationship Id="rId82" Type="http://schemas.openxmlformats.org/officeDocument/2006/relationships/hyperlink" Target="https://owasp.org/www-project-machine-learning-security-top-10/docs/ML03_2023-Model_Inversion_Attack.html" TargetMode="External"/><Relationship Id="rId81" Type="http://schemas.openxmlformats.org/officeDocument/2006/relationships/hyperlink" Target="https://owasp.org/www-project-machine-learning-security-top-10/docs/ML03_2023-Model_Inversion_Attack.html" TargetMode="External"/><Relationship Id="rId1" Type="http://schemas.openxmlformats.org/officeDocument/2006/relationships/hyperlink" Target="https://github.com/databricks-industry-solutions/security-analysis-tool/blob/main/configs/security_best_practices.csv" TargetMode="External"/><Relationship Id="rId2" Type="http://schemas.openxmlformats.org/officeDocument/2006/relationships/hyperlink" Target="https://atlas.mitre.org/mitigations" TargetMode="External"/><Relationship Id="rId3" Type="http://schemas.openxmlformats.org/officeDocument/2006/relationships/hyperlink" Target="https://attack.mitre.org/mitigations/enterprise/" TargetMode="External"/><Relationship Id="rId4" Type="http://schemas.openxmlformats.org/officeDocument/2006/relationships/hyperlink" Target="https://genai.owasp.org/resource/owasp-top-10-for-llm-applications-2025/" TargetMode="External"/><Relationship Id="rId9" Type="http://schemas.openxmlformats.org/officeDocument/2006/relationships/hyperlink" Target="https://www.manula.com/manuals/hitrust/ai-security-certification-requirements-draft/1/en/topic/about-this-assessment-and-certification" TargetMode="External"/><Relationship Id="rId5" Type="http://schemas.openxmlformats.org/officeDocument/2006/relationships/hyperlink" Target="https://owasp.org/www-project-machine-learning-security-top-10/" TargetMode="External"/><Relationship Id="rId6" Type="http://schemas.openxmlformats.org/officeDocument/2006/relationships/hyperlink" Target="https://www.iso.org/standard/81230.html" TargetMode="External"/><Relationship Id="rId7" Type="http://schemas.openxmlformats.org/officeDocument/2006/relationships/hyperlink" Target="https://www.iso.org/standard/27001" TargetMode="External"/><Relationship Id="rId8" Type="http://schemas.openxmlformats.org/officeDocument/2006/relationships/hyperlink" Target="https://csrc.nist.gov/pubs/sp/800/53/r5/upd1/final" TargetMode="External"/><Relationship Id="rId73" Type="http://schemas.openxmlformats.org/officeDocument/2006/relationships/hyperlink" Target="https://genai.owasp.org/llmrisk/llm01-prompt-injection/" TargetMode="External"/><Relationship Id="rId72" Type="http://schemas.openxmlformats.org/officeDocument/2006/relationships/hyperlink" Target="https://atlas.mitre.org/mitigations/AML.M0019" TargetMode="External"/><Relationship Id="rId75" Type="http://schemas.openxmlformats.org/officeDocument/2006/relationships/hyperlink" Target="https://atlas.mitre.org/mitigations/AML.M0009" TargetMode="External"/><Relationship Id="rId74" Type="http://schemas.openxmlformats.org/officeDocument/2006/relationships/hyperlink" Target="https://owasp.org/www-project-machine-learning-security-top-10/docs/ML03_2023-Model_Inversion_Attack.html" TargetMode="External"/><Relationship Id="rId77" Type="http://schemas.openxmlformats.org/officeDocument/2006/relationships/hyperlink" Target="https://attack.mitre.org/mitigations/M1043" TargetMode="External"/><Relationship Id="rId76" Type="http://schemas.openxmlformats.org/officeDocument/2006/relationships/hyperlink" Target="https://genai.owasp.org/llmrisk/llm01-prompt-injection/" TargetMode="External"/><Relationship Id="rId79" Type="http://schemas.openxmlformats.org/officeDocument/2006/relationships/hyperlink" Target="https://attack.mitre.org/mitigations/M1048" TargetMode="External"/><Relationship Id="rId78" Type="http://schemas.openxmlformats.org/officeDocument/2006/relationships/hyperlink" Target="https://atlas.mitre.org/mitigations/AML.M0017" TargetMode="External"/><Relationship Id="rId71" Type="http://schemas.openxmlformats.org/officeDocument/2006/relationships/hyperlink" Target="https://artificialintelligenceact.eu/article/15/" TargetMode="External"/><Relationship Id="rId70" Type="http://schemas.openxmlformats.org/officeDocument/2006/relationships/hyperlink" Target="https://owasp.org/www-project-machine-learning-security-top-10/docs/ML01_2023-Input_Manipulation_Attack.html" TargetMode="External"/><Relationship Id="rId62" Type="http://schemas.openxmlformats.org/officeDocument/2006/relationships/hyperlink" Target="https://owasp.org/www-project-machine-learning-security-top-10/docs/ML03_2023-Model_Inversion_Attack.html" TargetMode="External"/><Relationship Id="rId61" Type="http://schemas.openxmlformats.org/officeDocument/2006/relationships/hyperlink" Target="https://genai.owasp.org/llmrisk/llm01-prompt-injection/" TargetMode="External"/><Relationship Id="rId64" Type="http://schemas.openxmlformats.org/officeDocument/2006/relationships/hyperlink" Target="https://genai.owasp.org/llmrisk/llm10-model-theft/" TargetMode="External"/><Relationship Id="rId63" Type="http://schemas.openxmlformats.org/officeDocument/2006/relationships/hyperlink" Target="https://genai.owasp.org/llmrisk/llm09-overreliance/" TargetMode="External"/><Relationship Id="rId66" Type="http://schemas.openxmlformats.org/officeDocument/2006/relationships/hyperlink" Target="https://genai.owasp.org/llmrisk/llm05-supply-chain-vulnerabilities/" TargetMode="External"/><Relationship Id="rId65" Type="http://schemas.openxmlformats.org/officeDocument/2006/relationships/hyperlink" Target="https://owasp.org/www-project-machine-learning-security-top-10/docs/ML05_2023-Model_Theft.html" TargetMode="External"/><Relationship Id="rId68" Type="http://schemas.openxmlformats.org/officeDocument/2006/relationships/hyperlink" Target="https://atlas.mitre.org/mitigations/AML.M0012" TargetMode="External"/><Relationship Id="rId67" Type="http://schemas.openxmlformats.org/officeDocument/2006/relationships/hyperlink" Target="https://owasp.org/www-project-machine-learning-security-top-10/docs/ML01_2023-Input_Manipulation_Attack.html" TargetMode="External"/><Relationship Id="rId60" Type="http://schemas.openxmlformats.org/officeDocument/2006/relationships/hyperlink" Target="https://atlas.mitre.org/mitigations/AML.M0005" TargetMode="External"/><Relationship Id="rId69" Type="http://schemas.openxmlformats.org/officeDocument/2006/relationships/hyperlink" Target="https://attack.mitre.org/mitigations/M1041" TargetMode="External"/><Relationship Id="rId51" Type="http://schemas.openxmlformats.org/officeDocument/2006/relationships/hyperlink" Target="https://artificialintelligenceact.eu/article/12/" TargetMode="External"/><Relationship Id="rId50" Type="http://schemas.openxmlformats.org/officeDocument/2006/relationships/hyperlink" Target="https://owasp.org/www-project-machine-learning-security-top-10/docs/ML02_2023-Data_Poisoning_Attack.html" TargetMode="External"/><Relationship Id="rId53" Type="http://schemas.openxmlformats.org/officeDocument/2006/relationships/hyperlink" Target="https://genai.owasp.org/llmrisk/llm03-training-data-poisoning/" TargetMode="External"/><Relationship Id="rId52" Type="http://schemas.openxmlformats.org/officeDocument/2006/relationships/hyperlink" Target="https://atlas.mitre.org/mitigations/AML.M0007" TargetMode="External"/><Relationship Id="rId55" Type="http://schemas.openxmlformats.org/officeDocument/2006/relationships/hyperlink" Target="https://artificialintelligenceact.eu/article/15/" TargetMode="External"/><Relationship Id="rId54" Type="http://schemas.openxmlformats.org/officeDocument/2006/relationships/hyperlink" Target="https://owasp.org/www-project-machine-learning-security-top-10/docs/ML02_2023-Data_Poisoning_Attack.html" TargetMode="External"/><Relationship Id="rId57" Type="http://schemas.openxmlformats.org/officeDocument/2006/relationships/hyperlink" Target="https://artificialintelligenceact.eu/article/72/" TargetMode="External"/><Relationship Id="rId56" Type="http://schemas.openxmlformats.org/officeDocument/2006/relationships/hyperlink" Target="https://owasp.org/www-project-machine-learning-security-top-10/docs/ML02_2023-Data_Poisoning_Attack.html" TargetMode="External"/><Relationship Id="rId59" Type="http://schemas.openxmlformats.org/officeDocument/2006/relationships/hyperlink" Target="https://genai.owasp.org/llmrisk/llm03-training-data-poisoning/" TargetMode="External"/><Relationship Id="rId58" Type="http://schemas.openxmlformats.org/officeDocument/2006/relationships/hyperlink" Target="https://artificialintelligenceact.eu/article/14/" TargetMode="External"/><Relationship Id="rId107" Type="http://schemas.openxmlformats.org/officeDocument/2006/relationships/hyperlink" Target="https://genai.owasp.org/llmrisk/llm01-prompt-injection/" TargetMode="External"/><Relationship Id="rId106" Type="http://schemas.openxmlformats.org/officeDocument/2006/relationships/hyperlink" Target="https://attack.mitre.org/mitigations/M1037" TargetMode="External"/><Relationship Id="rId105" Type="http://schemas.openxmlformats.org/officeDocument/2006/relationships/hyperlink" Target="https://artificialintelligenceact.eu/article/17/" TargetMode="External"/><Relationship Id="rId104" Type="http://schemas.openxmlformats.org/officeDocument/2006/relationships/hyperlink" Target="https://owasp.org/www-project-machine-learning-security-top-10/docs/ML09_2023-Output_Integrity_Attack.html" TargetMode="External"/><Relationship Id="rId109" Type="http://schemas.openxmlformats.org/officeDocument/2006/relationships/hyperlink" Target="https://genai.owasp.org/llmrisk/llm01-prompt-injection/" TargetMode="External"/><Relationship Id="rId108" Type="http://schemas.openxmlformats.org/officeDocument/2006/relationships/hyperlink" Target="https://artificialintelligenceact.eu/article/15/" TargetMode="External"/><Relationship Id="rId103" Type="http://schemas.openxmlformats.org/officeDocument/2006/relationships/hyperlink" Target="https://attack.mitre.org/mitigations/M1047" TargetMode="External"/><Relationship Id="rId102" Type="http://schemas.openxmlformats.org/officeDocument/2006/relationships/hyperlink" Target="https://artificialintelligenceact.eu/article/5/" TargetMode="External"/><Relationship Id="rId101" Type="http://schemas.openxmlformats.org/officeDocument/2006/relationships/hyperlink" Target="https://attack.mitre.org/mitigations/M1033" TargetMode="External"/><Relationship Id="rId100" Type="http://schemas.openxmlformats.org/officeDocument/2006/relationships/hyperlink" Target="https://atlas.mitre.org/mitigations/AML.M0011" TargetMode="External"/><Relationship Id="rId95" Type="http://schemas.openxmlformats.org/officeDocument/2006/relationships/hyperlink" Target="https://atlas.mitre.org/mitigations/AML.M0008" TargetMode="External"/><Relationship Id="rId94" Type="http://schemas.openxmlformats.org/officeDocument/2006/relationships/hyperlink" Target="https://attack.mitre.org/mitigations/M1039" TargetMode="External"/><Relationship Id="rId97" Type="http://schemas.openxmlformats.org/officeDocument/2006/relationships/hyperlink" Target="https://attack.mitre.org/mitigations/M1046" TargetMode="External"/><Relationship Id="rId96" Type="http://schemas.openxmlformats.org/officeDocument/2006/relationships/hyperlink" Target="https://artificialintelligenceact.eu/article/72/" TargetMode="External"/><Relationship Id="rId99" Type="http://schemas.openxmlformats.org/officeDocument/2006/relationships/hyperlink" Target="https://artificialintelligenceact.eu/article/72/" TargetMode="External"/><Relationship Id="rId98" Type="http://schemas.openxmlformats.org/officeDocument/2006/relationships/hyperlink" Target="https://attack.mitre.org/mitigations/M1028" TargetMode="External"/><Relationship Id="rId91" Type="http://schemas.openxmlformats.org/officeDocument/2006/relationships/hyperlink" Target="https://attack.mitre.org/mitigations/M1054" TargetMode="External"/><Relationship Id="rId90" Type="http://schemas.openxmlformats.org/officeDocument/2006/relationships/hyperlink" Target="https://owasp.org/www-project-machine-learning-security-top-10/docs/ML08_2023-Model_Skewing.html" TargetMode="External"/><Relationship Id="rId93" Type="http://schemas.openxmlformats.org/officeDocument/2006/relationships/hyperlink" Target="https://owasp.org/www-project-machine-learning-security-top-10/docs/ML08_2023-Model_Skewing.html" TargetMode="External"/><Relationship Id="rId92" Type="http://schemas.openxmlformats.org/officeDocument/2006/relationships/hyperlink" Target="https://genai.owasp.org/llmrisk/llm03-training-data-poisoning/" TargetMode="External"/><Relationship Id="rId118" Type="http://schemas.openxmlformats.org/officeDocument/2006/relationships/drawing" Target="../drawings/drawing6.xml"/><Relationship Id="rId117" Type="http://schemas.openxmlformats.org/officeDocument/2006/relationships/hyperlink" Target="https://artificialintelligenceact.eu/article/5/" TargetMode="External"/><Relationship Id="rId116" Type="http://schemas.openxmlformats.org/officeDocument/2006/relationships/hyperlink" Target="https://attack.mitre.org/mitigations/enterprise/" TargetMode="External"/><Relationship Id="rId115" Type="http://schemas.openxmlformats.org/officeDocument/2006/relationships/hyperlink" Target="https://attack.mitre.org/mitigations/M1030" TargetMode="External"/><Relationship Id="rId110" Type="http://schemas.openxmlformats.org/officeDocument/2006/relationships/hyperlink" Target="https://artificialintelligenceact.eu/article/5/" TargetMode="External"/><Relationship Id="rId114" Type="http://schemas.openxmlformats.org/officeDocument/2006/relationships/hyperlink" Target="https://attack.mitre.org/mitigations/M1013" TargetMode="External"/><Relationship Id="rId113" Type="http://schemas.openxmlformats.org/officeDocument/2006/relationships/hyperlink" Target="https://atlas.mitre.org/mitigations/AML.M0018" TargetMode="External"/><Relationship Id="rId112" Type="http://schemas.openxmlformats.org/officeDocument/2006/relationships/hyperlink" Target="https://artificialintelligenceact.eu/article/15/" TargetMode="External"/><Relationship Id="rId111" Type="http://schemas.openxmlformats.org/officeDocument/2006/relationships/hyperlink" Target="https://atlas.mitre.org/mitigations/AML.M0004"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github.com/meta-llama/PurpleLlama" TargetMode="External"/><Relationship Id="rId42" Type="http://schemas.openxmlformats.org/officeDocument/2006/relationships/hyperlink" Target="https://github.com/INK-USC/BITE" TargetMode="External"/><Relationship Id="rId41" Type="http://schemas.openxmlformats.org/officeDocument/2006/relationships/hyperlink" Target="https://github.com/dreadnode/parley" TargetMode="External"/><Relationship Id="rId44" Type="http://schemas.openxmlformats.org/officeDocument/2006/relationships/hyperlink" Target="https://splx.ai/platform/probe" TargetMode="External"/><Relationship Id="rId43" Type="http://schemas.openxmlformats.org/officeDocument/2006/relationships/hyperlink" Target="https://github.com/meta-llama/PurpleLlama" TargetMode="External"/><Relationship Id="rId46" Type="http://schemas.openxmlformats.org/officeDocument/2006/relationships/hyperlink" Target="https://github.com/SpringCare/VERA-MH" TargetMode="External"/><Relationship Id="rId45" Type="http://schemas.openxmlformats.org/officeDocument/2006/relationships/hyperlink" Target="https://www.trustible.ai/product-overview" TargetMode="External"/><Relationship Id="rId47" Type="http://schemas.openxmlformats.org/officeDocument/2006/relationships/drawing" Target="../drawings/drawing7.xml"/><Relationship Id="rId31" Type="http://schemas.openxmlformats.org/officeDocument/2006/relationships/hyperlink" Target="https://hub.docker.com/r/databricksruntime/blackice" TargetMode="External"/><Relationship Id="rId30" Type="http://schemas.openxmlformats.org/officeDocument/2006/relationships/hyperlink" Target="https://github.com/leondz/garak" TargetMode="External"/><Relationship Id="rId33" Type="http://schemas.openxmlformats.org/officeDocument/2006/relationships/hyperlink" Target="https://github.com/Azure/PyRIT" TargetMode="External"/><Relationship Id="rId32" Type="http://schemas.openxmlformats.org/officeDocument/2006/relationships/hyperlink" Target="https://protectai.com/recon" TargetMode="External"/><Relationship Id="rId35" Type="http://schemas.openxmlformats.org/officeDocument/2006/relationships/hyperlink" Target="https://github.com/Azure/counterfit" TargetMode="External"/><Relationship Id="rId34" Type="http://schemas.openxmlformats.org/officeDocument/2006/relationships/hyperlink" Target="https://github.com/Trusted-AI/adversarial-robustness-toolbox" TargetMode="External"/><Relationship Id="rId37" Type="http://schemas.openxmlformats.org/officeDocument/2006/relationships/hyperlink" Target="https://github.com/Giskard-AI/giskard" TargetMode="External"/><Relationship Id="rId36" Type="http://schemas.openxmlformats.org/officeDocument/2006/relationships/hyperlink" Target="https://github.com/sambanova/toolbench" TargetMode="External"/><Relationship Id="rId39" Type="http://schemas.openxmlformats.org/officeDocument/2006/relationships/hyperlink" Target="https://github.com/trailofbits/fickling" TargetMode="External"/><Relationship Id="rId38" Type="http://schemas.openxmlformats.org/officeDocument/2006/relationships/hyperlink" Target="https://hiddenlayer.com/" TargetMode="External"/><Relationship Id="rId20" Type="http://schemas.openxmlformats.org/officeDocument/2006/relationships/hyperlink" Target="https://protectai.com/layer" TargetMode="External"/><Relationship Id="rId22" Type="http://schemas.openxmlformats.org/officeDocument/2006/relationships/hyperlink" Target="https://aws.amazon.com/bedrock/guardrails/" TargetMode="External"/><Relationship Id="rId21" Type="http://schemas.openxmlformats.org/officeDocument/2006/relationships/hyperlink" Target="https://www.arthur.ai/product/shield?utm_medium=paid-search&amp;utm_source=ppc&amp;utm_campaign=ArthurAI-PR&amp;utm_content=aw-search&amp;utm_term=arthur%20shield&amp;utm_campaign=2023+-+Arthur+AI+-+Search+-+May+PR+Push&amp;utm_source=adwords&amp;utm_medium=ppc&amp;hsa_acc=8377995260&amp;hsa_cam=20442898052&amp;hsa_grp=157557364993&amp;hsa_ad=682770131687&amp;hsa_src=g&amp;hsa_tgt=kwd-668270273666&amp;hsa_kw=arthur%20shield&amp;hsa_mt=p&amp;hsa_net=adwords&amp;hsa_ver=3&amp;gad_source=1&amp;gclid=Cj0KCQiAh8OtBhCQARIsAIkWb68Ageh0VhdpQTVzCzCOlcBbkXjTo5i4gZzDbOjkTfTlnYtcrvroCVgaAvOcEALw_wcB" TargetMode="External"/><Relationship Id="rId24" Type="http://schemas.openxmlformats.org/officeDocument/2006/relationships/hyperlink" Target="http://www.arhasi.ai/" TargetMode="External"/><Relationship Id="rId23" Type="http://schemas.openxmlformats.org/officeDocument/2006/relationships/hyperlink" Target="https://ai.meta.com/research/publications/llama-guard-llm-based-input-output-safeguard-for-human-ai-conversations/" TargetMode="External"/><Relationship Id="rId26" Type="http://schemas.openxmlformats.org/officeDocument/2006/relationships/hyperlink" Target="https://safe.security/" TargetMode="External"/><Relationship Id="rId25" Type="http://schemas.openxmlformats.org/officeDocument/2006/relationships/hyperlink" Target="https://splx.ai/" TargetMode="External"/><Relationship Id="rId28" Type="http://schemas.openxmlformats.org/officeDocument/2006/relationships/hyperlink" Target="https://www.eqtylab.io/" TargetMode="External"/><Relationship Id="rId27" Type="http://schemas.openxmlformats.org/officeDocument/2006/relationships/hyperlink" Target="https://www.obsidiansecurity.com/" TargetMode="External"/><Relationship Id="rId29" Type="http://schemas.openxmlformats.org/officeDocument/2006/relationships/hyperlink" Target="https://www.appsoc.com/integrations/databricks-integration" TargetMode="External"/><Relationship Id="rId11" Type="http://schemas.openxmlformats.org/officeDocument/2006/relationships/hyperlink" Target="https://www.citadel.co.jp/en/products/lens/" TargetMode="External"/><Relationship Id="rId10" Type="http://schemas.openxmlformats.org/officeDocument/2006/relationships/hyperlink" Target="https://hiddenlayer.com/aidr/" TargetMode="External"/><Relationship Id="rId13" Type="http://schemas.openxmlformats.org/officeDocument/2006/relationships/hyperlink" Target="https://splx.ai/platform/probe" TargetMode="External"/><Relationship Id="rId12" Type="http://schemas.openxmlformats.org/officeDocument/2006/relationships/hyperlink" Target="https://www.appsoc.com/ai-security-testing" TargetMode="External"/><Relationship Id="rId15" Type="http://schemas.openxmlformats.org/officeDocument/2006/relationships/hyperlink" Target="https://github.com/splx-ai/agentic-radar" TargetMode="External"/><Relationship Id="rId14" Type="http://schemas.openxmlformats.org/officeDocument/2006/relationships/hyperlink" Target="http://www.arhasi.ai/" TargetMode="External"/><Relationship Id="rId17" Type="http://schemas.openxmlformats.org/officeDocument/2006/relationships/hyperlink" Target="https://www.guardrailsai.com/docs/" TargetMode="External"/><Relationship Id="rId16" Type="http://schemas.openxmlformats.org/officeDocument/2006/relationships/hyperlink" Target="https://github.com/NVIDIA/NeMo-Guardrails" TargetMode="External"/><Relationship Id="rId19" Type="http://schemas.openxmlformats.org/officeDocument/2006/relationships/hyperlink" Target="https://www.robustintelligence.com/platform/ai-firewall" TargetMode="External"/><Relationship Id="rId18" Type="http://schemas.openxmlformats.org/officeDocument/2006/relationships/hyperlink" Target="https://www.lakera.ai/" TargetMode="External"/><Relationship Id="rId1" Type="http://schemas.openxmlformats.org/officeDocument/2006/relationships/hyperlink" Target="https://hiddenlayer.com/model-scanner/" TargetMode="External"/><Relationship Id="rId2" Type="http://schemas.openxmlformats.org/officeDocument/2006/relationships/hyperlink" Target="https://huggingface.co/docs/hub/security-pickle" TargetMode="External"/><Relationship Id="rId3" Type="http://schemas.openxmlformats.org/officeDocument/2006/relationships/hyperlink" Target="https://protectai.com/guardian" TargetMode="External"/><Relationship Id="rId4" Type="http://schemas.openxmlformats.org/officeDocument/2006/relationships/hyperlink" Target="https://www.appsoc.com/ai-security-testing" TargetMode="External"/><Relationship Id="rId9" Type="http://schemas.openxmlformats.org/officeDocument/2006/relationships/hyperlink" Target="https://docs.garak.ai/garak/overview/what-is-garak" TargetMode="External"/><Relationship Id="rId5" Type="http://schemas.openxmlformats.org/officeDocument/2006/relationships/hyperlink" Target="https://splx.ai/platform/llm-benchmarks" TargetMode="External"/><Relationship Id="rId6" Type="http://schemas.openxmlformats.org/officeDocument/2006/relationships/hyperlink" Target="https://www.robustintelligence.com/platform/continuous-validation" TargetMode="External"/><Relationship Id="rId7" Type="http://schemas.openxmlformats.org/officeDocument/2006/relationships/hyperlink" Target="https://protectai.com/recon" TargetMode="External"/><Relationship Id="rId8" Type="http://schemas.openxmlformats.org/officeDocument/2006/relationships/hyperlink" Target="https://www.helpnetsecurity.com/2023/11/29/vigil-llm-security-scann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1.38"/>
  </cols>
  <sheetData>
    <row r="1">
      <c r="A1" s="1"/>
    </row>
    <row r="2">
      <c r="A2" s="1"/>
    </row>
    <row r="3">
      <c r="A3" s="1"/>
    </row>
    <row r="4">
      <c r="A4" s="1"/>
    </row>
    <row r="5">
      <c r="A5" s="1"/>
    </row>
    <row r="6">
      <c r="A6" s="1"/>
    </row>
    <row r="7">
      <c r="A7" s="1"/>
    </row>
    <row r="8">
      <c r="A8" s="1"/>
    </row>
    <row r="9">
      <c r="A9" s="1"/>
    </row>
    <row r="10">
      <c r="A10" s="1"/>
    </row>
    <row r="11">
      <c r="A11" s="1"/>
    </row>
    <row r="12">
      <c r="A12" s="1"/>
    </row>
    <row r="13">
      <c r="A13" s="1"/>
    </row>
    <row r="14">
      <c r="A14" s="1"/>
    </row>
    <row r="15">
      <c r="A15" s="1"/>
    </row>
    <row r="16">
      <c r="A16" s="1"/>
    </row>
    <row r="17">
      <c r="A17" s="1"/>
    </row>
    <row r="18">
      <c r="A18" s="1"/>
    </row>
    <row r="19">
      <c r="A19" s="2" t="s">
        <v>0</v>
      </c>
    </row>
    <row r="20">
      <c r="A20" s="3" t="s">
        <v>1</v>
      </c>
    </row>
    <row r="21">
      <c r="A21" s="4" t="s">
        <v>2</v>
      </c>
    </row>
    <row r="22">
      <c r="A22" s="4" t="s">
        <v>3</v>
      </c>
    </row>
    <row r="23" ht="33.75" customHeight="1">
      <c r="A23" s="2" t="s">
        <v>4</v>
      </c>
    </row>
    <row r="24">
      <c r="A24" s="3" t="s">
        <v>5</v>
      </c>
    </row>
    <row r="25">
      <c r="A25" s="4" t="s">
        <v>6</v>
      </c>
    </row>
    <row r="26">
      <c r="A26" s="4" t="s">
        <v>7</v>
      </c>
    </row>
    <row r="27">
      <c r="A27" s="5" t="s">
        <v>8</v>
      </c>
    </row>
    <row r="28">
      <c r="A28" s="5" t="s">
        <v>9</v>
      </c>
    </row>
  </sheetData>
  <hyperlinks>
    <hyperlink r:id="rId1" ref="A20"/>
    <hyperlink r:id="rId2" ref="A2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3"/>
    <col customWidth="1" min="2" max="2" width="45.38"/>
    <col customWidth="1" min="3" max="3" width="66.75"/>
    <col customWidth="1" min="4" max="5" width="0.38"/>
    <col customWidth="1" min="6" max="6" width="51.75"/>
    <col customWidth="1" min="7" max="8" width="66.75"/>
  </cols>
  <sheetData>
    <row r="1" ht="67.5" customHeight="1">
      <c r="A1" s="6" t="s">
        <v>10</v>
      </c>
      <c r="H1" s="6"/>
    </row>
    <row r="2">
      <c r="A2" s="7" t="s">
        <v>11</v>
      </c>
      <c r="H2" s="7"/>
    </row>
    <row r="3" ht="8.25" customHeight="1">
      <c r="A3" s="8"/>
      <c r="B3" s="9"/>
      <c r="C3" s="10"/>
      <c r="D3" s="11"/>
      <c r="E3" s="12"/>
      <c r="F3" s="12"/>
      <c r="G3" s="12"/>
      <c r="H3" s="12"/>
    </row>
    <row r="4">
      <c r="A4" s="13" t="s">
        <v>12</v>
      </c>
      <c r="C4" s="14"/>
      <c r="D4" s="13" t="s">
        <v>13</v>
      </c>
      <c r="H4" s="13"/>
    </row>
    <row r="5">
      <c r="A5" s="15" t="s">
        <v>14</v>
      </c>
      <c r="C5" s="14"/>
      <c r="D5" s="16"/>
      <c r="E5" s="17" t="s">
        <v>15</v>
      </c>
      <c r="H5" s="18"/>
    </row>
    <row r="6" ht="1.5" customHeight="1">
      <c r="A6" s="16"/>
      <c r="C6" s="14"/>
      <c r="D6" s="16"/>
      <c r="E6" s="16"/>
      <c r="H6" s="16"/>
    </row>
    <row r="7" ht="42.0" customHeight="1">
      <c r="A7" s="19" t="s">
        <v>16</v>
      </c>
      <c r="C7" s="14"/>
      <c r="D7" s="20"/>
      <c r="E7" s="19" t="s">
        <v>17</v>
      </c>
      <c r="H7" s="19"/>
    </row>
    <row r="8">
      <c r="A8" s="21" t="s">
        <v>18</v>
      </c>
      <c r="C8" s="14"/>
      <c r="D8" s="22"/>
      <c r="E8" s="23" t="s">
        <v>19</v>
      </c>
      <c r="H8" s="23"/>
    </row>
    <row r="9">
      <c r="A9" s="24"/>
      <c r="B9" s="25" t="s">
        <v>20</v>
      </c>
      <c r="C9" s="26"/>
      <c r="D9" s="27"/>
      <c r="E9" s="28"/>
      <c r="F9" s="25" t="s">
        <v>21</v>
      </c>
      <c r="G9" s="24"/>
      <c r="H9" s="24"/>
    </row>
    <row r="10">
      <c r="A10" s="24"/>
      <c r="B10" s="25" t="s">
        <v>22</v>
      </c>
      <c r="C10" s="26"/>
      <c r="D10" s="27"/>
      <c r="E10" s="28"/>
      <c r="F10" s="25" t="s">
        <v>23</v>
      </c>
      <c r="G10" s="24"/>
      <c r="H10" s="24"/>
    </row>
    <row r="11">
      <c r="A11" s="24"/>
      <c r="B11" s="25" t="s">
        <v>24</v>
      </c>
      <c r="C11" s="26"/>
      <c r="D11" s="27"/>
      <c r="E11" s="28"/>
      <c r="F11" s="25" t="s">
        <v>25</v>
      </c>
      <c r="G11" s="29"/>
      <c r="H11" s="29"/>
    </row>
    <row r="12">
      <c r="A12" s="24"/>
      <c r="B12" s="25" t="s">
        <v>26</v>
      </c>
      <c r="C12" s="26"/>
      <c r="D12" s="27"/>
      <c r="E12" s="28"/>
      <c r="F12" s="25" t="s">
        <v>27</v>
      </c>
      <c r="G12" s="24"/>
      <c r="H12" s="24"/>
    </row>
    <row r="13">
      <c r="A13" s="24"/>
      <c r="B13" s="25" t="s">
        <v>28</v>
      </c>
      <c r="C13" s="26"/>
      <c r="D13" s="27"/>
      <c r="E13" s="28"/>
      <c r="F13" s="25" t="s">
        <v>29</v>
      </c>
      <c r="G13" s="24"/>
      <c r="H13" s="24"/>
    </row>
    <row r="14">
      <c r="A14" s="24"/>
      <c r="B14" s="25" t="s">
        <v>30</v>
      </c>
      <c r="C14" s="26"/>
      <c r="D14" s="27"/>
      <c r="E14" s="28"/>
      <c r="F14" s="25" t="s">
        <v>31</v>
      </c>
      <c r="G14" s="24"/>
      <c r="H14" s="24"/>
    </row>
    <row r="15">
      <c r="A15" s="24"/>
      <c r="B15" s="25" t="s">
        <v>32</v>
      </c>
      <c r="C15" s="26"/>
      <c r="D15" s="27"/>
      <c r="E15" s="28"/>
      <c r="F15" s="25" t="s">
        <v>33</v>
      </c>
      <c r="G15" s="24"/>
      <c r="H15" s="24"/>
    </row>
    <row r="16">
      <c r="A16" s="24"/>
      <c r="B16" s="25" t="s">
        <v>34</v>
      </c>
      <c r="C16" s="30"/>
      <c r="D16" s="27"/>
      <c r="E16" s="28"/>
      <c r="F16" s="25" t="s">
        <v>35</v>
      </c>
      <c r="G16" s="24"/>
      <c r="H16" s="24"/>
    </row>
    <row r="17">
      <c r="A17" s="24"/>
      <c r="B17" s="25" t="s">
        <v>36</v>
      </c>
      <c r="C17" s="30"/>
      <c r="D17" s="23" t="s">
        <v>37</v>
      </c>
      <c r="H17" s="23"/>
    </row>
    <row r="18">
      <c r="A18" s="24"/>
      <c r="B18" s="25" t="s">
        <v>38</v>
      </c>
      <c r="C18" s="31"/>
      <c r="D18" s="24"/>
      <c r="E18" s="28"/>
      <c r="F18" s="25" t="s">
        <v>39</v>
      </c>
      <c r="G18" s="24"/>
      <c r="H18" s="24"/>
    </row>
    <row r="19">
      <c r="A19" s="24"/>
      <c r="B19" s="25" t="s">
        <v>40</v>
      </c>
      <c r="C19" s="31"/>
      <c r="D19" s="24"/>
      <c r="E19" s="28"/>
      <c r="F19" s="25" t="s">
        <v>41</v>
      </c>
      <c r="G19" s="24"/>
      <c r="H19" s="24"/>
    </row>
    <row r="20">
      <c r="A20" s="21" t="s">
        <v>42</v>
      </c>
      <c r="C20" s="14"/>
      <c r="D20" s="24"/>
      <c r="E20" s="28"/>
      <c r="F20" s="25" t="s">
        <v>43</v>
      </c>
      <c r="G20" s="24"/>
      <c r="H20" s="24"/>
    </row>
    <row r="21">
      <c r="A21" s="24"/>
      <c r="B21" s="25" t="s">
        <v>44</v>
      </c>
      <c r="C21" s="31"/>
      <c r="D21" s="24"/>
      <c r="E21" s="28"/>
      <c r="F21" s="25" t="s">
        <v>45</v>
      </c>
      <c r="G21" s="24"/>
      <c r="H21" s="24"/>
    </row>
    <row r="22">
      <c r="A22" s="24"/>
      <c r="B22" s="25" t="s">
        <v>46</v>
      </c>
      <c r="C22" s="31"/>
      <c r="D22" s="24"/>
      <c r="E22" s="28"/>
      <c r="F22" s="25" t="s">
        <v>47</v>
      </c>
      <c r="G22" s="24"/>
      <c r="H22" s="24"/>
    </row>
    <row r="23">
      <c r="A23" s="24"/>
      <c r="B23" s="25" t="s">
        <v>48</v>
      </c>
      <c r="C23" s="31"/>
      <c r="D23" s="24"/>
      <c r="E23" s="28"/>
      <c r="F23" s="25" t="s">
        <v>49</v>
      </c>
      <c r="G23" s="24"/>
      <c r="H23" s="24"/>
    </row>
    <row r="24">
      <c r="A24" s="24"/>
      <c r="B24" s="25" t="s">
        <v>50</v>
      </c>
      <c r="C24" s="31"/>
      <c r="D24" s="24"/>
      <c r="E24" s="28"/>
      <c r="F24" s="25" t="s">
        <v>51</v>
      </c>
      <c r="G24" s="24"/>
      <c r="H24" s="24"/>
    </row>
    <row r="25">
      <c r="A25" s="21" t="s">
        <v>52</v>
      </c>
      <c r="C25" s="14"/>
      <c r="D25" s="24"/>
      <c r="E25" s="28"/>
      <c r="F25" s="25" t="s">
        <v>53</v>
      </c>
      <c r="G25" s="24"/>
      <c r="H25" s="24"/>
    </row>
    <row r="26">
      <c r="A26" s="24"/>
      <c r="B26" s="25" t="s">
        <v>54</v>
      </c>
      <c r="C26" s="31"/>
      <c r="D26" s="24"/>
      <c r="E26" s="28"/>
      <c r="F26" s="25" t="s">
        <v>55</v>
      </c>
      <c r="G26" s="24"/>
      <c r="H26" s="24"/>
    </row>
    <row r="27">
      <c r="A27" s="24"/>
      <c r="B27" s="25" t="s">
        <v>56</v>
      </c>
      <c r="C27" s="31"/>
      <c r="D27" s="24"/>
      <c r="E27" s="28"/>
      <c r="F27" s="25" t="s">
        <v>57</v>
      </c>
      <c r="G27" s="24"/>
      <c r="H27" s="24"/>
    </row>
    <row r="28">
      <c r="A28" s="24"/>
      <c r="B28" s="25" t="s">
        <v>58</v>
      </c>
      <c r="C28" s="31"/>
      <c r="D28" s="24"/>
      <c r="E28" s="28"/>
      <c r="F28" s="25" t="s">
        <v>59</v>
      </c>
      <c r="G28" s="24"/>
      <c r="H28" s="24"/>
    </row>
    <row r="29">
      <c r="A29" s="21" t="s">
        <v>60</v>
      </c>
      <c r="C29" s="14"/>
      <c r="D29" s="24"/>
      <c r="E29" s="28"/>
      <c r="F29" s="25" t="s">
        <v>61</v>
      </c>
      <c r="G29" s="24"/>
      <c r="H29" s="24"/>
    </row>
    <row r="30">
      <c r="A30" s="24"/>
      <c r="B30" s="25" t="s">
        <v>62</v>
      </c>
      <c r="C30" s="31"/>
      <c r="D30" s="32"/>
      <c r="E30" s="23" t="s">
        <v>63</v>
      </c>
      <c r="H30" s="23"/>
    </row>
    <row r="31">
      <c r="A31" s="24"/>
      <c r="B31" s="25" t="s">
        <v>64</v>
      </c>
      <c r="C31" s="31"/>
      <c r="D31" s="24"/>
      <c r="E31" s="28"/>
      <c r="F31" s="25" t="s">
        <v>65</v>
      </c>
      <c r="G31" s="24"/>
      <c r="H31" s="24"/>
    </row>
    <row r="32">
      <c r="A32" s="21" t="s">
        <v>66</v>
      </c>
      <c r="C32" s="14"/>
      <c r="D32" s="24"/>
      <c r="E32" s="28"/>
      <c r="F32" s="25" t="s">
        <v>67</v>
      </c>
      <c r="G32" s="24"/>
      <c r="H32" s="24"/>
    </row>
    <row r="33">
      <c r="A33" s="24"/>
      <c r="B33" s="25" t="s">
        <v>68</v>
      </c>
      <c r="C33" s="31"/>
      <c r="D33" s="24"/>
      <c r="E33" s="28"/>
      <c r="F33" s="25" t="s">
        <v>69</v>
      </c>
      <c r="G33" s="24"/>
      <c r="H33" s="24"/>
    </row>
    <row r="34">
      <c r="A34" s="24"/>
      <c r="B34" s="25" t="s">
        <v>70</v>
      </c>
      <c r="C34" s="31"/>
      <c r="D34" s="24"/>
      <c r="E34" s="28"/>
      <c r="F34" s="25" t="s">
        <v>71</v>
      </c>
      <c r="G34" s="24"/>
      <c r="H34" s="24"/>
    </row>
    <row r="35">
      <c r="A35" s="24"/>
      <c r="B35" s="25" t="s">
        <v>72</v>
      </c>
      <c r="C35" s="31"/>
      <c r="D35" s="24"/>
      <c r="E35" s="28"/>
      <c r="F35" s="25" t="s">
        <v>73</v>
      </c>
      <c r="G35" s="24"/>
      <c r="H35" s="24"/>
    </row>
    <row r="36">
      <c r="A36" s="24"/>
      <c r="B36" s="25" t="s">
        <v>74</v>
      </c>
      <c r="C36" s="31"/>
      <c r="D36" s="24"/>
      <c r="E36" s="28"/>
      <c r="F36" s="25" t="s">
        <v>75</v>
      </c>
      <c r="G36" s="24"/>
      <c r="H36" s="24"/>
    </row>
    <row r="37">
      <c r="A37" s="21" t="s">
        <v>76</v>
      </c>
      <c r="C37" s="14"/>
      <c r="D37" s="24"/>
      <c r="E37" s="28"/>
      <c r="F37" s="25" t="s">
        <v>77</v>
      </c>
      <c r="G37" s="24"/>
      <c r="H37" s="24"/>
    </row>
    <row r="38">
      <c r="A38" s="24"/>
      <c r="B38" s="25" t="s">
        <v>78</v>
      </c>
      <c r="C38" s="31"/>
      <c r="D38" s="24"/>
      <c r="E38" s="28"/>
      <c r="F38" s="25" t="s">
        <v>79</v>
      </c>
      <c r="G38" s="24"/>
      <c r="H38" s="24"/>
    </row>
    <row r="39">
      <c r="A39" s="24"/>
      <c r="B39" s="25" t="s">
        <v>80</v>
      </c>
      <c r="C39" s="31"/>
      <c r="D39" s="24"/>
      <c r="E39" s="28"/>
      <c r="F39" s="25" t="s">
        <v>81</v>
      </c>
      <c r="G39" s="24"/>
      <c r="H39" s="24"/>
    </row>
    <row r="40">
      <c r="A40" s="24"/>
      <c r="B40" s="25" t="s">
        <v>82</v>
      </c>
      <c r="C40" s="31"/>
      <c r="D40" s="24"/>
      <c r="E40" s="28"/>
      <c r="F40" s="25" t="s">
        <v>83</v>
      </c>
      <c r="G40" s="24"/>
      <c r="H40" s="24"/>
    </row>
    <row r="41">
      <c r="A41" s="21" t="s">
        <v>84</v>
      </c>
      <c r="C41" s="14"/>
      <c r="D41" s="24"/>
      <c r="E41" s="28"/>
      <c r="F41" s="25" t="s">
        <v>85</v>
      </c>
      <c r="G41" s="24"/>
      <c r="H41" s="24"/>
    </row>
    <row r="42">
      <c r="A42" s="24"/>
      <c r="B42" s="25" t="s">
        <v>86</v>
      </c>
      <c r="C42" s="31"/>
      <c r="D42" s="24"/>
      <c r="E42" s="28"/>
      <c r="F42" s="25" t="s">
        <v>87</v>
      </c>
      <c r="G42" s="24"/>
      <c r="H42" s="24"/>
    </row>
    <row r="43">
      <c r="A43" s="24"/>
      <c r="B43" s="25" t="s">
        <v>88</v>
      </c>
      <c r="C43" s="31"/>
      <c r="D43" s="24"/>
      <c r="E43" s="28"/>
      <c r="F43" s="25" t="s">
        <v>89</v>
      </c>
      <c r="G43" s="24"/>
      <c r="H43" s="24"/>
    </row>
    <row r="44">
      <c r="A44" s="24"/>
      <c r="B44" s="25" t="s">
        <v>90</v>
      </c>
      <c r="C44" s="31"/>
      <c r="D44" s="24"/>
      <c r="E44" s="28"/>
      <c r="F44" s="25" t="s">
        <v>91</v>
      </c>
      <c r="G44" s="24"/>
      <c r="H44" s="24"/>
    </row>
    <row r="45">
      <c r="A45" s="24"/>
      <c r="B45" s="25" t="s">
        <v>92</v>
      </c>
      <c r="C45" s="31"/>
      <c r="D45" s="24"/>
      <c r="E45" s="28"/>
      <c r="F45" s="25" t="s">
        <v>93</v>
      </c>
      <c r="G45" s="24"/>
      <c r="H45" s="24"/>
    </row>
    <row r="46">
      <c r="A46" s="21" t="s">
        <v>94</v>
      </c>
      <c r="C46" s="14"/>
      <c r="D46" s="32"/>
      <c r="E46" s="23" t="s">
        <v>95</v>
      </c>
      <c r="H46" s="23"/>
    </row>
    <row r="47">
      <c r="A47" s="24"/>
      <c r="B47" s="25" t="s">
        <v>96</v>
      </c>
      <c r="C47" s="31"/>
      <c r="D47" s="24"/>
      <c r="E47" s="28"/>
      <c r="F47" s="25" t="s">
        <v>97</v>
      </c>
      <c r="G47" s="24"/>
      <c r="H47" s="24"/>
    </row>
    <row r="48">
      <c r="A48" s="24"/>
      <c r="B48" s="25" t="s">
        <v>98</v>
      </c>
      <c r="C48" s="31"/>
      <c r="D48" s="24"/>
      <c r="E48" s="28"/>
      <c r="F48" s="25" t="s">
        <v>99</v>
      </c>
      <c r="G48" s="24"/>
      <c r="H48" s="24"/>
    </row>
    <row r="49">
      <c r="A49" s="24"/>
      <c r="B49" s="25" t="s">
        <v>100</v>
      </c>
      <c r="C49" s="31"/>
      <c r="D49" s="24"/>
      <c r="E49" s="28"/>
      <c r="F49" s="25" t="s">
        <v>101</v>
      </c>
      <c r="G49" s="24"/>
      <c r="H49" s="24"/>
    </row>
    <row r="50">
      <c r="A50" s="24"/>
      <c r="B50" s="25" t="s">
        <v>102</v>
      </c>
      <c r="C50" s="31"/>
      <c r="D50" s="24"/>
      <c r="E50" s="28"/>
      <c r="F50" s="25" t="s">
        <v>103</v>
      </c>
      <c r="G50" s="24"/>
      <c r="H50" s="24"/>
    </row>
    <row r="51">
      <c r="A51" s="21" t="s">
        <v>104</v>
      </c>
      <c r="C51" s="14"/>
      <c r="D51" s="24"/>
      <c r="E51" s="28"/>
      <c r="F51" s="25" t="s">
        <v>105</v>
      </c>
      <c r="G51" s="24"/>
      <c r="H51" s="24"/>
    </row>
    <row r="52">
      <c r="A52" s="24"/>
      <c r="B52" s="25" t="s">
        <v>106</v>
      </c>
      <c r="C52" s="31"/>
      <c r="D52" s="24"/>
      <c r="E52" s="28"/>
      <c r="F52" s="25" t="s">
        <v>107</v>
      </c>
      <c r="G52" s="24"/>
      <c r="H52" s="24"/>
    </row>
    <row r="53">
      <c r="A53" s="24"/>
      <c r="B53" s="25" t="s">
        <v>108</v>
      </c>
      <c r="C53" s="31"/>
      <c r="D53" s="24"/>
      <c r="E53" s="28"/>
      <c r="F53" s="25" t="s">
        <v>109</v>
      </c>
      <c r="G53" s="24"/>
      <c r="H53" s="24"/>
    </row>
    <row r="54">
      <c r="A54" s="24"/>
      <c r="B54" s="25" t="s">
        <v>110</v>
      </c>
      <c r="C54" s="31"/>
      <c r="D54" s="24"/>
      <c r="E54" s="28"/>
      <c r="F54" s="33" t="s">
        <v>111</v>
      </c>
      <c r="G54" s="24"/>
      <c r="H54" s="24"/>
    </row>
    <row r="55">
      <c r="A55" s="24"/>
      <c r="B55" s="25" t="s">
        <v>112</v>
      </c>
      <c r="C55" s="31"/>
      <c r="D55" s="24"/>
      <c r="E55" s="28"/>
      <c r="F55" s="33" t="s">
        <v>113</v>
      </c>
      <c r="G55" s="24"/>
      <c r="H55" s="24"/>
    </row>
    <row r="56">
      <c r="A56" s="24"/>
      <c r="B56" s="25" t="s">
        <v>114</v>
      </c>
      <c r="C56" s="31"/>
      <c r="D56" s="32"/>
      <c r="E56" s="23" t="s">
        <v>115</v>
      </c>
      <c r="H56" s="23"/>
    </row>
    <row r="57">
      <c r="A57" s="24"/>
      <c r="B57" s="25" t="s">
        <v>116</v>
      </c>
      <c r="C57" s="31"/>
      <c r="D57" s="24"/>
      <c r="E57" s="28"/>
      <c r="F57" s="25" t="s">
        <v>117</v>
      </c>
      <c r="G57" s="24"/>
      <c r="H57" s="24"/>
    </row>
    <row r="58">
      <c r="A58" s="24"/>
      <c r="B58" s="25" t="s">
        <v>118</v>
      </c>
      <c r="C58" s="31"/>
      <c r="D58" s="24"/>
      <c r="E58" s="28"/>
      <c r="F58" s="25" t="s">
        <v>119</v>
      </c>
      <c r="G58" s="24"/>
      <c r="H58" s="24"/>
    </row>
    <row r="59">
      <c r="A59" s="24"/>
      <c r="B59" s="25" t="s">
        <v>120</v>
      </c>
      <c r="C59" s="31"/>
      <c r="D59" s="24"/>
      <c r="E59" s="28"/>
      <c r="F59" s="25" t="s">
        <v>121</v>
      </c>
      <c r="G59" s="24"/>
      <c r="H59" s="24"/>
    </row>
    <row r="60">
      <c r="A60" s="24"/>
      <c r="B60" s="25" t="s">
        <v>122</v>
      </c>
      <c r="C60" s="31"/>
      <c r="D60" s="24"/>
      <c r="E60" s="28"/>
      <c r="F60" s="25" t="s">
        <v>123</v>
      </c>
      <c r="G60" s="24"/>
      <c r="H60" s="24"/>
    </row>
    <row r="61">
      <c r="A61" s="24"/>
      <c r="B61" s="25" t="s">
        <v>124</v>
      </c>
      <c r="C61" s="31"/>
      <c r="D61" s="24"/>
      <c r="E61" s="28"/>
      <c r="F61" s="25" t="s">
        <v>125</v>
      </c>
      <c r="G61" s="24"/>
      <c r="H61" s="24"/>
    </row>
    <row r="62">
      <c r="A62" s="24"/>
      <c r="B62" s="25" t="s">
        <v>126</v>
      </c>
      <c r="C62" s="31"/>
      <c r="D62" s="24"/>
      <c r="E62" s="28"/>
      <c r="F62" s="25" t="s">
        <v>127</v>
      </c>
      <c r="G62" s="24"/>
      <c r="H62" s="24"/>
    </row>
    <row r="63">
      <c r="A63" s="24"/>
      <c r="B63" s="25" t="s">
        <v>128</v>
      </c>
      <c r="C63" s="31"/>
      <c r="D63" s="24"/>
      <c r="E63" s="28"/>
      <c r="F63" s="25" t="s">
        <v>129</v>
      </c>
      <c r="G63" s="24"/>
      <c r="H63" s="24"/>
    </row>
    <row r="64">
      <c r="A64" s="24"/>
      <c r="B64" s="25" t="s">
        <v>130</v>
      </c>
      <c r="C64" s="31"/>
      <c r="D64" s="24"/>
      <c r="E64" s="28"/>
      <c r="F64" s="25" t="s">
        <v>131</v>
      </c>
      <c r="G64" s="24"/>
      <c r="H64" s="24"/>
    </row>
    <row r="65">
      <c r="A65" s="21" t="s">
        <v>132</v>
      </c>
      <c r="C65" s="14"/>
      <c r="D65" s="32"/>
      <c r="E65" s="23" t="s">
        <v>133</v>
      </c>
      <c r="H65" s="23"/>
    </row>
    <row r="66">
      <c r="A66" s="24"/>
      <c r="B66" s="25" t="s">
        <v>134</v>
      </c>
      <c r="C66" s="34"/>
      <c r="D66" s="24"/>
      <c r="E66" s="28"/>
      <c r="F66" s="25" t="s">
        <v>135</v>
      </c>
      <c r="G66" s="24"/>
      <c r="H66" s="24"/>
    </row>
    <row r="67">
      <c r="A67" s="24"/>
      <c r="B67" s="25" t="s">
        <v>136</v>
      </c>
      <c r="C67" s="34"/>
      <c r="D67" s="24"/>
      <c r="E67" s="28"/>
      <c r="F67" s="25" t="s">
        <v>137</v>
      </c>
      <c r="G67" s="24"/>
      <c r="H67" s="24"/>
    </row>
    <row r="68">
      <c r="A68" s="24"/>
      <c r="B68" s="25" t="s">
        <v>138</v>
      </c>
      <c r="C68" s="34"/>
      <c r="D68" s="24"/>
      <c r="E68" s="28"/>
      <c r="F68" s="25" t="s">
        <v>139</v>
      </c>
      <c r="G68" s="24"/>
      <c r="H68" s="24"/>
    </row>
    <row r="69">
      <c r="A69" s="24"/>
      <c r="B69" s="25" t="s">
        <v>140</v>
      </c>
      <c r="C69" s="34"/>
      <c r="D69" s="24"/>
      <c r="E69" s="28"/>
      <c r="F69" s="25" t="s">
        <v>141</v>
      </c>
      <c r="G69" s="24"/>
      <c r="H69" s="24"/>
    </row>
    <row r="70">
      <c r="A70" s="24"/>
      <c r="B70" s="25" t="s">
        <v>142</v>
      </c>
      <c r="C70" s="34"/>
      <c r="D70" s="24"/>
      <c r="E70" s="28"/>
      <c r="F70" s="25" t="s">
        <v>143</v>
      </c>
      <c r="G70" s="24"/>
      <c r="H70" s="24"/>
    </row>
    <row r="71">
      <c r="A71" s="24"/>
      <c r="B71" s="25" t="s">
        <v>144</v>
      </c>
      <c r="C71" s="34"/>
      <c r="D71" s="32"/>
      <c r="E71" s="23" t="s">
        <v>145</v>
      </c>
      <c r="H71" s="23"/>
    </row>
    <row r="72">
      <c r="A72" s="21" t="s">
        <v>146</v>
      </c>
      <c r="C72" s="14"/>
      <c r="D72" s="24"/>
      <c r="E72" s="28"/>
      <c r="F72" s="25" t="s">
        <v>147</v>
      </c>
      <c r="G72" s="24"/>
      <c r="H72" s="24"/>
    </row>
    <row r="73">
      <c r="A73" s="24"/>
      <c r="B73" s="25" t="s">
        <v>148</v>
      </c>
      <c r="C73" s="31"/>
      <c r="D73" s="24"/>
      <c r="E73" s="28"/>
      <c r="F73" s="25" t="s">
        <v>149</v>
      </c>
      <c r="G73" s="24"/>
      <c r="H73" s="24"/>
    </row>
    <row r="74">
      <c r="A74" s="21" t="s">
        <v>150</v>
      </c>
      <c r="C74" s="14"/>
      <c r="D74" s="24"/>
      <c r="E74" s="28"/>
      <c r="F74" s="25" t="s">
        <v>151</v>
      </c>
      <c r="G74" s="24"/>
      <c r="H74" s="24"/>
    </row>
    <row r="75">
      <c r="A75" s="24"/>
      <c r="B75" s="25" t="s">
        <v>152</v>
      </c>
      <c r="C75" s="31"/>
      <c r="D75" s="24"/>
      <c r="E75" s="28"/>
      <c r="F75" s="25" t="s">
        <v>153</v>
      </c>
      <c r="G75" s="24"/>
      <c r="H75" s="24"/>
    </row>
    <row r="76">
      <c r="A76" s="24"/>
      <c r="B76" s="25" t="s">
        <v>154</v>
      </c>
      <c r="C76" s="31"/>
      <c r="D76" s="24"/>
      <c r="E76" s="28"/>
      <c r="F76" s="25" t="s">
        <v>155</v>
      </c>
      <c r="G76" s="24"/>
      <c r="H76" s="24"/>
    </row>
    <row r="77">
      <c r="A77" s="24"/>
      <c r="B77" s="25" t="s">
        <v>156</v>
      </c>
      <c r="C77" s="31"/>
      <c r="D77" s="35"/>
      <c r="E77" s="35"/>
      <c r="F77" s="23" t="s">
        <v>157</v>
      </c>
    </row>
    <row r="78">
      <c r="A78" s="24"/>
      <c r="B78" s="25" t="s">
        <v>158</v>
      </c>
      <c r="C78" s="31"/>
      <c r="D78" s="35"/>
      <c r="E78" s="35"/>
      <c r="F78" s="25" t="s">
        <v>159</v>
      </c>
      <c r="H78" s="36"/>
    </row>
    <row r="79">
      <c r="A79" s="24"/>
      <c r="B79" s="25" t="s">
        <v>160</v>
      </c>
      <c r="C79" s="31"/>
      <c r="D79" s="35"/>
      <c r="E79" s="35"/>
      <c r="F79" s="25" t="s">
        <v>161</v>
      </c>
      <c r="H79" s="36"/>
    </row>
    <row r="80">
      <c r="A80" s="24"/>
      <c r="B80" s="25" t="s">
        <v>162</v>
      </c>
      <c r="C80" s="31"/>
      <c r="D80" s="35"/>
      <c r="E80" s="35"/>
      <c r="F80" s="25" t="s">
        <v>163</v>
      </c>
      <c r="H80" s="36"/>
    </row>
    <row r="81">
      <c r="A81" s="24"/>
      <c r="B81" s="25" t="s">
        <v>164</v>
      </c>
      <c r="C81" s="31"/>
      <c r="D81" s="35"/>
      <c r="E81" s="35"/>
      <c r="F81" s="25" t="s">
        <v>165</v>
      </c>
      <c r="H81" s="36"/>
    </row>
    <row r="82">
      <c r="A82" s="21" t="s">
        <v>166</v>
      </c>
      <c r="C82" s="14"/>
      <c r="F82" s="25" t="s">
        <v>167</v>
      </c>
      <c r="H82" s="36"/>
    </row>
    <row r="83">
      <c r="A83" s="24"/>
      <c r="B83" s="25" t="s">
        <v>168</v>
      </c>
      <c r="C83" s="24"/>
      <c r="F83" s="25" t="s">
        <v>169</v>
      </c>
      <c r="H83" s="36"/>
    </row>
    <row r="84">
      <c r="A84" s="24"/>
      <c r="B84" s="25" t="s">
        <v>170</v>
      </c>
      <c r="C84" s="24"/>
      <c r="G84" s="35"/>
      <c r="H84" s="35"/>
    </row>
    <row r="85">
      <c r="A85" s="24"/>
      <c r="B85" s="25" t="s">
        <v>171</v>
      </c>
      <c r="C85" s="24"/>
      <c r="G85" s="35"/>
      <c r="H85" s="35"/>
    </row>
    <row r="86">
      <c r="A86" s="24"/>
      <c r="B86" s="25" t="s">
        <v>172</v>
      </c>
      <c r="C86" s="24"/>
      <c r="G86" s="35"/>
      <c r="H86" s="35"/>
    </row>
    <row r="87">
      <c r="A87" s="24"/>
      <c r="B87" s="25" t="s">
        <v>173</v>
      </c>
      <c r="C87" s="24"/>
      <c r="G87" s="35"/>
      <c r="H87" s="35"/>
    </row>
    <row r="88">
      <c r="A88" s="24"/>
      <c r="B88" s="25" t="s">
        <v>174</v>
      </c>
      <c r="C88" s="24"/>
      <c r="G88" s="35"/>
      <c r="H88" s="35"/>
    </row>
    <row r="89">
      <c r="A89" s="24"/>
      <c r="B89" s="25" t="s">
        <v>175</v>
      </c>
      <c r="C89" s="24"/>
      <c r="D89" s="35"/>
      <c r="E89" s="35"/>
      <c r="F89" s="35"/>
      <c r="G89" s="35"/>
      <c r="H89" s="35"/>
    </row>
    <row r="90">
      <c r="A90" s="24"/>
      <c r="B90" s="25" t="s">
        <v>176</v>
      </c>
      <c r="C90" s="24"/>
      <c r="D90" s="35"/>
      <c r="E90" s="35"/>
      <c r="F90" s="35"/>
      <c r="G90" s="35"/>
      <c r="H90" s="35"/>
    </row>
    <row r="91">
      <c r="A91" s="24"/>
      <c r="B91" s="25" t="s">
        <v>177</v>
      </c>
      <c r="C91" s="24"/>
      <c r="D91" s="35"/>
      <c r="E91" s="35"/>
      <c r="F91" s="35"/>
      <c r="G91" s="35"/>
      <c r="H91" s="35"/>
    </row>
    <row r="92">
      <c r="A92" s="24"/>
      <c r="B92" s="25" t="s">
        <v>178</v>
      </c>
      <c r="C92" s="24"/>
      <c r="D92" s="35"/>
      <c r="E92" s="35"/>
      <c r="F92" s="35"/>
      <c r="G92" s="35"/>
      <c r="H92" s="35"/>
    </row>
    <row r="93">
      <c r="A93" s="24"/>
      <c r="B93" s="25" t="s">
        <v>179</v>
      </c>
      <c r="C93" s="24"/>
      <c r="D93" s="35"/>
      <c r="E93" s="35"/>
      <c r="F93" s="35"/>
      <c r="G93" s="35"/>
      <c r="H93" s="35"/>
    </row>
    <row r="94">
      <c r="A94" s="24"/>
      <c r="B94" s="25" t="s">
        <v>180</v>
      </c>
      <c r="C94" s="24"/>
      <c r="D94" s="35"/>
      <c r="E94" s="35"/>
      <c r="F94" s="35"/>
      <c r="G94" s="35"/>
      <c r="H94" s="35"/>
    </row>
    <row r="95">
      <c r="A95" s="24"/>
      <c r="B95" s="25" t="s">
        <v>181</v>
      </c>
      <c r="C95" s="24"/>
      <c r="D95" s="35"/>
      <c r="E95" s="35"/>
      <c r="F95" s="35"/>
      <c r="G95" s="35"/>
      <c r="H95" s="35"/>
    </row>
    <row r="96">
      <c r="A96" s="24"/>
      <c r="B96" s="25" t="s">
        <v>182</v>
      </c>
      <c r="C96" s="24"/>
      <c r="D96" s="35"/>
      <c r="E96" s="35"/>
      <c r="F96" s="35"/>
      <c r="G96" s="35"/>
      <c r="H96" s="35"/>
    </row>
    <row r="97">
      <c r="A97" s="24"/>
      <c r="B97" s="25" t="s">
        <v>183</v>
      </c>
      <c r="C97" s="24"/>
      <c r="D97" s="35"/>
      <c r="E97" s="35"/>
      <c r="F97" s="35"/>
      <c r="G97" s="35"/>
      <c r="H97" s="35"/>
    </row>
    <row r="98">
      <c r="A98" s="21" t="s">
        <v>184</v>
      </c>
      <c r="C98" s="14"/>
      <c r="G98" s="35"/>
      <c r="H98" s="35"/>
    </row>
    <row r="99">
      <c r="A99" s="24"/>
      <c r="B99" s="25" t="s">
        <v>185</v>
      </c>
      <c r="C99" s="24"/>
      <c r="D99" s="35"/>
      <c r="E99" s="35"/>
      <c r="F99" s="35"/>
      <c r="G99" s="35"/>
      <c r="H99" s="35"/>
    </row>
    <row r="100">
      <c r="A100" s="24"/>
      <c r="B100" s="25" t="s">
        <v>186</v>
      </c>
      <c r="C100" s="24"/>
      <c r="D100" s="35"/>
      <c r="E100" s="35"/>
      <c r="F100" s="35"/>
      <c r="G100" s="35"/>
      <c r="H100" s="35"/>
    </row>
    <row r="101">
      <c r="A101" s="24"/>
      <c r="B101" s="25" t="s">
        <v>187</v>
      </c>
      <c r="C101" s="24"/>
      <c r="D101" s="35"/>
      <c r="E101" s="35"/>
      <c r="F101" s="35"/>
      <c r="G101" s="35"/>
      <c r="H101" s="35"/>
    </row>
    <row r="102">
      <c r="A102" s="24"/>
      <c r="B102" s="25" t="s">
        <v>188</v>
      </c>
      <c r="C102" s="24"/>
      <c r="D102" s="35"/>
      <c r="E102" s="35"/>
      <c r="F102" s="35"/>
      <c r="G102" s="35"/>
      <c r="H102" s="35"/>
    </row>
    <row r="103">
      <c r="A103" s="24"/>
      <c r="B103" s="25" t="s">
        <v>189</v>
      </c>
      <c r="C103" s="24"/>
      <c r="D103" s="35"/>
      <c r="E103" s="35"/>
      <c r="F103" s="35"/>
      <c r="G103" s="35"/>
      <c r="H103" s="35"/>
    </row>
    <row r="104">
      <c r="A104" s="24"/>
      <c r="B104" s="25" t="s">
        <v>190</v>
      </c>
      <c r="C104" s="24"/>
      <c r="D104" s="35"/>
      <c r="E104" s="35"/>
      <c r="F104" s="35"/>
      <c r="G104" s="35"/>
      <c r="H104" s="35"/>
    </row>
    <row r="105">
      <c r="A105" s="24"/>
      <c r="B105" s="25" t="s">
        <v>191</v>
      </c>
      <c r="C105" s="24"/>
      <c r="D105" s="35"/>
      <c r="E105" s="35"/>
      <c r="F105" s="35"/>
      <c r="G105" s="35"/>
      <c r="H105" s="35"/>
    </row>
    <row r="106">
      <c r="A106" s="24"/>
      <c r="B106" s="25" t="s">
        <v>192</v>
      </c>
      <c r="C106" s="24"/>
      <c r="D106" s="35"/>
      <c r="E106" s="35"/>
      <c r="F106" s="35"/>
      <c r="G106" s="35"/>
      <c r="H106" s="35"/>
    </row>
    <row r="107">
      <c r="A107" s="24"/>
      <c r="B107" s="25" t="s">
        <v>193</v>
      </c>
      <c r="C107" s="24"/>
      <c r="D107" s="35"/>
      <c r="E107" s="35"/>
      <c r="F107" s="35"/>
      <c r="G107" s="35"/>
      <c r="H107" s="35"/>
    </row>
    <row r="108">
      <c r="A108" s="24"/>
      <c r="B108" s="25" t="s">
        <v>194</v>
      </c>
      <c r="C108" s="24"/>
      <c r="D108" s="35"/>
      <c r="E108" s="35"/>
      <c r="F108" s="35"/>
      <c r="G108" s="35"/>
      <c r="H108" s="35"/>
    </row>
    <row r="109">
      <c r="A109" s="21" t="s">
        <v>195</v>
      </c>
      <c r="C109" s="14"/>
      <c r="G109" s="35"/>
      <c r="H109" s="35"/>
    </row>
    <row r="110">
      <c r="A110" s="24"/>
      <c r="B110" s="25" t="s">
        <v>196</v>
      </c>
      <c r="C110" s="24"/>
      <c r="D110" s="35"/>
      <c r="E110" s="35"/>
      <c r="F110" s="35"/>
      <c r="G110" s="35"/>
      <c r="H110" s="35"/>
    </row>
    <row r="111">
      <c r="A111" s="24"/>
      <c r="B111" s="25" t="s">
        <v>197</v>
      </c>
      <c r="C111" s="24"/>
      <c r="D111" s="35"/>
      <c r="E111" s="35"/>
      <c r="F111" s="35"/>
      <c r="G111" s="35"/>
      <c r="H111" s="35"/>
    </row>
    <row r="112">
      <c r="A112" s="24"/>
      <c r="B112" s="25" t="s">
        <v>198</v>
      </c>
      <c r="C112" s="24"/>
      <c r="D112" s="35"/>
      <c r="E112" s="35"/>
      <c r="F112" s="35"/>
      <c r="G112" s="35"/>
      <c r="H112" s="35"/>
    </row>
    <row r="113">
      <c r="A113" s="24"/>
      <c r="B113" s="25" t="s">
        <v>199</v>
      </c>
      <c r="C113" s="24"/>
      <c r="D113" s="35"/>
      <c r="E113" s="35"/>
      <c r="F113" s="35"/>
      <c r="G113" s="35"/>
      <c r="H113" s="35"/>
    </row>
    <row r="114">
      <c r="A114" s="24"/>
      <c r="B114" s="25" t="s">
        <v>200</v>
      </c>
      <c r="C114" s="24"/>
      <c r="D114" s="35"/>
      <c r="E114" s="35"/>
      <c r="F114" s="35"/>
      <c r="G114" s="35"/>
      <c r="H114" s="35"/>
    </row>
    <row r="115">
      <c r="A115" s="24"/>
      <c r="B115" s="25" t="s">
        <v>201</v>
      </c>
      <c r="C115" s="24"/>
      <c r="D115" s="35"/>
      <c r="E115" s="35"/>
      <c r="F115" s="35"/>
      <c r="G115" s="35"/>
      <c r="H115" s="35"/>
    </row>
    <row r="116">
      <c r="A116" s="24"/>
      <c r="B116" s="25" t="s">
        <v>202</v>
      </c>
      <c r="C116" s="24"/>
      <c r="D116" s="35"/>
      <c r="E116" s="35"/>
      <c r="F116" s="35"/>
      <c r="G116" s="35"/>
      <c r="H116" s="35"/>
    </row>
    <row r="117">
      <c r="A117" s="24"/>
      <c r="B117" s="25" t="s">
        <v>203</v>
      </c>
      <c r="C117" s="24"/>
      <c r="D117" s="35"/>
      <c r="E117" s="35"/>
      <c r="F117" s="35"/>
      <c r="G117" s="35"/>
      <c r="H117" s="35"/>
    </row>
    <row r="118">
      <c r="A118" s="24"/>
      <c r="B118" s="25" t="s">
        <v>204</v>
      </c>
      <c r="C118" s="24"/>
      <c r="D118" s="35"/>
      <c r="E118" s="35"/>
      <c r="F118" s="35"/>
      <c r="G118" s="35"/>
      <c r="H118" s="35"/>
    </row>
    <row r="119">
      <c r="A119" s="24"/>
      <c r="B119" s="25" t="s">
        <v>205</v>
      </c>
      <c r="C119" s="24"/>
      <c r="D119" s="35"/>
      <c r="E119" s="35"/>
      <c r="F119" s="35"/>
      <c r="G119" s="35"/>
      <c r="H119" s="35"/>
    </row>
  </sheetData>
  <mergeCells count="35">
    <mergeCell ref="E7:G7"/>
    <mergeCell ref="E8:G8"/>
    <mergeCell ref="D17:G17"/>
    <mergeCell ref="E30:G30"/>
    <mergeCell ref="A1:G1"/>
    <mergeCell ref="A2:G2"/>
    <mergeCell ref="A4:C4"/>
    <mergeCell ref="D4:G4"/>
    <mergeCell ref="A5:C5"/>
    <mergeCell ref="E5:G5"/>
    <mergeCell ref="E6:G6"/>
    <mergeCell ref="A6:C6"/>
    <mergeCell ref="A7:C7"/>
    <mergeCell ref="A8:C8"/>
    <mergeCell ref="A20:C20"/>
    <mergeCell ref="A25:C25"/>
    <mergeCell ref="A29:C29"/>
    <mergeCell ref="A32:C32"/>
    <mergeCell ref="A37:C37"/>
    <mergeCell ref="A41:C41"/>
    <mergeCell ref="A46:C46"/>
    <mergeCell ref="E46:G46"/>
    <mergeCell ref="A51:C51"/>
    <mergeCell ref="E56:G56"/>
    <mergeCell ref="A65:C65"/>
    <mergeCell ref="A98:C98"/>
    <mergeCell ref="A109:C109"/>
    <mergeCell ref="D109:F109"/>
    <mergeCell ref="E65:G65"/>
    <mergeCell ref="E71:G71"/>
    <mergeCell ref="A72:C72"/>
    <mergeCell ref="A74:C74"/>
    <mergeCell ref="F77:H77"/>
    <mergeCell ref="A82:C82"/>
    <mergeCell ref="D98:F98"/>
  </mergeCells>
  <hyperlinks>
    <hyperlink r:id="rId1" ref="A5"/>
    <hyperlink r:id="rId2" ref="E5"/>
    <hyperlink display="1.1 Insufficient Access Controls" location="'AI Lifecycle Risks'!A3" ref="B9"/>
    <hyperlink display="DASF 1: SSO with IdP and MFA" location="'Databricks AI Mitigation Contro'!A3" ref="F9"/>
    <hyperlink display="1.2 Missing Data Classification" location="'AI Lifecycle Risks'!A4" ref="B10"/>
    <hyperlink display="DASF 2: Sync Users and Groups" location="'Databricks AI Mitigation Contro'!A4" ref="F10"/>
    <hyperlink display="1.3 Poor Data Quality" location="'AI Lifecycle Risks'!A5" ref="B11"/>
    <hyperlink display="DASF 3: Restrict Access Using IP Access Lists" location="'Databricks AI Mitigation Contro'!A5" ref="F11"/>
    <hyperlink display="1.4 Ineffective Storage and Encryption" location="'AI Lifecycle Risks'!A6" ref="B12"/>
    <hyperlink display="DASF 4: Restrict Access Using Private Link" location="'Databricks AI Mitigation Contro'!A6" ref="F12"/>
    <hyperlink display="1.5 Lack of Data Versioning" location="'AI Lifecycle Risks'!A7" ref="B13"/>
    <hyperlink display="DASF 5: Control Access to Data and Other Objects" location="'Databricks AI Mitigation Contro'!A7" ref="F13"/>
    <hyperlink display="1.6 Insufficient Data Lineage" location="'AI Lifecycle Risks'!A8" ref="B14"/>
    <hyperlink display="DASF 57: Use Attribute-Based Access Controls (ABAC)" location="'Databricks AI Mitigation Contro'!A59" ref="F14"/>
    <hyperlink display="1.7 Lack of Data Trustworthiness" location="'AI Lifecycle Risks'!A9" ref="B15"/>
    <hyperlink display="DASF 60: Rate Limit Number of Inference Queries" location="'Databricks AI Mitigation Contro'!A62" ref="F15"/>
    <hyperlink display="1.8 Data Legal " location="'AI Lifecycle Risks'!A10" ref="B16"/>
    <hyperlink display="DASF 67: Federate authentication" location="'Databricks AI Mitigation Contro'!A1" ref="F16"/>
    <hyperlink display="1.9 Stale Data" location="'AI Lifecycle Risks'!A11" ref="B17"/>
    <hyperlink display="1.10 Lack of Data Access Logs" location="'AI Lifecycle Risks'!A12" ref="B18"/>
    <hyperlink display="DASF 6: Classify Data" location="'Databricks AI Mitigation Contro'!A8" ref="F18"/>
    <hyperlink display="1.11 Compromised 3rd-party Datasets" location="'AI Lifecycle Risks'!A13" ref="B19"/>
    <hyperlink display="DASF 7: Enforce Data Quality Checks on Batch and Streaming Datasets" location="'Databricks AI Mitigation Contro'!A9" ref="F19"/>
    <hyperlink display="DASF 8: Encrypt Data at Rest" location="'Databricks AI Mitigation Contro'!A10" ref="F20"/>
    <hyperlink display="2.1 Preprocessing Integrity" location="'AI Lifecycle Risks'!C14" ref="B21"/>
    <hyperlink display="DASF 9: Encrypt Data in Transit" location="'Databricks AI Mitigation Contro'!A9" ref="F21"/>
    <hyperlink display="2.2 Feature Manipulation" location="'AI Lifecycle Risks'!C15" ref="B22"/>
    <hyperlink display="DASF 10: Version Data" location="'Databricks AI Mitigation Contro'!A12" ref="F22"/>
    <hyperlink display="2.3 Raw Data Criteria" location="'AI Lifecycle Risks'!C16" ref="B23"/>
    <hyperlink display="DASF 11: Capture and View Data Lineage" location="'Databricks AI Mitigation Contro'!A13" ref="F23"/>
    <hyperlink display="2.4 Adversarial Partitions" location="'AI Lifecycle Risks'!C17" ref="B24"/>
    <hyperlink display="DASF 12: Delete Records from Datasets" location="'Databricks AI Mitigation Contro'!A14" ref="F24"/>
    <hyperlink display="DASF 13: Use Near Real-Time Data" location="'Databricks AI Mitigation Contro'!A15" ref="F25"/>
    <hyperlink display="3.1 Data Poisoning" location="'AI Lifecycle Risks'!C18" ref="B26"/>
    <hyperlink display="DASF 14: Audit Actions Performed on Datasets" location="'Databricks AI Mitigation Contro'!A16" ref="F26"/>
    <hyperlink display="3.2 Ineffective Storage and Encryption" location="'AI Lifecycle Risks'!C19" ref="B27"/>
    <hyperlink display="DASF 15: Explore Datasets and Identify Problems" location="'Databricks AI Mitigation Contro'!A17" ref="F27"/>
    <hyperlink display="3.3 Label Flipping" location="'AI Lifecycle Risks'!C20" ref="B28"/>
    <hyperlink display="DASF 58: Protect Data with Filters and Masking" location="'Databricks AI Mitigation Contro'!A60" ref="F28"/>
    <hyperlink display="DASF 59: Use Clean Rooms" location="'Databricks AI Mitigation Contro'!A61" ref="F29"/>
    <hyperlink display="4.1 Lack of Traceability and Transparency of Model Assets" location="'AI Lifecycle Risks'!C21" ref="B30"/>
    <hyperlink display="4.2 Lack of End-to-End ML Lifecycle" location="'AI Lifecycle Risks'!C22" ref="B31"/>
    <hyperlink display="DASF 16: Secure Model Features" location="'Databricks AI Mitigation Contro'!A18" ref="F31"/>
    <hyperlink display="DASF 17: Track and Reproduce the Training Data Used for ML Model Training" location="'Databricks AI Mitigation Contro'!A19" ref="F32"/>
    <hyperlink display="5.1 Lack of Tracking and Reproducibility of Experiments " location="'AI Lifecycle Risks'!C23" ref="B33"/>
    <hyperlink display="DASF 18: Govern Model Assets" location="'Databricks AI Mitigation Contro'!A20" ref="F33"/>
    <hyperlink display="5.2 Model Drift" location="'AI Lifecycle Risks'!C24" ref="B34"/>
    <hyperlink display="DASF 19: Manage End-to-End Machine Learning Lifecycle" location="'Databricks AI Mitigation Contro'!A21" ref="F34"/>
    <hyperlink display="5.3 Hyperparameters Stealing" location="'AI Lifecycle Risks'!C25" ref="B35"/>
    <hyperlink display="DASF 20: Track ML Training Runs" location="'Databricks AI Mitigation Contro'!A22" ref="F35"/>
    <hyperlink display="5.4 Malicious Libraries " location="'AI Lifecycle Risks'!C26" ref="B36"/>
    <hyperlink display="DASF 23: Register, Version, Approve, Promote, Deploy, and Monitor Models" location="'Databricks AI Mitigation Contro'!A25" ref="F36"/>
    <hyperlink display="DASF 24: Control Access to Models and Model Assets" location="'Databricks AI Mitigation Contro'!A26" ref="F37"/>
    <hyperlink display="6.1 Evaluation Data Poisoning" location="'AI Lifecycle Risks'!C27" ref="B38"/>
    <hyperlink display="DASF 25: Use Retrieval Augmented Generation (RAG) with Large Language Models (LLMs)" location="'Databricks AI Mitigation Contro'!A27" ref="F38"/>
    <hyperlink display="6.2 Insufficient Evaluation Data" location="'AI Lifecycle Risks'!C28" ref="B39"/>
    <hyperlink display="DASF 26: Fine-Tune Large Language Models (LLMs)" location="'Databricks AI Mitigation Contro'!A28" ref="F39"/>
    <hyperlink display="6.3 Lack of Interpretability and Explainability " location="'AI Lifecycle Risks'!C29" ref="B40"/>
    <hyperlink display="DASF 27: Pretrain a Large Language Model (LLM)" location="'Databricks AI Mitigation Contro'!A29" ref="F40"/>
    <hyperlink display="DASF 28: Create Model Aliases, Tags, and Annotations" location="'Databricks AI Mitigation Contro'!A30" ref="F41"/>
    <hyperlink display="7.1 Backdoor Machine Learning / Trojaned Model" location="'AI Lifecycle Risks'!C30" ref="B42"/>
    <hyperlink display="DASF 30: Encrypt Models" location="'Databricks AI Mitigation Contro'!A32" ref="F42"/>
    <hyperlink display="7.2 Model Assets Leak" location="'AI Lifecycle Risks'!C31" ref="B43"/>
    <hyperlink display="DASF 31: Secure Model Serving Endpoints" location="'Databricks AI Mitigation Contro'!A33" ref="F43"/>
    <hyperlink display="7.3 ML Supply Chain Vulnerabilities" location="'AI Lifecycle Risks'!C32" ref="B44"/>
    <hyperlink display="DASF 34: Run Models in Multiple Layers of Isolation" location="'Databricks AI Mitigation Contro'!A36" ref="F44"/>
    <hyperlink display="7.4 Source Code Control Attack" location="'AI Lifecycle Risks'!C33" ref="B45"/>
    <hyperlink display="DASF 56: Restrict Outbound Connections from Models" location="'Databricks AI Mitigation Contro'!A58" ref="F45"/>
    <hyperlink display="8.1 Model Attribution" location="'AI Lifecycle Risks'!C34" ref="B47"/>
    <hyperlink display="DASF 21: Monitor Data and AI Systems from a Single Pane of Glass" location="'Databricks AI Mitigation Contro'!A23" ref="F47"/>
    <hyperlink display="8.2 Model Theft" location="'AI Lifecycle Risks'!C35" ref="B48"/>
    <hyperlink display="DASF 35: Track Model Performance" location="'Databricks AI Mitigation Contro'!A37" ref="F48"/>
    <hyperlink display="8.3 Model Lifecycle Without HITL (Human-in-the-Loop)" location="'AI Lifecycle Risks'!C36" ref="B49"/>
    <hyperlink display="DASF 36: Set Up Monitoring Alerts" location="'Databricks AI Mitigation Contro'!A38" ref="F49"/>
    <hyperlink display="8.4 Model Inversion" location="'AI Lifecycle Risks'!C37" ref="B50"/>
    <hyperlink display="DASF 37: Set Up Inference Tables for Monitoring and Debugging Models" location="'Databricks AI Mitigation Contro'!A39" ref="F50"/>
    <hyperlink display="DASF 39: Platform Security — Incident Response Team" location="'Databricks AI Mitigation Contro'!A41" ref="F51"/>
    <hyperlink display="9.1 Prompt Injection" location="'AI Lifecycle Risks'!C38" ref="B52"/>
    <hyperlink display="DASF 40: Platform Security — Internal Access" location="'Databricks AI Mitigation Contro'!A42" ref="F52"/>
    <hyperlink display="9.2 Model Inversion" location="'AI Lifecycle Risks'!C39" ref="B53"/>
    <hyperlink display="DASF 55: Monitor Audit Logs" location="'Databricks AI Mitigation Contro'!A57" ref="F53"/>
    <hyperlink display="9.3 Model Breakout" location="'AI Lifecycle Risks'!C40" ref="B54"/>
    <hyperlink display="DASF 65: Implement end-to-end AI traceability" location="'Databricks AI Mitigation Contro'!A1" ref="F54"/>
    <hyperlink display="9.4 Looped Input" location="'AI Lifecycle Risks'!C41" ref="B55"/>
    <hyperlink display="DASF 66: Use Human-in-the-loop feedback" location="'Databricks AI Mitigation Contro'!A1" ref="F55"/>
    <hyperlink display="9.5 Infer Training Data Membership" location="'AI Lifecycle Risks'!C42" ref="B56"/>
    <hyperlink display="9.6 Discover ML Model Ontology" location="'AI Lifecycle Risks'!C43" ref="B57"/>
    <hyperlink display="DASF 38: Platform Security — Penetration Testing, Red Teaming, Bug Bounty, and Vulnerability Management" location="'Databricks AI Mitigation Contro'!A40" ref="F57"/>
    <hyperlink display="9.7 Denial of Service (DoS)" location="'AI Lifecycle Risks'!C44" ref="B58"/>
    <hyperlink display="DASF 41: Platform Security — Secure SDLC" location="'Databricks AI Mitigation Contro'!A43" ref="F58"/>
    <hyperlink display="9.8 LLM Hallucinations" location="'AI Lifecycle Risks'!C45" ref="B59"/>
    <hyperlink display="DASF 42: Employ Data-Centric MLOps and LLMOps" location="'Databricks AI Mitigation Contro'!A44" ref="F59"/>
    <hyperlink display="9.9 Input Resource Control" location="'AI Lifecycle Risks'!C46" ref="B60"/>
    <hyperlink display="DASF 43: Use Access Control Lists" location="'Databricks AI Mitigation Contro'!A45" ref="F60"/>
    <hyperlink display="9.10 Accidental Exposure of Unauthorized Data to Models" location="'AI Lifecycle Risks'!C47" ref="B61"/>
    <hyperlink display="DASF 44: Trigger Actions in Response to a Specific Event" location="'Databricks AI Mitigation Contro'!A46" ref="F61"/>
    <hyperlink display="9.11 Model Inference API Access" location="'AI Lifecycle Risks'!C48" ref="B62"/>
    <hyperlink display="DASF 45: Evaluate Models" location="'Databricks AI Mitigation Contro'!A47" ref="F62"/>
    <hyperlink display="9.12 LLM Jailbreak" location="'AI Lifecycle Risks'!C49" ref="B63"/>
    <hyperlink display="DASF 46: Store and Retrieve Embeddings Securely" location="'Databricks AI Mitigation Contro'!A48" ref="F63"/>
    <hyperlink display="9.13 Excessive Agency" location="'AI Lifecycle Risks'!C50" ref="B64"/>
    <hyperlink display="DASF 48: Use Hardened Runtime for Machine Learning" location="'Databricks AI Mitigation Contro'!A50" ref="F64"/>
    <hyperlink display="10.1 Lack of Audit and Monitoring Inference Quality" location="'AI Lifecycle Risks'!C51" ref="B66"/>
    <hyperlink display="DASF 50: Platform Compliance" location="'Databricks AI Mitigation Contro'!A52" ref="F66"/>
    <hyperlink display="10.2 Output Manipulation" location="'AI Lifecycle Risks'!C52" ref="B67"/>
    <hyperlink display="DASF 51: Share Data and AI Assets Securely" location="'Databricks AI Mitigation Contro'!A53" ref="F67"/>
    <hyperlink display="10.3 Discover ML Model Ontology" location="'AI Lifecycle Risks'!C53" ref="B68"/>
    <hyperlink display="DASF 52: Source Code Control" location="'Databricks AI Mitigation Contro'!A54" ref="F68"/>
    <hyperlink display="10.4 Discover ML Model Family" location="'AI Lifecycle Risks'!C54" ref="B69"/>
    <hyperlink display="DASF 53: Third-Party Library Control" location="'Databricks AI Mitigation Contro'!A55" ref="F69"/>
    <hyperlink display="10.5 Black-box Attacks" location="'AI Lifecycle Risks'!C55" ref="B70"/>
    <hyperlink display="DASF 54: Implement AI Guardrails" location="'Databricks AI Mitigation Contro'!A66" ref="F70"/>
    <hyperlink display="10.6 Sensitive Data Output from a Model" location="'AI Lifecycle Risks'!C56" ref="B71"/>
    <hyperlink display="DASF 29: Build MLOps Workflows" location="'Databricks AI Mitigation Contro'!A31" ref="F72"/>
    <hyperlink display="11.1 Lack of MLOps — Repeatable Enforced Standards" location="'AI Lifecycle Risks'!C57" ref="B73"/>
    <hyperlink display="DASF 61: Train Users on AI/ML Security" location="'Databricks AI Mitigation Contro'!A63" ref="F73"/>
    <hyperlink display="DASF 62: Implement Network Segmentation" location="'Databricks AI Mitigation Contro'!A64" ref="F74"/>
    <hyperlink display="12.1 Lack of Vulnerability Management" location="'AI Lifecycle Risks'!C58" ref="B75"/>
    <hyperlink display="DASF 63: Update Software" location="'Databricks AI Mitigation Contro'!A65" ref="F75"/>
    <hyperlink display="12.2 Lack of Penetration Testing, Red Teaming, and Bug Bounty" location="'AI Lifecycle Risks'!C59" ref="B76"/>
    <hyperlink display="DASF 64: Limit Access from AI Models and Agents" location="'Databricks AI Mitigation Contro'!A66" ref="F76"/>
    <hyperlink display="12.3 Lack of Incident Response" location="'AI Lifecycle Risks'!C60" ref="B77"/>
    <hyperlink display="12.4 Unauthorized Privileged Access" location="'AI Lifecycle Risks'!C61" ref="B78"/>
    <hyperlink display="DASF 68: Use Securely Hosted Managed MCP Servers" location="'Databricks AI Mitigation Contro'!A70" ref="F78"/>
    <hyperlink display="12.5 Poor Security in the Software Development Lifecycle" location="'AI Lifecycle Risks'!C62" ref="B79"/>
    <hyperlink display="DASF 69: Securely host Custom MCP Servers" location="'Databricks AI Mitigation Contro'!A71" ref="F79"/>
    <hyperlink display="12.6 Lack of Compliance" location="'AI Lifecycle Risks'!C63" ref="B80"/>
    <hyperlink display="DASF 70: Securely connect to External MCP Servers" location="'Databricks AI Mitigation Contro'!A72" ref="F80"/>
    <hyperlink display="12.7 Initial Access" location="'AI Lifecycle Risks'!C64" ref="B81"/>
    <hyperlink display="DASF 71: Log and register AI agents" location="'Databricks AI Mitigation Contro'!A73" ref="F81"/>
    <hyperlink display="DASF 72: Securely store and reuse agent state" location="'Databricks AI Mitigation Contro'!A74" ref="F82"/>
    <hyperlink display="13.1 Memory Poisoning" location="'AI Lifecycle Risks'!C65" ref="B83"/>
    <hyperlink display="DASF 73: Register prompts" location="'Databricks AI Mitigation Contro'!A75" ref="F83"/>
    <hyperlink display="13.2 Tool Misuse" location="'AI Lifecycle Risks'!C66" ref="B84"/>
    <hyperlink display="13.3 Privilege Compromise" location="'AI Lifecycle Risks'!C67" ref="B85"/>
    <hyperlink display="13.4 Resource Overload" location="'AI Lifecycle Risks'!C68" ref="B86"/>
    <hyperlink display="13.5 Cascading Hallucination Attacks" location="'AI Lifecycle Risks'!C69" ref="B87"/>
    <hyperlink display="13.6 Intent Breaking &amp; Goal Manipulation" location="'AI Lifecycle Risks'!C70" ref="B88"/>
    <hyperlink display="13.7 Misaligned &amp; Deceptive Behaviors" location="'AI Lifecycle Risks'!C71" ref="B89"/>
    <hyperlink display="13.8 Repudiation &amp; Untraceability" location="'AI Lifecycle Risks'!C72" ref="B90"/>
    <hyperlink display="13.9 Identity Spoofing &amp; Impersonation" location="'AI Lifecycle Risks'!C73" ref="B91"/>
    <hyperlink display="13.10 Overwhelming Human in the Loop" location="'AI Lifecycle Risks'!C74" ref="B92"/>
    <hyperlink display="13.11 Unexpected RCE and Code Attacks" location="'AI Lifecycle Risks'!C75" ref="B93"/>
    <hyperlink display="13.12 Agent Communication Poisoning" location="'AI Lifecycle Risks'!C76" ref="B94"/>
    <hyperlink display="13.13 Rogue Agents in Multi-Agent Systems" location="'AI Lifecycle Risks'!C77" ref="B95"/>
    <hyperlink display="13.14 Human Attacks on Multi-Agent Systems" location="'AI Lifecycle Risks'!C78" ref="B96"/>
    <hyperlink display="13.15 Human Manipulation" location="'AI Lifecycle Risks'!C79" ref="B97"/>
    <hyperlink display="13.16 Prompt Injection" location="'AI Lifecycle Risks'!C80" ref="B99"/>
    <hyperlink display="13.17 Confused Deputy" location="'AI Lifecycle Risks'!C81" ref="B100"/>
    <hyperlink display="13.18 Tool Poisoning" location="'AI Lifecycle Risks'!C82" ref="B101"/>
    <hyperlink display="13.19 Credential and Token Exposure" location="'AI Lifecycle Risks'!C83" ref="B102"/>
    <hyperlink display="13.20 Insecure Server Configuration" location="'AI Lifecycle Risks'!C84" ref="B103"/>
    <hyperlink display="13.21 Supply Chain Attacks" location="'AI Lifecycle Risks'!C85" ref="B104"/>
    <hyperlink display="13.22 Excessive Permissions and Scope Creep" location="'AI Lifecycle Risks'!C86" ref="B105"/>
    <hyperlink display="13.23 Data Exfiltration" location="'AI Lifecycle Risks'!C87" ref="B106"/>
    <hyperlink display="13.24 Context Spoofing and Manipulation" location="'AI Lifecycle Risks'!C88" ref="B107"/>
    <hyperlink display="13.25 Insecure Communication" location="'AI Lifecycle Risks'!C89" ref="B108"/>
    <hyperlink display="13.26 Malicious Server Connection" location="'AI Lifecycle Risks'!C90" ref="B110"/>
    <hyperlink display="13.27 Insecure Credential Storage" location="'AI Lifecycle Risks'!C91" ref="B111"/>
    <hyperlink display="13.28 UI/UX Deception" location="'AI Lifecycle Risks'!C92" ref="B112"/>
    <hyperlink display="13.29 Insufficient Server Validation" location="'AI Lifecycle Risks'!C93" ref="B113"/>
    <hyperlink display="13.30 Client-Side Data Leakage" location="'AI Lifecycle Risks'!C94" ref="B114"/>
    <hyperlink display="13.31 Excessive Permission Granting" location="'AI Lifecycle Risks'!C95" ref="B115"/>
    <hyperlink display="13.32 Client-Side Code Execution" location="'AI Lifecycle Risks'!C96" ref="B116"/>
    <hyperlink display="13.33 Insecure Communication Handling" location="'AI Lifecycle Risks'!C97" ref="B117"/>
    <hyperlink display="13.34 Session and State Management Failures" location="'AI Lifecycle Risks'!C98" ref="B118"/>
    <hyperlink display="13.35 Update and Patch Management" location="'AI Lifecycle Risks'!C99" ref="B119"/>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41.13"/>
    <col customWidth="1" min="2" max="2" width="24.88"/>
    <col customWidth="1" min="3" max="3" width="30.13"/>
    <col customWidth="1" min="4" max="4" width="53.0"/>
    <col customWidth="1" min="5" max="5" width="26.25"/>
    <col customWidth="1" min="6" max="6" width="83.63"/>
    <col customWidth="1" min="7" max="7" width="22.13"/>
    <col customWidth="1" min="8" max="14" width="22.63"/>
    <col customWidth="1" min="15" max="15" width="37.25"/>
    <col customWidth="1" min="16" max="16" width="39.0"/>
    <col customWidth="1" min="17" max="22" width="39.13"/>
    <col customWidth="1" min="23" max="23" width="49.25"/>
    <col customWidth="1" min="24" max="26" width="39.13"/>
    <col customWidth="1" min="27" max="28" width="57.13"/>
    <col customWidth="1" min="29" max="31" width="39.13"/>
  </cols>
  <sheetData>
    <row r="1">
      <c r="A1" s="37" t="s">
        <v>206</v>
      </c>
      <c r="B1" s="37" t="s">
        <v>207</v>
      </c>
      <c r="C1" s="37" t="s">
        <v>208</v>
      </c>
      <c r="D1" s="37" t="s">
        <v>209</v>
      </c>
      <c r="E1" s="38" t="s">
        <v>210</v>
      </c>
      <c r="F1" s="38" t="s">
        <v>211</v>
      </c>
      <c r="G1" s="39" t="s">
        <v>212</v>
      </c>
      <c r="H1" s="40" t="s">
        <v>213</v>
      </c>
      <c r="I1" s="41"/>
      <c r="J1" s="41"/>
      <c r="K1" s="41"/>
      <c r="L1" s="41"/>
      <c r="M1" s="42"/>
      <c r="N1" s="43"/>
      <c r="O1" s="44" t="s">
        <v>214</v>
      </c>
      <c r="P1" s="42"/>
      <c r="Q1" s="45"/>
      <c r="R1" s="46" t="s">
        <v>215</v>
      </c>
      <c r="S1" s="41"/>
      <c r="T1" s="41"/>
      <c r="U1" s="41"/>
      <c r="V1" s="41"/>
      <c r="W1" s="41"/>
      <c r="X1" s="41"/>
      <c r="Y1" s="42"/>
      <c r="Z1" s="47"/>
      <c r="AA1" s="47"/>
      <c r="AB1" s="47"/>
      <c r="AC1" s="47"/>
      <c r="AD1" s="48"/>
      <c r="AE1" s="48"/>
    </row>
    <row r="2">
      <c r="A2" s="49"/>
      <c r="B2" s="49"/>
      <c r="C2" s="49"/>
      <c r="D2" s="49"/>
      <c r="E2" s="50"/>
      <c r="F2" s="50"/>
      <c r="G2" s="51"/>
      <c r="H2" s="52" t="s">
        <v>216</v>
      </c>
      <c r="I2" s="53" t="s">
        <v>217</v>
      </c>
      <c r="J2" s="53" t="s">
        <v>218</v>
      </c>
      <c r="K2" s="53" t="s">
        <v>219</v>
      </c>
      <c r="L2" s="53" t="s">
        <v>220</v>
      </c>
      <c r="M2" s="53" t="s">
        <v>221</v>
      </c>
      <c r="N2" s="54" t="s">
        <v>222</v>
      </c>
      <c r="O2" s="55" t="s">
        <v>223</v>
      </c>
      <c r="P2" s="55" t="s">
        <v>224</v>
      </c>
      <c r="Q2" s="56" t="s">
        <v>225</v>
      </c>
      <c r="R2" s="57" t="s">
        <v>226</v>
      </c>
      <c r="S2" s="57" t="s">
        <v>227</v>
      </c>
      <c r="T2" s="58" t="s">
        <v>228</v>
      </c>
      <c r="U2" s="57" t="s">
        <v>229</v>
      </c>
      <c r="V2" s="58" t="s">
        <v>230</v>
      </c>
      <c r="W2" s="57" t="s">
        <v>231</v>
      </c>
      <c r="X2" s="59" t="s">
        <v>232</v>
      </c>
      <c r="Y2" s="60" t="s">
        <v>233</v>
      </c>
      <c r="Z2" s="61" t="s">
        <v>234</v>
      </c>
      <c r="AA2" s="61" t="s">
        <v>235</v>
      </c>
      <c r="AB2" s="61" t="s">
        <v>236</v>
      </c>
      <c r="AC2" s="61" t="s">
        <v>237</v>
      </c>
      <c r="AD2" s="62" t="s">
        <v>238</v>
      </c>
      <c r="AE2" s="62" t="s">
        <v>239</v>
      </c>
    </row>
    <row r="3">
      <c r="A3" s="63" t="s">
        <v>240</v>
      </c>
      <c r="B3" s="63" t="s">
        <v>241</v>
      </c>
      <c r="C3" s="64" t="s">
        <v>242</v>
      </c>
      <c r="D3" s="63" t="s">
        <v>243</v>
      </c>
      <c r="E3" s="65" t="s">
        <v>244</v>
      </c>
      <c r="F3" s="65" t="s">
        <v>245</v>
      </c>
      <c r="G3" s="66" t="s">
        <v>246</v>
      </c>
      <c r="H3" s="67" t="s">
        <v>247</v>
      </c>
      <c r="I3" s="67" t="s">
        <v>247</v>
      </c>
      <c r="J3" s="67" t="s">
        <v>247</v>
      </c>
      <c r="K3" s="67" t="s">
        <v>247</v>
      </c>
      <c r="L3" s="67" t="s">
        <v>248</v>
      </c>
      <c r="M3" s="67" t="s">
        <v>248</v>
      </c>
      <c r="N3" s="68" t="s">
        <v>248</v>
      </c>
      <c r="O3" s="69" t="s">
        <v>249</v>
      </c>
      <c r="P3" s="69" t="s">
        <v>250</v>
      </c>
      <c r="Q3" s="70" t="s">
        <v>251</v>
      </c>
      <c r="R3" s="71" t="s">
        <v>252</v>
      </c>
      <c r="S3" s="72" t="s">
        <v>253</v>
      </c>
      <c r="T3" s="73" t="s">
        <v>254</v>
      </c>
      <c r="U3" s="73" t="s">
        <v>255</v>
      </c>
      <c r="V3" s="74"/>
      <c r="W3" s="75" t="s">
        <v>256</v>
      </c>
      <c r="X3" s="76" t="s">
        <v>257</v>
      </c>
      <c r="Y3" s="77" t="s">
        <v>258</v>
      </c>
      <c r="Z3" s="78" t="s">
        <v>259</v>
      </c>
      <c r="AA3" s="79" t="s">
        <v>260</v>
      </c>
      <c r="AB3" s="80" t="s">
        <v>261</v>
      </c>
      <c r="AC3" s="81" t="s">
        <v>258</v>
      </c>
      <c r="AD3" s="82"/>
      <c r="AE3" s="82"/>
    </row>
    <row r="4">
      <c r="A4" s="63" t="s">
        <v>262</v>
      </c>
      <c r="B4" s="63" t="s">
        <v>241</v>
      </c>
      <c r="C4" s="64" t="s">
        <v>263</v>
      </c>
      <c r="D4" s="64" t="s">
        <v>264</v>
      </c>
      <c r="E4" s="83" t="s">
        <v>265</v>
      </c>
      <c r="F4" s="83" t="s">
        <v>266</v>
      </c>
      <c r="G4" s="84" t="s">
        <v>246</v>
      </c>
      <c r="H4" s="67" t="s">
        <v>247</v>
      </c>
      <c r="I4" s="67" t="s">
        <v>247</v>
      </c>
      <c r="J4" s="67" t="s">
        <v>247</v>
      </c>
      <c r="K4" s="67" t="s">
        <v>247</v>
      </c>
      <c r="L4" s="67" t="s">
        <v>248</v>
      </c>
      <c r="M4" s="67" t="s">
        <v>248</v>
      </c>
      <c r="N4" s="68" t="s">
        <v>248</v>
      </c>
      <c r="O4" s="69" t="s">
        <v>267</v>
      </c>
      <c r="P4" s="69" t="s">
        <v>268</v>
      </c>
      <c r="Q4" s="70" t="s">
        <v>251</v>
      </c>
      <c r="R4" s="71" t="s">
        <v>269</v>
      </c>
      <c r="S4" s="77" t="s">
        <v>258</v>
      </c>
      <c r="T4" s="73" t="s">
        <v>270</v>
      </c>
      <c r="U4" s="73" t="s">
        <v>271</v>
      </c>
      <c r="V4" s="74"/>
      <c r="W4" s="75" t="s">
        <v>272</v>
      </c>
      <c r="X4" s="76" t="s">
        <v>273</v>
      </c>
      <c r="Y4" s="85" t="s">
        <v>258</v>
      </c>
      <c r="Z4" s="78" t="s">
        <v>274</v>
      </c>
      <c r="AA4" s="86" t="s">
        <v>275</v>
      </c>
      <c r="AB4" s="87" t="s">
        <v>276</v>
      </c>
      <c r="AC4" s="75" t="s">
        <v>258</v>
      </c>
      <c r="AD4" s="82"/>
      <c r="AE4" s="82"/>
    </row>
    <row r="5">
      <c r="A5" s="63" t="s">
        <v>277</v>
      </c>
      <c r="B5" s="63" t="s">
        <v>241</v>
      </c>
      <c r="C5" s="64" t="s">
        <v>278</v>
      </c>
      <c r="D5" s="63" t="s">
        <v>279</v>
      </c>
      <c r="E5" s="65" t="s">
        <v>280</v>
      </c>
      <c r="F5" s="65" t="s">
        <v>281</v>
      </c>
      <c r="G5" s="84" t="s">
        <v>246</v>
      </c>
      <c r="H5" s="88" t="s">
        <v>247</v>
      </c>
      <c r="I5" s="88" t="s">
        <v>247</v>
      </c>
      <c r="J5" s="88" t="s">
        <v>247</v>
      </c>
      <c r="K5" s="88" t="s">
        <v>247</v>
      </c>
      <c r="L5" s="88" t="s">
        <v>248</v>
      </c>
      <c r="M5" s="88" t="s">
        <v>248</v>
      </c>
      <c r="N5" s="68" t="s">
        <v>248</v>
      </c>
      <c r="O5" s="69" t="s">
        <v>282</v>
      </c>
      <c r="P5" s="69" t="s">
        <v>283</v>
      </c>
      <c r="Q5" s="70" t="s">
        <v>251</v>
      </c>
      <c r="R5" s="71" t="s">
        <v>284</v>
      </c>
      <c r="S5" s="77" t="s">
        <v>258</v>
      </c>
      <c r="T5" s="73" t="s">
        <v>285</v>
      </c>
      <c r="U5" s="73" t="s">
        <v>286</v>
      </c>
      <c r="V5" s="74"/>
      <c r="W5" s="75" t="s">
        <v>287</v>
      </c>
      <c r="X5" s="76" t="s">
        <v>288</v>
      </c>
      <c r="Y5" s="85" t="s">
        <v>258</v>
      </c>
      <c r="Z5" s="78" t="s">
        <v>289</v>
      </c>
      <c r="AA5" s="86" t="s">
        <v>290</v>
      </c>
      <c r="AB5" s="87" t="s">
        <v>258</v>
      </c>
      <c r="AC5" s="71" t="s">
        <v>291</v>
      </c>
      <c r="AD5" s="82"/>
      <c r="AE5" s="82"/>
    </row>
    <row r="6">
      <c r="A6" s="63" t="s">
        <v>292</v>
      </c>
      <c r="B6" s="63" t="s">
        <v>241</v>
      </c>
      <c r="C6" s="64" t="s">
        <v>293</v>
      </c>
      <c r="D6" s="63" t="s">
        <v>294</v>
      </c>
      <c r="E6" s="89" t="s">
        <v>295</v>
      </c>
      <c r="F6" s="89" t="s">
        <v>296</v>
      </c>
      <c r="G6" s="84" t="s">
        <v>246</v>
      </c>
      <c r="H6" s="88" t="s">
        <v>247</v>
      </c>
      <c r="I6" s="88" t="s">
        <v>247</v>
      </c>
      <c r="J6" s="88" t="s">
        <v>247</v>
      </c>
      <c r="K6" s="88" t="s">
        <v>247</v>
      </c>
      <c r="L6" s="88" t="s">
        <v>248</v>
      </c>
      <c r="M6" s="88" t="s">
        <v>248</v>
      </c>
      <c r="N6" s="68" t="s">
        <v>248</v>
      </c>
      <c r="O6" s="69" t="s">
        <v>297</v>
      </c>
      <c r="P6" s="69" t="s">
        <v>298</v>
      </c>
      <c r="Q6" s="70" t="s">
        <v>251</v>
      </c>
      <c r="R6" s="71" t="s">
        <v>299</v>
      </c>
      <c r="S6" s="72" t="s">
        <v>300</v>
      </c>
      <c r="T6" s="73" t="s">
        <v>301</v>
      </c>
      <c r="U6" s="73" t="s">
        <v>302</v>
      </c>
      <c r="V6" s="74"/>
      <c r="W6" s="75" t="s">
        <v>303</v>
      </c>
      <c r="X6" s="76" t="s">
        <v>304</v>
      </c>
      <c r="Y6" s="85" t="s">
        <v>258</v>
      </c>
      <c r="Z6" s="78" t="s">
        <v>305</v>
      </c>
      <c r="AA6" s="86" t="s">
        <v>258</v>
      </c>
      <c r="AB6" s="87" t="s">
        <v>306</v>
      </c>
      <c r="AC6" s="75" t="s">
        <v>258</v>
      </c>
      <c r="AD6" s="82"/>
      <c r="AE6" s="82"/>
    </row>
    <row r="7">
      <c r="A7" s="63" t="s">
        <v>307</v>
      </c>
      <c r="B7" s="63" t="s">
        <v>241</v>
      </c>
      <c r="C7" s="64" t="s">
        <v>308</v>
      </c>
      <c r="D7" s="63" t="s">
        <v>309</v>
      </c>
      <c r="E7" s="83" t="s">
        <v>310</v>
      </c>
      <c r="F7" s="83" t="s">
        <v>311</v>
      </c>
      <c r="G7" s="84" t="s">
        <v>246</v>
      </c>
      <c r="H7" s="88" t="s">
        <v>247</v>
      </c>
      <c r="I7" s="88" t="s">
        <v>247</v>
      </c>
      <c r="J7" s="88" t="s">
        <v>247</v>
      </c>
      <c r="K7" s="88" t="s">
        <v>247</v>
      </c>
      <c r="L7" s="88" t="s">
        <v>248</v>
      </c>
      <c r="M7" s="88" t="s">
        <v>248</v>
      </c>
      <c r="N7" s="68" t="s">
        <v>248</v>
      </c>
      <c r="O7" s="69" t="s">
        <v>312</v>
      </c>
      <c r="P7" s="69" t="s">
        <v>313</v>
      </c>
      <c r="Q7" s="70" t="s">
        <v>251</v>
      </c>
      <c r="R7" s="71" t="s">
        <v>314</v>
      </c>
      <c r="S7" s="72" t="s">
        <v>315</v>
      </c>
      <c r="T7" s="73" t="s">
        <v>316</v>
      </c>
      <c r="U7" s="87" t="s">
        <v>258</v>
      </c>
      <c r="V7" s="74"/>
      <c r="W7" s="75" t="s">
        <v>317</v>
      </c>
      <c r="X7" s="76" t="s">
        <v>318</v>
      </c>
      <c r="Y7" s="85" t="s">
        <v>258</v>
      </c>
      <c r="Z7" s="78" t="s">
        <v>319</v>
      </c>
      <c r="AA7" s="86" t="s">
        <v>320</v>
      </c>
      <c r="AB7" s="87" t="s">
        <v>258</v>
      </c>
      <c r="AC7" s="75" t="s">
        <v>258</v>
      </c>
      <c r="AD7" s="82"/>
      <c r="AE7" s="82"/>
    </row>
    <row r="8" ht="111.75" customHeight="1">
      <c r="A8" s="63" t="s">
        <v>321</v>
      </c>
      <c r="B8" s="63" t="s">
        <v>241</v>
      </c>
      <c r="C8" s="64" t="s">
        <v>322</v>
      </c>
      <c r="D8" s="63" t="s">
        <v>323</v>
      </c>
      <c r="E8" s="89" t="s">
        <v>324</v>
      </c>
      <c r="F8" s="89" t="s">
        <v>325</v>
      </c>
      <c r="G8" s="84" t="s">
        <v>246</v>
      </c>
      <c r="H8" s="88" t="s">
        <v>247</v>
      </c>
      <c r="I8" s="88" t="s">
        <v>247</v>
      </c>
      <c r="J8" s="88" t="s">
        <v>247</v>
      </c>
      <c r="K8" s="88" t="s">
        <v>247</v>
      </c>
      <c r="L8" s="88" t="s">
        <v>248</v>
      </c>
      <c r="M8" s="88" t="s">
        <v>248</v>
      </c>
      <c r="N8" s="68" t="s">
        <v>248</v>
      </c>
      <c r="O8" s="69" t="s">
        <v>326</v>
      </c>
      <c r="P8" s="69" t="s">
        <v>268</v>
      </c>
      <c r="Q8" s="70" t="s">
        <v>251</v>
      </c>
      <c r="R8" s="71" t="s">
        <v>327</v>
      </c>
      <c r="S8" s="77" t="s">
        <v>258</v>
      </c>
      <c r="T8" s="73" t="s">
        <v>328</v>
      </c>
      <c r="U8" s="87" t="s">
        <v>258</v>
      </c>
      <c r="V8" s="74"/>
      <c r="W8" s="75" t="s">
        <v>329</v>
      </c>
      <c r="X8" s="76" t="s">
        <v>330</v>
      </c>
      <c r="Y8" s="85" t="s">
        <v>258</v>
      </c>
      <c r="Z8" s="90" t="s">
        <v>319</v>
      </c>
      <c r="AA8" s="86" t="s">
        <v>331</v>
      </c>
      <c r="AB8" s="87" t="s">
        <v>332</v>
      </c>
      <c r="AC8" s="75" t="s">
        <v>258</v>
      </c>
      <c r="AD8" s="82"/>
      <c r="AE8" s="82"/>
    </row>
    <row r="9">
      <c r="A9" s="63" t="s">
        <v>333</v>
      </c>
      <c r="B9" s="63" t="s">
        <v>241</v>
      </c>
      <c r="C9" s="64" t="s">
        <v>334</v>
      </c>
      <c r="D9" s="63" t="s">
        <v>335</v>
      </c>
      <c r="E9" s="83" t="s">
        <v>336</v>
      </c>
      <c r="F9" s="83" t="s">
        <v>337</v>
      </c>
      <c r="G9" s="84" t="s">
        <v>246</v>
      </c>
      <c r="H9" s="67" t="s">
        <v>247</v>
      </c>
      <c r="I9" s="67" t="s">
        <v>247</v>
      </c>
      <c r="J9" s="67" t="s">
        <v>247</v>
      </c>
      <c r="K9" s="67" t="s">
        <v>247</v>
      </c>
      <c r="L9" s="67" t="s">
        <v>248</v>
      </c>
      <c r="M9" s="67" t="s">
        <v>248</v>
      </c>
      <c r="N9" s="68" t="s">
        <v>248</v>
      </c>
      <c r="O9" s="91" t="s">
        <v>338</v>
      </c>
      <c r="P9" s="69" t="s">
        <v>268</v>
      </c>
      <c r="Q9" s="70" t="s">
        <v>251</v>
      </c>
      <c r="R9" s="71" t="s">
        <v>339</v>
      </c>
      <c r="S9" s="77" t="s">
        <v>258</v>
      </c>
      <c r="T9" s="73" t="s">
        <v>340</v>
      </c>
      <c r="U9" s="87" t="s">
        <v>258</v>
      </c>
      <c r="V9" s="74"/>
      <c r="W9" s="75" t="s">
        <v>341</v>
      </c>
      <c r="X9" s="76" t="s">
        <v>342</v>
      </c>
      <c r="Y9" s="92" t="s">
        <v>343</v>
      </c>
      <c r="Z9" s="90" t="s">
        <v>344</v>
      </c>
      <c r="AA9" s="86" t="s">
        <v>320</v>
      </c>
      <c r="AB9" s="87" t="s">
        <v>345</v>
      </c>
      <c r="AC9" s="75" t="s">
        <v>258</v>
      </c>
      <c r="AD9" s="82"/>
      <c r="AE9" s="82"/>
    </row>
    <row r="10">
      <c r="A10" s="63" t="s">
        <v>346</v>
      </c>
      <c r="B10" s="63" t="s">
        <v>241</v>
      </c>
      <c r="C10" s="63" t="s">
        <v>347</v>
      </c>
      <c r="D10" s="63" t="s">
        <v>348</v>
      </c>
      <c r="E10" s="83" t="s">
        <v>349</v>
      </c>
      <c r="F10" s="83" t="s">
        <v>350</v>
      </c>
      <c r="G10" s="84" t="s">
        <v>246</v>
      </c>
      <c r="H10" s="67" t="s">
        <v>247</v>
      </c>
      <c r="I10" s="67" t="s">
        <v>247</v>
      </c>
      <c r="J10" s="67" t="s">
        <v>247</v>
      </c>
      <c r="K10" s="67" t="s">
        <v>247</v>
      </c>
      <c r="L10" s="67" t="s">
        <v>248</v>
      </c>
      <c r="M10" s="67" t="s">
        <v>248</v>
      </c>
      <c r="N10" s="68" t="s">
        <v>248</v>
      </c>
      <c r="O10" s="69" t="s">
        <v>351</v>
      </c>
      <c r="P10" s="69" t="s">
        <v>268</v>
      </c>
      <c r="Q10" s="70" t="s">
        <v>251</v>
      </c>
      <c r="R10" s="71" t="s">
        <v>352</v>
      </c>
      <c r="S10" s="77" t="s">
        <v>258</v>
      </c>
      <c r="T10" s="73" t="s">
        <v>353</v>
      </c>
      <c r="U10" s="73" t="s">
        <v>354</v>
      </c>
      <c r="V10" s="74"/>
      <c r="W10" s="93" t="s">
        <v>355</v>
      </c>
      <c r="X10" s="76" t="s">
        <v>356</v>
      </c>
      <c r="Y10" s="85" t="s">
        <v>357</v>
      </c>
      <c r="Z10" s="78" t="s">
        <v>358</v>
      </c>
      <c r="AA10" s="86" t="s">
        <v>359</v>
      </c>
      <c r="AB10" s="87" t="s">
        <v>360</v>
      </c>
      <c r="AC10" s="75" t="s">
        <v>258</v>
      </c>
      <c r="AD10" s="82"/>
      <c r="AE10" s="82"/>
    </row>
    <row r="11">
      <c r="A11" s="63" t="s">
        <v>361</v>
      </c>
      <c r="B11" s="63" t="s">
        <v>241</v>
      </c>
      <c r="C11" s="63" t="s">
        <v>362</v>
      </c>
      <c r="D11" s="63" t="s">
        <v>363</v>
      </c>
      <c r="E11" s="83" t="s">
        <v>364</v>
      </c>
      <c r="F11" s="83" t="s">
        <v>365</v>
      </c>
      <c r="G11" s="84" t="s">
        <v>246</v>
      </c>
      <c r="H11" s="67" t="s">
        <v>247</v>
      </c>
      <c r="I11" s="67" t="s">
        <v>247</v>
      </c>
      <c r="J11" s="67" t="s">
        <v>247</v>
      </c>
      <c r="K11" s="67" t="s">
        <v>247</v>
      </c>
      <c r="L11" s="67" t="s">
        <v>248</v>
      </c>
      <c r="M11" s="67" t="s">
        <v>248</v>
      </c>
      <c r="N11" s="68" t="s">
        <v>248</v>
      </c>
      <c r="O11" s="69" t="s">
        <v>366</v>
      </c>
      <c r="P11" s="69" t="s">
        <v>283</v>
      </c>
      <c r="Q11" s="70" t="s">
        <v>251</v>
      </c>
      <c r="R11" s="71" t="s">
        <v>367</v>
      </c>
      <c r="S11" s="77" t="s">
        <v>258</v>
      </c>
      <c r="T11" s="73" t="s">
        <v>368</v>
      </c>
      <c r="U11" s="73" t="s">
        <v>369</v>
      </c>
      <c r="V11" s="74"/>
      <c r="W11" s="75" t="s">
        <v>370</v>
      </c>
      <c r="X11" s="76" t="s">
        <v>371</v>
      </c>
      <c r="Y11" s="85" t="s">
        <v>258</v>
      </c>
      <c r="Z11" s="90" t="s">
        <v>372</v>
      </c>
      <c r="AA11" s="86" t="s">
        <v>373</v>
      </c>
      <c r="AB11" s="87" t="s">
        <v>258</v>
      </c>
      <c r="AC11" s="75" t="s">
        <v>258</v>
      </c>
      <c r="AD11" s="82"/>
      <c r="AE11" s="82"/>
    </row>
    <row r="12">
      <c r="A12" s="63" t="s">
        <v>374</v>
      </c>
      <c r="B12" s="63" t="s">
        <v>241</v>
      </c>
      <c r="C12" s="64" t="s">
        <v>375</v>
      </c>
      <c r="D12" s="63" t="s">
        <v>376</v>
      </c>
      <c r="E12" s="65" t="s">
        <v>377</v>
      </c>
      <c r="F12" s="65" t="s">
        <v>378</v>
      </c>
      <c r="G12" s="84" t="s">
        <v>246</v>
      </c>
      <c r="H12" s="67" t="s">
        <v>247</v>
      </c>
      <c r="I12" s="67" t="s">
        <v>247</v>
      </c>
      <c r="J12" s="67" t="s">
        <v>247</v>
      </c>
      <c r="K12" s="67" t="s">
        <v>247</v>
      </c>
      <c r="L12" s="67" t="s">
        <v>248</v>
      </c>
      <c r="M12" s="67" t="s">
        <v>248</v>
      </c>
      <c r="N12" s="68" t="s">
        <v>248</v>
      </c>
      <c r="O12" s="69" t="s">
        <v>379</v>
      </c>
      <c r="P12" s="69" t="s">
        <v>268</v>
      </c>
      <c r="Q12" s="70" t="s">
        <v>251</v>
      </c>
      <c r="R12" s="71" t="s">
        <v>380</v>
      </c>
      <c r="S12" s="77" t="s">
        <v>258</v>
      </c>
      <c r="T12" s="73" t="s">
        <v>381</v>
      </c>
      <c r="U12" s="73" t="s">
        <v>382</v>
      </c>
      <c r="V12" s="74"/>
      <c r="W12" s="75" t="s">
        <v>383</v>
      </c>
      <c r="X12" s="76" t="s">
        <v>384</v>
      </c>
      <c r="Y12" s="85" t="s">
        <v>258</v>
      </c>
      <c r="Z12" s="90" t="s">
        <v>385</v>
      </c>
      <c r="AA12" s="86" t="s">
        <v>386</v>
      </c>
      <c r="AB12" s="87" t="s">
        <v>387</v>
      </c>
      <c r="AC12" s="71" t="s">
        <v>388</v>
      </c>
      <c r="AD12" s="82"/>
      <c r="AE12" s="82"/>
    </row>
    <row r="13">
      <c r="A13" s="63" t="s">
        <v>389</v>
      </c>
      <c r="B13" s="63" t="s">
        <v>241</v>
      </c>
      <c r="C13" s="63" t="s">
        <v>390</v>
      </c>
      <c r="D13" s="63" t="s">
        <v>391</v>
      </c>
      <c r="E13" s="65" t="s">
        <v>392</v>
      </c>
      <c r="F13" s="65" t="s">
        <v>393</v>
      </c>
      <c r="G13" s="84" t="s">
        <v>394</v>
      </c>
      <c r="H13" s="67" t="s">
        <v>247</v>
      </c>
      <c r="I13" s="67" t="s">
        <v>247</v>
      </c>
      <c r="J13" s="67" t="s">
        <v>247</v>
      </c>
      <c r="K13" s="67" t="s">
        <v>247</v>
      </c>
      <c r="L13" s="67" t="s">
        <v>248</v>
      </c>
      <c r="M13" s="67" t="s">
        <v>248</v>
      </c>
      <c r="N13" s="68" t="s">
        <v>248</v>
      </c>
      <c r="O13" s="69" t="s">
        <v>395</v>
      </c>
      <c r="P13" s="69" t="s">
        <v>268</v>
      </c>
      <c r="Q13" s="70" t="s">
        <v>396</v>
      </c>
      <c r="R13" s="71" t="s">
        <v>397</v>
      </c>
      <c r="S13" s="72" t="s">
        <v>398</v>
      </c>
      <c r="T13" s="73" t="s">
        <v>399</v>
      </c>
      <c r="U13" s="73" t="s">
        <v>400</v>
      </c>
      <c r="V13" s="74"/>
      <c r="W13" s="75" t="s">
        <v>401</v>
      </c>
      <c r="X13" s="76"/>
      <c r="Y13" s="85" t="s">
        <v>402</v>
      </c>
      <c r="Z13" s="78" t="s">
        <v>403</v>
      </c>
      <c r="AA13" s="86" t="s">
        <v>404</v>
      </c>
      <c r="AB13" s="87" t="s">
        <v>405</v>
      </c>
      <c r="AC13" s="75" t="s">
        <v>258</v>
      </c>
      <c r="AD13" s="82"/>
      <c r="AE13" s="82"/>
    </row>
    <row r="14">
      <c r="A14" s="63" t="s">
        <v>406</v>
      </c>
      <c r="B14" s="63" t="s">
        <v>241</v>
      </c>
      <c r="C14" s="64" t="s">
        <v>407</v>
      </c>
      <c r="D14" s="94" t="s">
        <v>408</v>
      </c>
      <c r="E14" s="83" t="s">
        <v>409</v>
      </c>
      <c r="F14" s="83" t="s">
        <v>410</v>
      </c>
      <c r="G14" s="84" t="s">
        <v>246</v>
      </c>
      <c r="H14" s="67" t="s">
        <v>247</v>
      </c>
      <c r="I14" s="67" t="s">
        <v>248</v>
      </c>
      <c r="J14" s="67" t="s">
        <v>248</v>
      </c>
      <c r="K14" s="67" t="s">
        <v>248</v>
      </c>
      <c r="L14" s="67" t="s">
        <v>248</v>
      </c>
      <c r="M14" s="67" t="s">
        <v>248</v>
      </c>
      <c r="N14" s="68" t="s">
        <v>248</v>
      </c>
      <c r="O14" s="69" t="s">
        <v>411</v>
      </c>
      <c r="P14" s="69" t="s">
        <v>268</v>
      </c>
      <c r="Q14" s="70" t="s">
        <v>396</v>
      </c>
      <c r="R14" s="75" t="s">
        <v>258</v>
      </c>
      <c r="S14" s="72" t="s">
        <v>412</v>
      </c>
      <c r="T14" s="87" t="s">
        <v>258</v>
      </c>
      <c r="U14" s="73" t="s">
        <v>413</v>
      </c>
      <c r="V14" s="74"/>
      <c r="W14" s="75" t="s">
        <v>414</v>
      </c>
      <c r="X14" s="76" t="s">
        <v>415</v>
      </c>
      <c r="Y14" s="85" t="s">
        <v>258</v>
      </c>
      <c r="Z14" s="95" t="s">
        <v>258</v>
      </c>
      <c r="AA14" s="86" t="s">
        <v>416</v>
      </c>
      <c r="AB14" s="87" t="s">
        <v>417</v>
      </c>
      <c r="AC14" s="75" t="s">
        <v>258</v>
      </c>
      <c r="AD14" s="82"/>
      <c r="AE14" s="82"/>
    </row>
    <row r="15">
      <c r="A15" s="63" t="s">
        <v>418</v>
      </c>
      <c r="B15" s="63" t="s">
        <v>241</v>
      </c>
      <c r="C15" s="64" t="s">
        <v>419</v>
      </c>
      <c r="D15" s="63" t="s">
        <v>420</v>
      </c>
      <c r="E15" s="83" t="s">
        <v>421</v>
      </c>
      <c r="F15" s="83" t="s">
        <v>422</v>
      </c>
      <c r="G15" s="84" t="s">
        <v>246</v>
      </c>
      <c r="H15" s="67" t="s">
        <v>247</v>
      </c>
      <c r="I15" s="67" t="s">
        <v>248</v>
      </c>
      <c r="J15" s="88" t="s">
        <v>248</v>
      </c>
      <c r="K15" s="88" t="s">
        <v>248</v>
      </c>
      <c r="L15" s="67" t="s">
        <v>248</v>
      </c>
      <c r="M15" s="67" t="s">
        <v>248</v>
      </c>
      <c r="N15" s="68" t="s">
        <v>248</v>
      </c>
      <c r="O15" s="69" t="s">
        <v>423</v>
      </c>
      <c r="P15" s="69" t="s">
        <v>268</v>
      </c>
      <c r="Q15" s="70" t="s">
        <v>396</v>
      </c>
      <c r="R15" s="71" t="s">
        <v>424</v>
      </c>
      <c r="S15" s="72" t="s">
        <v>425</v>
      </c>
      <c r="T15" s="87" t="s">
        <v>258</v>
      </c>
      <c r="U15" s="73" t="s">
        <v>426</v>
      </c>
      <c r="V15" s="74"/>
      <c r="W15" s="75" t="s">
        <v>427</v>
      </c>
      <c r="X15" s="76" t="s">
        <v>428</v>
      </c>
      <c r="Y15" s="85" t="s">
        <v>429</v>
      </c>
      <c r="Z15" s="95" t="s">
        <v>258</v>
      </c>
      <c r="AA15" s="86" t="s">
        <v>430</v>
      </c>
      <c r="AB15" s="87" t="s">
        <v>431</v>
      </c>
      <c r="AC15" s="75" t="s">
        <v>258</v>
      </c>
      <c r="AD15" s="82"/>
      <c r="AE15" s="82"/>
    </row>
    <row r="16">
      <c r="A16" s="63" t="s">
        <v>432</v>
      </c>
      <c r="B16" s="63" t="s">
        <v>241</v>
      </c>
      <c r="C16" s="64" t="s">
        <v>433</v>
      </c>
      <c r="D16" s="63" t="s">
        <v>434</v>
      </c>
      <c r="E16" s="83" t="s">
        <v>435</v>
      </c>
      <c r="F16" s="83" t="s">
        <v>436</v>
      </c>
      <c r="G16" s="84" t="s">
        <v>246</v>
      </c>
      <c r="H16" s="88" t="s">
        <v>247</v>
      </c>
      <c r="I16" s="88" t="s">
        <v>248</v>
      </c>
      <c r="J16" s="88" t="s">
        <v>248</v>
      </c>
      <c r="K16" s="88" t="s">
        <v>248</v>
      </c>
      <c r="L16" s="88" t="s">
        <v>248</v>
      </c>
      <c r="M16" s="88" t="s">
        <v>248</v>
      </c>
      <c r="N16" s="68" t="s">
        <v>248</v>
      </c>
      <c r="O16" s="69" t="s">
        <v>437</v>
      </c>
      <c r="P16" s="69" t="s">
        <v>268</v>
      </c>
      <c r="Q16" s="70" t="s">
        <v>396</v>
      </c>
      <c r="R16" s="71" t="s">
        <v>438</v>
      </c>
      <c r="S16" s="77" t="s">
        <v>258</v>
      </c>
      <c r="T16" s="73" t="s">
        <v>439</v>
      </c>
      <c r="U16" s="73" t="s">
        <v>440</v>
      </c>
      <c r="V16" s="74"/>
      <c r="W16" s="75" t="s">
        <v>441</v>
      </c>
      <c r="X16" s="76" t="s">
        <v>442</v>
      </c>
      <c r="Y16" s="85" t="s">
        <v>429</v>
      </c>
      <c r="Z16" s="90" t="s">
        <v>443</v>
      </c>
      <c r="AA16" s="86" t="s">
        <v>430</v>
      </c>
      <c r="AB16" s="87" t="s">
        <v>444</v>
      </c>
      <c r="AC16" s="75" t="s">
        <v>258</v>
      </c>
      <c r="AD16" s="82"/>
      <c r="AE16" s="82"/>
    </row>
    <row r="17">
      <c r="A17" s="63" t="s">
        <v>445</v>
      </c>
      <c r="B17" s="63" t="s">
        <v>241</v>
      </c>
      <c r="C17" s="64" t="s">
        <v>446</v>
      </c>
      <c r="D17" s="63" t="s">
        <v>447</v>
      </c>
      <c r="E17" s="83" t="s">
        <v>448</v>
      </c>
      <c r="F17" s="83" t="s">
        <v>449</v>
      </c>
      <c r="G17" s="84" t="s">
        <v>246</v>
      </c>
      <c r="H17" s="88" t="s">
        <v>247</v>
      </c>
      <c r="I17" s="88" t="s">
        <v>248</v>
      </c>
      <c r="J17" s="88" t="s">
        <v>248</v>
      </c>
      <c r="K17" s="88" t="s">
        <v>248</v>
      </c>
      <c r="L17" s="88" t="s">
        <v>248</v>
      </c>
      <c r="M17" s="88" t="s">
        <v>248</v>
      </c>
      <c r="N17" s="68" t="s">
        <v>248</v>
      </c>
      <c r="O17" s="69" t="s">
        <v>450</v>
      </c>
      <c r="P17" s="69" t="s">
        <v>268</v>
      </c>
      <c r="Q17" s="70" t="s">
        <v>396</v>
      </c>
      <c r="R17" s="71" t="s">
        <v>451</v>
      </c>
      <c r="S17" s="72" t="s">
        <v>452</v>
      </c>
      <c r="T17" s="73" t="s">
        <v>453</v>
      </c>
      <c r="U17" s="73" t="s">
        <v>454</v>
      </c>
      <c r="V17" s="74"/>
      <c r="W17" s="75" t="s">
        <v>455</v>
      </c>
      <c r="X17" s="76" t="s">
        <v>456</v>
      </c>
      <c r="Y17" s="85" t="s">
        <v>258</v>
      </c>
      <c r="Z17" s="90" t="s">
        <v>457</v>
      </c>
      <c r="AA17" s="86" t="s">
        <v>458</v>
      </c>
      <c r="AB17" s="87" t="s">
        <v>459</v>
      </c>
      <c r="AC17" s="75" t="s">
        <v>258</v>
      </c>
      <c r="AD17" s="82"/>
      <c r="AE17" s="82"/>
    </row>
    <row r="18">
      <c r="A18" s="63" t="s">
        <v>460</v>
      </c>
      <c r="B18" s="63" t="s">
        <v>241</v>
      </c>
      <c r="C18" s="64" t="s">
        <v>461</v>
      </c>
      <c r="D18" s="96" t="s">
        <v>462</v>
      </c>
      <c r="E18" s="83" t="s">
        <v>463</v>
      </c>
      <c r="F18" s="83" t="s">
        <v>464</v>
      </c>
      <c r="G18" s="84" t="s">
        <v>246</v>
      </c>
      <c r="H18" s="67" t="s">
        <v>247</v>
      </c>
      <c r="I18" s="67" t="s">
        <v>247</v>
      </c>
      <c r="J18" s="67" t="s">
        <v>247</v>
      </c>
      <c r="K18" s="67" t="s">
        <v>247</v>
      </c>
      <c r="L18" s="67" t="s">
        <v>248</v>
      </c>
      <c r="M18" s="67" t="s">
        <v>248</v>
      </c>
      <c r="N18" s="68" t="s">
        <v>248</v>
      </c>
      <c r="O18" s="91" t="s">
        <v>465</v>
      </c>
      <c r="P18" s="69" t="s">
        <v>268</v>
      </c>
      <c r="Q18" s="70" t="s">
        <v>396</v>
      </c>
      <c r="R18" s="71" t="s">
        <v>466</v>
      </c>
      <c r="S18" s="77" t="s">
        <v>258</v>
      </c>
      <c r="T18" s="73" t="s">
        <v>467</v>
      </c>
      <c r="U18" s="73" t="s">
        <v>468</v>
      </c>
      <c r="V18" s="74"/>
      <c r="W18" s="75" t="s">
        <v>469</v>
      </c>
      <c r="X18" s="76" t="s">
        <v>470</v>
      </c>
      <c r="Y18" s="92" t="s">
        <v>429</v>
      </c>
      <c r="Z18" s="90" t="s">
        <v>471</v>
      </c>
      <c r="AA18" s="86" t="s">
        <v>472</v>
      </c>
      <c r="AB18" s="87" t="s">
        <v>473</v>
      </c>
      <c r="AC18" s="75" t="s">
        <v>258</v>
      </c>
      <c r="AD18" s="82"/>
      <c r="AE18" s="82"/>
    </row>
    <row r="19">
      <c r="A19" s="63" t="s">
        <v>474</v>
      </c>
      <c r="B19" s="63" t="s">
        <v>241</v>
      </c>
      <c r="C19" s="63" t="s">
        <v>475</v>
      </c>
      <c r="D19" s="63" t="s">
        <v>476</v>
      </c>
      <c r="E19" s="83" t="s">
        <v>295</v>
      </c>
      <c r="F19" s="83" t="s">
        <v>296</v>
      </c>
      <c r="G19" s="84" t="s">
        <v>246</v>
      </c>
      <c r="H19" s="67" t="s">
        <v>247</v>
      </c>
      <c r="I19" s="67" t="s">
        <v>247</v>
      </c>
      <c r="J19" s="67" t="s">
        <v>247</v>
      </c>
      <c r="K19" s="67" t="s">
        <v>247</v>
      </c>
      <c r="L19" s="67" t="s">
        <v>248</v>
      </c>
      <c r="M19" s="67" t="s">
        <v>248</v>
      </c>
      <c r="N19" s="68" t="s">
        <v>248</v>
      </c>
      <c r="O19" s="69" t="s">
        <v>477</v>
      </c>
      <c r="P19" s="69" t="s">
        <v>478</v>
      </c>
      <c r="Q19" s="70" t="s">
        <v>251</v>
      </c>
      <c r="R19" s="71" t="s">
        <v>479</v>
      </c>
      <c r="S19" s="77" t="s">
        <v>258</v>
      </c>
      <c r="T19" s="73" t="s">
        <v>480</v>
      </c>
      <c r="U19" s="73" t="s">
        <v>481</v>
      </c>
      <c r="V19" s="74"/>
      <c r="W19" s="75" t="s">
        <v>482</v>
      </c>
      <c r="X19" s="76" t="s">
        <v>483</v>
      </c>
      <c r="Y19" s="85" t="s">
        <v>258</v>
      </c>
      <c r="Z19" s="90" t="s">
        <v>484</v>
      </c>
      <c r="AA19" s="86" t="s">
        <v>258</v>
      </c>
      <c r="AB19" s="87" t="s">
        <v>306</v>
      </c>
      <c r="AC19" s="71" t="s">
        <v>485</v>
      </c>
      <c r="AD19" s="82"/>
      <c r="AE19" s="82"/>
    </row>
    <row r="20">
      <c r="A20" s="63" t="s">
        <v>486</v>
      </c>
      <c r="B20" s="63" t="s">
        <v>241</v>
      </c>
      <c r="C20" s="63" t="s">
        <v>487</v>
      </c>
      <c r="D20" s="63" t="s">
        <v>488</v>
      </c>
      <c r="E20" s="83" t="s">
        <v>295</v>
      </c>
      <c r="F20" s="83" t="s">
        <v>296</v>
      </c>
      <c r="G20" s="84" t="s">
        <v>246</v>
      </c>
      <c r="H20" s="88" t="s">
        <v>247</v>
      </c>
      <c r="I20" s="88" t="s">
        <v>248</v>
      </c>
      <c r="J20" s="88" t="s">
        <v>248</v>
      </c>
      <c r="K20" s="88" t="s">
        <v>248</v>
      </c>
      <c r="L20" s="88" t="s">
        <v>248</v>
      </c>
      <c r="M20" s="88" t="s">
        <v>248</v>
      </c>
      <c r="N20" s="68" t="s">
        <v>248</v>
      </c>
      <c r="O20" s="69" t="s">
        <v>489</v>
      </c>
      <c r="P20" s="69" t="s">
        <v>490</v>
      </c>
      <c r="Q20" s="70" t="s">
        <v>396</v>
      </c>
      <c r="R20" s="71" t="s">
        <v>491</v>
      </c>
      <c r="S20" s="77" t="s">
        <v>258</v>
      </c>
      <c r="T20" s="87" t="s">
        <v>258</v>
      </c>
      <c r="U20" s="73" t="s">
        <v>492</v>
      </c>
      <c r="V20" s="74"/>
      <c r="W20" s="75" t="s">
        <v>493</v>
      </c>
      <c r="X20" s="76" t="s">
        <v>494</v>
      </c>
      <c r="Y20" s="85" t="s">
        <v>258</v>
      </c>
      <c r="Z20" s="78" t="s">
        <v>495</v>
      </c>
      <c r="AA20" s="86" t="s">
        <v>258</v>
      </c>
      <c r="AB20" s="87" t="s">
        <v>306</v>
      </c>
      <c r="AC20" s="75" t="s">
        <v>258</v>
      </c>
      <c r="AD20" s="82"/>
      <c r="AE20" s="82"/>
    </row>
    <row r="21">
      <c r="A21" s="63" t="s">
        <v>496</v>
      </c>
      <c r="B21" s="63" t="s">
        <v>241</v>
      </c>
      <c r="C21" s="64" t="s">
        <v>497</v>
      </c>
      <c r="D21" s="63" t="s">
        <v>498</v>
      </c>
      <c r="E21" s="83" t="s">
        <v>499</v>
      </c>
      <c r="F21" s="83" t="s">
        <v>500</v>
      </c>
      <c r="G21" s="84" t="s">
        <v>246</v>
      </c>
      <c r="H21" s="67" t="s">
        <v>247</v>
      </c>
      <c r="I21" s="67" t="s">
        <v>247</v>
      </c>
      <c r="J21" s="67" t="s">
        <v>247</v>
      </c>
      <c r="K21" s="67" t="s">
        <v>247</v>
      </c>
      <c r="L21" s="67" t="s">
        <v>248</v>
      </c>
      <c r="M21" s="67" t="s">
        <v>248</v>
      </c>
      <c r="N21" s="68" t="s">
        <v>248</v>
      </c>
      <c r="O21" s="69" t="s">
        <v>501</v>
      </c>
      <c r="P21" s="69" t="s">
        <v>502</v>
      </c>
      <c r="Q21" s="70" t="s">
        <v>251</v>
      </c>
      <c r="R21" s="75" t="s">
        <v>258</v>
      </c>
      <c r="S21" s="77" t="s">
        <v>258</v>
      </c>
      <c r="T21" s="73" t="s">
        <v>503</v>
      </c>
      <c r="U21" s="73" t="s">
        <v>504</v>
      </c>
      <c r="V21" s="74"/>
      <c r="W21" s="75" t="s">
        <v>505</v>
      </c>
      <c r="X21" s="76" t="s">
        <v>506</v>
      </c>
      <c r="Y21" s="85" t="s">
        <v>258</v>
      </c>
      <c r="Z21" s="78" t="s">
        <v>507</v>
      </c>
      <c r="AA21" s="86" t="s">
        <v>508</v>
      </c>
      <c r="AB21" s="87" t="s">
        <v>509</v>
      </c>
      <c r="AC21" s="75" t="s">
        <v>258</v>
      </c>
      <c r="AD21" s="82"/>
      <c r="AE21" s="82"/>
    </row>
    <row r="22">
      <c r="A22" s="63" t="s">
        <v>510</v>
      </c>
      <c r="B22" s="63" t="s">
        <v>241</v>
      </c>
      <c r="C22" s="64" t="s">
        <v>511</v>
      </c>
      <c r="D22" s="63" t="s">
        <v>512</v>
      </c>
      <c r="E22" s="83" t="s">
        <v>513</v>
      </c>
      <c r="F22" s="83" t="s">
        <v>514</v>
      </c>
      <c r="G22" s="84" t="s">
        <v>246</v>
      </c>
      <c r="H22" s="67" t="s">
        <v>247</v>
      </c>
      <c r="I22" s="67" t="s">
        <v>247</v>
      </c>
      <c r="J22" s="67" t="s">
        <v>247</v>
      </c>
      <c r="K22" s="67" t="s">
        <v>247</v>
      </c>
      <c r="L22" s="67" t="s">
        <v>247</v>
      </c>
      <c r="M22" s="67" t="s">
        <v>247</v>
      </c>
      <c r="N22" s="68" t="s">
        <v>248</v>
      </c>
      <c r="O22" s="69" t="s">
        <v>515</v>
      </c>
      <c r="P22" s="69" t="s">
        <v>502</v>
      </c>
      <c r="Q22" s="70" t="s">
        <v>251</v>
      </c>
      <c r="R22" s="75" t="s">
        <v>258</v>
      </c>
      <c r="S22" s="77" t="s">
        <v>258</v>
      </c>
      <c r="T22" s="73" t="s">
        <v>516</v>
      </c>
      <c r="U22" s="73" t="s">
        <v>517</v>
      </c>
      <c r="V22" s="74"/>
      <c r="W22" s="75" t="s">
        <v>518</v>
      </c>
      <c r="X22" s="76" t="s">
        <v>519</v>
      </c>
      <c r="Y22" s="85" t="s">
        <v>258</v>
      </c>
      <c r="Z22" s="78" t="s">
        <v>520</v>
      </c>
      <c r="AA22" s="86" t="s">
        <v>521</v>
      </c>
      <c r="AB22" s="87" t="s">
        <v>258</v>
      </c>
      <c r="AC22" s="75" t="s">
        <v>258</v>
      </c>
      <c r="AD22" s="82"/>
      <c r="AE22" s="82"/>
    </row>
    <row r="23">
      <c r="A23" s="97" t="s">
        <v>522</v>
      </c>
      <c r="B23" s="97" t="s">
        <v>523</v>
      </c>
      <c r="C23" s="98" t="s">
        <v>524</v>
      </c>
      <c r="D23" s="63" t="s">
        <v>525</v>
      </c>
      <c r="E23" s="83" t="s">
        <v>526</v>
      </c>
      <c r="F23" s="83" t="s">
        <v>527</v>
      </c>
      <c r="G23" s="84" t="s">
        <v>246</v>
      </c>
      <c r="H23" s="67" t="s">
        <v>247</v>
      </c>
      <c r="I23" s="67" t="s">
        <v>248</v>
      </c>
      <c r="J23" s="67" t="s">
        <v>248</v>
      </c>
      <c r="K23" s="67" t="s">
        <v>248</v>
      </c>
      <c r="L23" s="67" t="s">
        <v>248</v>
      </c>
      <c r="M23" s="67" t="s">
        <v>248</v>
      </c>
      <c r="N23" s="68" t="s">
        <v>248</v>
      </c>
      <c r="O23" s="69" t="s">
        <v>528</v>
      </c>
      <c r="P23" s="69" t="s">
        <v>529</v>
      </c>
      <c r="Q23" s="70" t="s">
        <v>396</v>
      </c>
      <c r="R23" s="75" t="s">
        <v>258</v>
      </c>
      <c r="S23" s="77" t="s">
        <v>258</v>
      </c>
      <c r="T23" s="73" t="s">
        <v>530</v>
      </c>
      <c r="U23" s="99" t="s">
        <v>531</v>
      </c>
      <c r="V23" s="100"/>
      <c r="W23" s="75" t="s">
        <v>532</v>
      </c>
      <c r="X23" s="76" t="s">
        <v>533</v>
      </c>
      <c r="Y23" s="85" t="s">
        <v>258</v>
      </c>
      <c r="Z23" s="90" t="s">
        <v>534</v>
      </c>
      <c r="AA23" s="86" t="s">
        <v>535</v>
      </c>
      <c r="AB23" s="87" t="s">
        <v>387</v>
      </c>
      <c r="AC23" s="75" t="s">
        <v>258</v>
      </c>
      <c r="AD23" s="82"/>
      <c r="AE23" s="82"/>
    </row>
    <row r="24">
      <c r="A24" s="97" t="s">
        <v>536</v>
      </c>
      <c r="B24" s="97" t="s">
        <v>523</v>
      </c>
      <c r="C24" s="98" t="s">
        <v>537</v>
      </c>
      <c r="D24" s="63" t="s">
        <v>538</v>
      </c>
      <c r="E24" s="83" t="s">
        <v>539</v>
      </c>
      <c r="F24" s="83" t="s">
        <v>540</v>
      </c>
      <c r="G24" s="84" t="s">
        <v>246</v>
      </c>
      <c r="H24" s="67" t="s">
        <v>247</v>
      </c>
      <c r="I24" s="67" t="s">
        <v>248</v>
      </c>
      <c r="J24" s="67" t="s">
        <v>247</v>
      </c>
      <c r="K24" s="67" t="s">
        <v>247</v>
      </c>
      <c r="L24" s="67" t="s">
        <v>248</v>
      </c>
      <c r="M24" s="67" t="s">
        <v>248</v>
      </c>
      <c r="N24" s="68" t="s">
        <v>248</v>
      </c>
      <c r="O24" s="69" t="s">
        <v>541</v>
      </c>
      <c r="P24" s="69" t="s">
        <v>529</v>
      </c>
      <c r="Q24" s="70" t="s">
        <v>396</v>
      </c>
      <c r="R24" s="75" t="s">
        <v>258</v>
      </c>
      <c r="S24" s="77" t="s">
        <v>258</v>
      </c>
      <c r="T24" s="87" t="s">
        <v>258</v>
      </c>
      <c r="U24" s="73" t="s">
        <v>542</v>
      </c>
      <c r="V24" s="74"/>
      <c r="W24" s="75" t="s">
        <v>532</v>
      </c>
      <c r="X24" s="76" t="s">
        <v>543</v>
      </c>
      <c r="Y24" s="85" t="s">
        <v>258</v>
      </c>
      <c r="Z24" s="78" t="s">
        <v>544</v>
      </c>
      <c r="AA24" s="86" t="s">
        <v>545</v>
      </c>
      <c r="AB24" s="87" t="s">
        <v>546</v>
      </c>
      <c r="AC24" s="71" t="s">
        <v>547</v>
      </c>
      <c r="AD24" s="82"/>
      <c r="AE24" s="82"/>
    </row>
    <row r="25">
      <c r="A25" s="97" t="s">
        <v>548</v>
      </c>
      <c r="B25" s="97" t="s">
        <v>523</v>
      </c>
      <c r="C25" s="98" t="s">
        <v>549</v>
      </c>
      <c r="D25" s="63" t="s">
        <v>550</v>
      </c>
      <c r="E25" s="83" t="s">
        <v>551</v>
      </c>
      <c r="F25" s="83" t="s">
        <v>552</v>
      </c>
      <c r="G25" s="84" t="s">
        <v>246</v>
      </c>
      <c r="H25" s="88" t="s">
        <v>247</v>
      </c>
      <c r="I25" s="88" t="s">
        <v>248</v>
      </c>
      <c r="J25" s="88" t="s">
        <v>247</v>
      </c>
      <c r="K25" s="88" t="s">
        <v>247</v>
      </c>
      <c r="L25" s="88" t="s">
        <v>248</v>
      </c>
      <c r="M25" s="88" t="s">
        <v>248</v>
      </c>
      <c r="N25" s="68" t="s">
        <v>248</v>
      </c>
      <c r="O25" s="91" t="s">
        <v>553</v>
      </c>
      <c r="P25" s="69" t="s">
        <v>554</v>
      </c>
      <c r="Q25" s="70" t="s">
        <v>396</v>
      </c>
      <c r="R25" s="75" t="s">
        <v>258</v>
      </c>
      <c r="S25" s="77" t="s">
        <v>258</v>
      </c>
      <c r="T25" s="73" t="s">
        <v>555</v>
      </c>
      <c r="U25" s="73" t="s">
        <v>556</v>
      </c>
      <c r="V25" s="74"/>
      <c r="W25" s="75" t="s">
        <v>557</v>
      </c>
      <c r="X25" s="76" t="s">
        <v>558</v>
      </c>
      <c r="Y25" s="85" t="s">
        <v>559</v>
      </c>
      <c r="Z25" s="78" t="s">
        <v>560</v>
      </c>
      <c r="AA25" s="86" t="s">
        <v>561</v>
      </c>
      <c r="AB25" s="87" t="s">
        <v>562</v>
      </c>
      <c r="AC25" s="75" t="s">
        <v>258</v>
      </c>
      <c r="AD25" s="82"/>
      <c r="AE25" s="82"/>
    </row>
    <row r="26">
      <c r="A26" s="97" t="s">
        <v>563</v>
      </c>
      <c r="B26" s="97" t="s">
        <v>523</v>
      </c>
      <c r="C26" s="98" t="s">
        <v>564</v>
      </c>
      <c r="D26" s="101" t="s">
        <v>565</v>
      </c>
      <c r="E26" s="83" t="s">
        <v>566</v>
      </c>
      <c r="F26" s="83" t="s">
        <v>567</v>
      </c>
      <c r="G26" s="84" t="s">
        <v>246</v>
      </c>
      <c r="H26" s="88" t="s">
        <v>247</v>
      </c>
      <c r="I26" s="88" t="s">
        <v>248</v>
      </c>
      <c r="J26" s="88" t="s">
        <v>248</v>
      </c>
      <c r="K26" s="88" t="s">
        <v>247</v>
      </c>
      <c r="L26" s="88" t="s">
        <v>248</v>
      </c>
      <c r="M26" s="88" t="s">
        <v>248</v>
      </c>
      <c r="N26" s="68" t="s">
        <v>248</v>
      </c>
      <c r="O26" s="69" t="s">
        <v>568</v>
      </c>
      <c r="P26" s="69" t="s">
        <v>569</v>
      </c>
      <c r="Q26" s="70" t="s">
        <v>251</v>
      </c>
      <c r="R26" s="71" t="s">
        <v>570</v>
      </c>
      <c r="S26" s="77" t="s">
        <v>258</v>
      </c>
      <c r="T26" s="87" t="s">
        <v>258</v>
      </c>
      <c r="U26" s="87" t="s">
        <v>258</v>
      </c>
      <c r="V26" s="74"/>
      <c r="W26" s="75" t="s">
        <v>571</v>
      </c>
      <c r="X26" s="76" t="s">
        <v>572</v>
      </c>
      <c r="Y26" s="85" t="s">
        <v>573</v>
      </c>
      <c r="Z26" s="78" t="s">
        <v>574</v>
      </c>
      <c r="AA26" s="86" t="s">
        <v>575</v>
      </c>
      <c r="AB26" s="87" t="s">
        <v>576</v>
      </c>
      <c r="AC26" s="71" t="s">
        <v>577</v>
      </c>
      <c r="AD26" s="82"/>
      <c r="AE26" s="82"/>
    </row>
    <row r="27">
      <c r="A27" s="63" t="s">
        <v>578</v>
      </c>
      <c r="B27" s="102" t="s">
        <v>523</v>
      </c>
      <c r="C27" s="64" t="s">
        <v>579</v>
      </c>
      <c r="D27" s="63" t="s">
        <v>580</v>
      </c>
      <c r="E27" s="83" t="s">
        <v>581</v>
      </c>
      <c r="F27" s="83" t="s">
        <v>582</v>
      </c>
      <c r="G27" s="84" t="s">
        <v>246</v>
      </c>
      <c r="H27" s="67" t="s">
        <v>247</v>
      </c>
      <c r="I27" s="67" t="s">
        <v>248</v>
      </c>
      <c r="J27" s="67" t="s">
        <v>247</v>
      </c>
      <c r="K27" s="67" t="s">
        <v>247</v>
      </c>
      <c r="L27" s="67" t="s">
        <v>248</v>
      </c>
      <c r="M27" s="67" t="s">
        <v>248</v>
      </c>
      <c r="N27" s="68" t="s">
        <v>248</v>
      </c>
      <c r="O27" s="69" t="s">
        <v>583</v>
      </c>
      <c r="P27" s="69" t="s">
        <v>584</v>
      </c>
      <c r="Q27" s="70" t="s">
        <v>396</v>
      </c>
      <c r="R27" s="75" t="s">
        <v>258</v>
      </c>
      <c r="S27" s="77" t="s">
        <v>258</v>
      </c>
      <c r="T27" s="73" t="s">
        <v>585</v>
      </c>
      <c r="U27" s="73" t="s">
        <v>586</v>
      </c>
      <c r="V27" s="74"/>
      <c r="W27" s="75" t="s">
        <v>587</v>
      </c>
      <c r="X27" s="76" t="s">
        <v>588</v>
      </c>
      <c r="Y27" s="85" t="s">
        <v>429</v>
      </c>
      <c r="Z27" s="78" t="s">
        <v>589</v>
      </c>
      <c r="AA27" s="86" t="s">
        <v>590</v>
      </c>
      <c r="AB27" s="87" t="s">
        <v>591</v>
      </c>
      <c r="AC27" s="75" t="s">
        <v>258</v>
      </c>
      <c r="AD27" s="82"/>
      <c r="AE27" s="82"/>
    </row>
    <row r="28">
      <c r="A28" s="63" t="s">
        <v>592</v>
      </c>
      <c r="B28" s="102" t="s">
        <v>523</v>
      </c>
      <c r="C28" s="64" t="s">
        <v>593</v>
      </c>
      <c r="D28" s="63" t="s">
        <v>594</v>
      </c>
      <c r="E28" s="83" t="s">
        <v>595</v>
      </c>
      <c r="F28" s="83" t="s">
        <v>596</v>
      </c>
      <c r="G28" s="84" t="s">
        <v>246</v>
      </c>
      <c r="H28" s="67" t="s">
        <v>247</v>
      </c>
      <c r="I28" s="67" t="s">
        <v>248</v>
      </c>
      <c r="J28" s="67" t="s">
        <v>247</v>
      </c>
      <c r="K28" s="67" t="s">
        <v>247</v>
      </c>
      <c r="L28" s="67" t="s">
        <v>248</v>
      </c>
      <c r="M28" s="67" t="s">
        <v>247</v>
      </c>
      <c r="N28" s="68" t="s">
        <v>248</v>
      </c>
      <c r="O28" s="69" t="s">
        <v>597</v>
      </c>
      <c r="P28" s="69" t="s">
        <v>598</v>
      </c>
      <c r="Q28" s="70" t="s">
        <v>396</v>
      </c>
      <c r="R28" s="75" t="s">
        <v>258</v>
      </c>
      <c r="S28" s="77" t="s">
        <v>258</v>
      </c>
      <c r="T28" s="73" t="s">
        <v>599</v>
      </c>
      <c r="U28" s="87" t="s">
        <v>258</v>
      </c>
      <c r="V28" s="74"/>
      <c r="W28" s="75" t="s">
        <v>258</v>
      </c>
      <c r="X28" s="76" t="s">
        <v>600</v>
      </c>
      <c r="Y28" s="85" t="s">
        <v>258</v>
      </c>
      <c r="Z28" s="90" t="s">
        <v>601</v>
      </c>
      <c r="AA28" s="86" t="s">
        <v>602</v>
      </c>
      <c r="AB28" s="87" t="s">
        <v>258</v>
      </c>
      <c r="AC28" s="75" t="s">
        <v>258</v>
      </c>
      <c r="AD28" s="82"/>
      <c r="AE28" s="82"/>
    </row>
    <row r="29">
      <c r="A29" s="63" t="s">
        <v>603</v>
      </c>
      <c r="B29" s="102" t="s">
        <v>523</v>
      </c>
      <c r="C29" s="63" t="s">
        <v>604</v>
      </c>
      <c r="D29" s="103" t="s">
        <v>605</v>
      </c>
      <c r="E29" s="97" t="s">
        <v>606</v>
      </c>
      <c r="F29" s="97" t="s">
        <v>607</v>
      </c>
      <c r="G29" s="84" t="s">
        <v>394</v>
      </c>
      <c r="H29" s="67" t="s">
        <v>247</v>
      </c>
      <c r="I29" s="67" t="s">
        <v>247</v>
      </c>
      <c r="J29" s="67" t="s">
        <v>247</v>
      </c>
      <c r="K29" s="67" t="s">
        <v>247</v>
      </c>
      <c r="L29" s="104" t="s">
        <v>247</v>
      </c>
      <c r="M29" s="104" t="s">
        <v>247</v>
      </c>
      <c r="N29" s="68" t="s">
        <v>248</v>
      </c>
      <c r="O29" s="69" t="s">
        <v>608</v>
      </c>
      <c r="P29" s="69" t="s">
        <v>609</v>
      </c>
      <c r="Q29" s="70" t="s">
        <v>396</v>
      </c>
      <c r="R29" s="75" t="s">
        <v>258</v>
      </c>
      <c r="S29" s="77" t="s">
        <v>258</v>
      </c>
      <c r="T29" s="87" t="s">
        <v>258</v>
      </c>
      <c r="U29" s="87" t="s">
        <v>258</v>
      </c>
      <c r="V29" s="74"/>
      <c r="W29" s="75" t="s">
        <v>258</v>
      </c>
      <c r="X29" s="76"/>
      <c r="Y29" s="85" t="s">
        <v>258</v>
      </c>
      <c r="Z29" s="90" t="s">
        <v>610</v>
      </c>
      <c r="AA29" s="86" t="s">
        <v>611</v>
      </c>
      <c r="AB29" s="87" t="s">
        <v>258</v>
      </c>
      <c r="AC29" s="71" t="s">
        <v>612</v>
      </c>
      <c r="AD29" s="82"/>
      <c r="AE29" s="82"/>
    </row>
    <row r="30">
      <c r="A30" s="63" t="s">
        <v>613</v>
      </c>
      <c r="B30" s="63" t="s">
        <v>523</v>
      </c>
      <c r="C30" s="64" t="s">
        <v>614</v>
      </c>
      <c r="D30" s="63" t="s">
        <v>615</v>
      </c>
      <c r="E30" s="83" t="s">
        <v>616</v>
      </c>
      <c r="F30" s="83" t="s">
        <v>617</v>
      </c>
      <c r="G30" s="84" t="s">
        <v>246</v>
      </c>
      <c r="H30" s="67" t="s">
        <v>247</v>
      </c>
      <c r="I30" s="67" t="s">
        <v>248</v>
      </c>
      <c r="J30" s="67" t="s">
        <v>247</v>
      </c>
      <c r="K30" s="67" t="s">
        <v>248</v>
      </c>
      <c r="L30" s="67" t="s">
        <v>248</v>
      </c>
      <c r="M30" s="67" t="s">
        <v>247</v>
      </c>
      <c r="N30" s="68" t="s">
        <v>248</v>
      </c>
      <c r="O30" s="69" t="s">
        <v>618</v>
      </c>
      <c r="P30" s="69" t="s">
        <v>569</v>
      </c>
      <c r="Q30" s="70" t="s">
        <v>396</v>
      </c>
      <c r="R30" s="71" t="s">
        <v>619</v>
      </c>
      <c r="S30" s="72" t="s">
        <v>620</v>
      </c>
      <c r="T30" s="73" t="s">
        <v>621</v>
      </c>
      <c r="U30" s="73" t="s">
        <v>622</v>
      </c>
      <c r="V30" s="74"/>
      <c r="W30" s="75" t="s">
        <v>623</v>
      </c>
      <c r="X30" s="76" t="s">
        <v>624</v>
      </c>
      <c r="Y30" s="85" t="s">
        <v>559</v>
      </c>
      <c r="Z30" s="78" t="s">
        <v>625</v>
      </c>
      <c r="AA30" s="86" t="s">
        <v>626</v>
      </c>
      <c r="AB30" s="87" t="s">
        <v>627</v>
      </c>
      <c r="AC30" s="71" t="s">
        <v>577</v>
      </c>
      <c r="AD30" s="82"/>
      <c r="AE30" s="82"/>
    </row>
    <row r="31">
      <c r="A31" s="63" t="s">
        <v>628</v>
      </c>
      <c r="B31" s="63" t="s">
        <v>523</v>
      </c>
      <c r="C31" s="64" t="s">
        <v>629</v>
      </c>
      <c r="D31" s="63" t="s">
        <v>630</v>
      </c>
      <c r="E31" s="65" t="s">
        <v>631</v>
      </c>
      <c r="F31" s="65" t="s">
        <v>632</v>
      </c>
      <c r="G31" s="84" t="s">
        <v>246</v>
      </c>
      <c r="H31" s="67" t="s">
        <v>247</v>
      </c>
      <c r="I31" s="67" t="s">
        <v>247</v>
      </c>
      <c r="J31" s="67" t="s">
        <v>247</v>
      </c>
      <c r="K31" s="67" t="s">
        <v>247</v>
      </c>
      <c r="L31" s="67" t="s">
        <v>248</v>
      </c>
      <c r="M31" s="67" t="s">
        <v>248</v>
      </c>
      <c r="N31" s="68" t="s">
        <v>248</v>
      </c>
      <c r="O31" s="91" t="s">
        <v>633</v>
      </c>
      <c r="P31" s="69" t="s">
        <v>598</v>
      </c>
      <c r="Q31" s="70" t="s">
        <v>396</v>
      </c>
      <c r="R31" s="71" t="s">
        <v>634</v>
      </c>
      <c r="S31" s="77" t="s">
        <v>258</v>
      </c>
      <c r="T31" s="73" t="s">
        <v>635</v>
      </c>
      <c r="U31" s="73" t="s">
        <v>636</v>
      </c>
      <c r="V31" s="74"/>
      <c r="W31" s="75" t="s">
        <v>637</v>
      </c>
      <c r="X31" s="76" t="s">
        <v>638</v>
      </c>
      <c r="Y31" s="85" t="s">
        <v>639</v>
      </c>
      <c r="Z31" s="78" t="s">
        <v>640</v>
      </c>
      <c r="AA31" s="86" t="s">
        <v>641</v>
      </c>
      <c r="AB31" s="87" t="s">
        <v>642</v>
      </c>
      <c r="AC31" s="75" t="s">
        <v>258</v>
      </c>
      <c r="AD31" s="82"/>
      <c r="AE31" s="82"/>
    </row>
    <row r="32">
      <c r="A32" s="63" t="s">
        <v>643</v>
      </c>
      <c r="B32" s="63" t="s">
        <v>523</v>
      </c>
      <c r="C32" s="63" t="s">
        <v>644</v>
      </c>
      <c r="D32" s="98" t="s">
        <v>645</v>
      </c>
      <c r="E32" s="83" t="s">
        <v>646</v>
      </c>
      <c r="F32" s="83" t="s">
        <v>647</v>
      </c>
      <c r="G32" s="84" t="s">
        <v>246</v>
      </c>
      <c r="H32" s="67" t="s">
        <v>247</v>
      </c>
      <c r="I32" s="67" t="s">
        <v>248</v>
      </c>
      <c r="J32" s="67" t="s">
        <v>247</v>
      </c>
      <c r="K32" s="67" t="s">
        <v>247</v>
      </c>
      <c r="L32" s="67" t="s">
        <v>248</v>
      </c>
      <c r="M32" s="67" t="s">
        <v>247</v>
      </c>
      <c r="N32" s="68" t="s">
        <v>248</v>
      </c>
      <c r="O32" s="69" t="s">
        <v>648</v>
      </c>
      <c r="P32" s="69" t="s">
        <v>649</v>
      </c>
      <c r="Q32" s="70" t="s">
        <v>396</v>
      </c>
      <c r="R32" s="71" t="s">
        <v>650</v>
      </c>
      <c r="S32" s="72" t="s">
        <v>651</v>
      </c>
      <c r="T32" s="73" t="s">
        <v>652</v>
      </c>
      <c r="U32" s="73" t="s">
        <v>653</v>
      </c>
      <c r="V32" s="74"/>
      <c r="W32" s="75" t="s">
        <v>654</v>
      </c>
      <c r="X32" s="76" t="s">
        <v>655</v>
      </c>
      <c r="Y32" s="85" t="s">
        <v>656</v>
      </c>
      <c r="Z32" s="78" t="s">
        <v>657</v>
      </c>
      <c r="AA32" s="86" t="s">
        <v>658</v>
      </c>
      <c r="AB32" s="87" t="s">
        <v>659</v>
      </c>
      <c r="AC32" s="71" t="s">
        <v>577</v>
      </c>
      <c r="AD32" s="82"/>
      <c r="AE32" s="82"/>
    </row>
    <row r="33">
      <c r="A33" s="63" t="s">
        <v>660</v>
      </c>
      <c r="B33" s="63" t="s">
        <v>523</v>
      </c>
      <c r="C33" s="63" t="s">
        <v>661</v>
      </c>
      <c r="D33" s="63" t="s">
        <v>662</v>
      </c>
      <c r="E33" s="83" t="s">
        <v>663</v>
      </c>
      <c r="F33" s="83" t="s">
        <v>664</v>
      </c>
      <c r="G33" s="84" t="s">
        <v>246</v>
      </c>
      <c r="H33" s="88" t="s">
        <v>247</v>
      </c>
      <c r="I33" s="88" t="s">
        <v>247</v>
      </c>
      <c r="J33" s="88" t="s">
        <v>247</v>
      </c>
      <c r="K33" s="88" t="s">
        <v>247</v>
      </c>
      <c r="L33" s="88" t="s">
        <v>248</v>
      </c>
      <c r="M33" s="88" t="s">
        <v>248</v>
      </c>
      <c r="N33" s="68" t="s">
        <v>248</v>
      </c>
      <c r="O33" s="69" t="s">
        <v>665</v>
      </c>
      <c r="P33" s="69" t="s">
        <v>598</v>
      </c>
      <c r="Q33" s="70" t="s">
        <v>251</v>
      </c>
      <c r="R33" s="71" t="s">
        <v>666</v>
      </c>
      <c r="S33" s="72" t="s">
        <v>667</v>
      </c>
      <c r="T33" s="73" t="s">
        <v>668</v>
      </c>
      <c r="U33" s="87" t="s">
        <v>258</v>
      </c>
      <c r="V33" s="74"/>
      <c r="W33" s="75" t="s">
        <v>258</v>
      </c>
      <c r="X33" s="76" t="s">
        <v>669</v>
      </c>
      <c r="Y33" s="92" t="s">
        <v>656</v>
      </c>
      <c r="Z33" s="90" t="s">
        <v>670</v>
      </c>
      <c r="AA33" s="86" t="s">
        <v>575</v>
      </c>
      <c r="AB33" s="87" t="s">
        <v>671</v>
      </c>
      <c r="AC33" s="71" t="s">
        <v>577</v>
      </c>
      <c r="AD33" s="82"/>
      <c r="AE33" s="82"/>
    </row>
    <row r="34">
      <c r="A34" s="63" t="s">
        <v>672</v>
      </c>
      <c r="B34" s="105" t="s">
        <v>673</v>
      </c>
      <c r="C34" s="64" t="s">
        <v>674</v>
      </c>
      <c r="D34" s="63" t="s">
        <v>675</v>
      </c>
      <c r="E34" s="83" t="s">
        <v>676</v>
      </c>
      <c r="F34" s="83" t="s">
        <v>677</v>
      </c>
      <c r="G34" s="84" t="s">
        <v>246</v>
      </c>
      <c r="H34" s="67" t="s">
        <v>247</v>
      </c>
      <c r="I34" s="67" t="s">
        <v>248</v>
      </c>
      <c r="J34" s="67" t="s">
        <v>247</v>
      </c>
      <c r="K34" s="67" t="s">
        <v>247</v>
      </c>
      <c r="L34" s="67" t="s">
        <v>247</v>
      </c>
      <c r="M34" s="67" t="s">
        <v>247</v>
      </c>
      <c r="N34" s="68" t="s">
        <v>248</v>
      </c>
      <c r="O34" s="69" t="s">
        <v>678</v>
      </c>
      <c r="P34" s="69" t="s">
        <v>598</v>
      </c>
      <c r="Q34" s="70" t="s">
        <v>396</v>
      </c>
      <c r="R34" s="75" t="s">
        <v>258</v>
      </c>
      <c r="S34" s="77" t="s">
        <v>258</v>
      </c>
      <c r="T34" s="73" t="s">
        <v>679</v>
      </c>
      <c r="U34" s="73" t="s">
        <v>680</v>
      </c>
      <c r="V34" s="74"/>
      <c r="W34" s="75" t="s">
        <v>681</v>
      </c>
      <c r="X34" s="76" t="s">
        <v>682</v>
      </c>
      <c r="Y34" s="85" t="s">
        <v>258</v>
      </c>
      <c r="Z34" s="90" t="s">
        <v>683</v>
      </c>
      <c r="AA34" s="86" t="s">
        <v>684</v>
      </c>
      <c r="AB34" s="87" t="s">
        <v>685</v>
      </c>
      <c r="AC34" s="75" t="s">
        <v>258</v>
      </c>
      <c r="AD34" s="82"/>
      <c r="AE34" s="82"/>
    </row>
    <row r="35">
      <c r="A35" s="63" t="s">
        <v>686</v>
      </c>
      <c r="B35" s="105" t="s">
        <v>687</v>
      </c>
      <c r="C35" s="64" t="s">
        <v>688</v>
      </c>
      <c r="D35" s="63" t="s">
        <v>689</v>
      </c>
      <c r="E35" s="65" t="s">
        <v>690</v>
      </c>
      <c r="F35" s="65" t="s">
        <v>691</v>
      </c>
      <c r="G35" s="84" t="s">
        <v>246</v>
      </c>
      <c r="H35" s="67" t="s">
        <v>247</v>
      </c>
      <c r="I35" s="67" t="s">
        <v>248</v>
      </c>
      <c r="J35" s="67" t="s">
        <v>247</v>
      </c>
      <c r="K35" s="67" t="s">
        <v>247</v>
      </c>
      <c r="L35" s="67" t="s">
        <v>248</v>
      </c>
      <c r="M35" s="67" t="s">
        <v>248</v>
      </c>
      <c r="N35" s="68" t="s">
        <v>248</v>
      </c>
      <c r="O35" s="91" t="s">
        <v>553</v>
      </c>
      <c r="P35" s="69" t="s">
        <v>692</v>
      </c>
      <c r="Q35" s="70" t="s">
        <v>396</v>
      </c>
      <c r="R35" s="71" t="s">
        <v>693</v>
      </c>
      <c r="S35" s="72" t="s">
        <v>694</v>
      </c>
      <c r="T35" s="73" t="s">
        <v>695</v>
      </c>
      <c r="U35" s="73" t="s">
        <v>696</v>
      </c>
      <c r="V35" s="74"/>
      <c r="W35" s="75" t="s">
        <v>697</v>
      </c>
      <c r="X35" s="76" t="s">
        <v>698</v>
      </c>
      <c r="Y35" s="85" t="s">
        <v>639</v>
      </c>
      <c r="Z35" s="90" t="s">
        <v>699</v>
      </c>
      <c r="AA35" s="86" t="s">
        <v>700</v>
      </c>
      <c r="AB35" s="87" t="s">
        <v>701</v>
      </c>
      <c r="AC35" s="75" t="s">
        <v>258</v>
      </c>
      <c r="AD35" s="82"/>
      <c r="AE35" s="82"/>
    </row>
    <row r="36">
      <c r="A36" s="63" t="s">
        <v>702</v>
      </c>
      <c r="B36" s="105" t="s">
        <v>703</v>
      </c>
      <c r="C36" s="64" t="s">
        <v>704</v>
      </c>
      <c r="D36" s="63" t="s">
        <v>705</v>
      </c>
      <c r="E36" s="83" t="s">
        <v>706</v>
      </c>
      <c r="F36" s="83" t="s">
        <v>707</v>
      </c>
      <c r="G36" s="84" t="s">
        <v>246</v>
      </c>
      <c r="H36" s="67" t="s">
        <v>247</v>
      </c>
      <c r="I36" s="67" t="s">
        <v>247</v>
      </c>
      <c r="J36" s="67" t="s">
        <v>248</v>
      </c>
      <c r="K36" s="67" t="s">
        <v>247</v>
      </c>
      <c r="L36" s="67" t="s">
        <v>248</v>
      </c>
      <c r="M36" s="67" t="s">
        <v>248</v>
      </c>
      <c r="N36" s="68" t="s">
        <v>248</v>
      </c>
      <c r="O36" s="69" t="s">
        <v>708</v>
      </c>
      <c r="P36" s="69" t="s">
        <v>709</v>
      </c>
      <c r="Q36" s="70" t="s">
        <v>396</v>
      </c>
      <c r="R36" s="75" t="s">
        <v>258</v>
      </c>
      <c r="S36" s="77" t="s">
        <v>258</v>
      </c>
      <c r="T36" s="73" t="s">
        <v>710</v>
      </c>
      <c r="U36" s="73" t="s">
        <v>711</v>
      </c>
      <c r="V36" s="74"/>
      <c r="W36" s="75" t="s">
        <v>712</v>
      </c>
      <c r="X36" s="76" t="s">
        <v>713</v>
      </c>
      <c r="Y36" s="85" t="s">
        <v>258</v>
      </c>
      <c r="Z36" s="90" t="s">
        <v>714</v>
      </c>
      <c r="AA36" s="86" t="s">
        <v>715</v>
      </c>
      <c r="AB36" s="87" t="s">
        <v>405</v>
      </c>
      <c r="AC36" s="71" t="s">
        <v>716</v>
      </c>
      <c r="AD36" s="82"/>
      <c r="AE36" s="82"/>
    </row>
    <row r="37">
      <c r="A37" s="63" t="s">
        <v>717</v>
      </c>
      <c r="B37" s="105" t="s">
        <v>718</v>
      </c>
      <c r="C37" s="64" t="s">
        <v>719</v>
      </c>
      <c r="D37" s="63" t="s">
        <v>720</v>
      </c>
      <c r="E37" s="83" t="s">
        <v>721</v>
      </c>
      <c r="F37" s="83" t="s">
        <v>722</v>
      </c>
      <c r="G37" s="84" t="s">
        <v>246</v>
      </c>
      <c r="H37" s="106" t="s">
        <v>247</v>
      </c>
      <c r="I37" s="106" t="s">
        <v>248</v>
      </c>
      <c r="J37" s="106" t="s">
        <v>247</v>
      </c>
      <c r="K37" s="106" t="s">
        <v>247</v>
      </c>
      <c r="L37" s="106" t="s">
        <v>248</v>
      </c>
      <c r="M37" s="106" t="s">
        <v>248</v>
      </c>
      <c r="N37" s="68" t="s">
        <v>248</v>
      </c>
      <c r="O37" s="91" t="s">
        <v>553</v>
      </c>
      <c r="P37" s="69" t="s">
        <v>723</v>
      </c>
      <c r="Q37" s="70" t="s">
        <v>396</v>
      </c>
      <c r="R37" s="71" t="s">
        <v>724</v>
      </c>
      <c r="S37" s="77" t="s">
        <v>258</v>
      </c>
      <c r="T37" s="73" t="s">
        <v>725</v>
      </c>
      <c r="U37" s="73" t="s">
        <v>726</v>
      </c>
      <c r="V37" s="74"/>
      <c r="W37" s="75" t="s">
        <v>727</v>
      </c>
      <c r="X37" s="76" t="s">
        <v>728</v>
      </c>
      <c r="Y37" s="85" t="s">
        <v>729</v>
      </c>
      <c r="Z37" s="90" t="s">
        <v>730</v>
      </c>
      <c r="AA37" s="86" t="s">
        <v>700</v>
      </c>
      <c r="AB37" s="87" t="s">
        <v>642</v>
      </c>
      <c r="AC37" s="75" t="s">
        <v>258</v>
      </c>
      <c r="AD37" s="82"/>
      <c r="AE37" s="82"/>
    </row>
    <row r="38">
      <c r="A38" s="63" t="s">
        <v>731</v>
      </c>
      <c r="B38" s="107" t="s">
        <v>732</v>
      </c>
      <c r="C38" s="64" t="s">
        <v>733</v>
      </c>
      <c r="D38" s="63" t="s">
        <v>734</v>
      </c>
      <c r="E38" s="65" t="s">
        <v>735</v>
      </c>
      <c r="F38" s="65" t="s">
        <v>736</v>
      </c>
      <c r="G38" s="84" t="s">
        <v>246</v>
      </c>
      <c r="H38" s="67" t="s">
        <v>247</v>
      </c>
      <c r="I38" s="67" t="s">
        <v>248</v>
      </c>
      <c r="J38" s="67" t="s">
        <v>247</v>
      </c>
      <c r="K38" s="67" t="s">
        <v>247</v>
      </c>
      <c r="L38" s="67" t="s">
        <v>248</v>
      </c>
      <c r="M38" s="67" t="s">
        <v>248</v>
      </c>
      <c r="N38" s="68" t="s">
        <v>248</v>
      </c>
      <c r="O38" s="69" t="s">
        <v>737</v>
      </c>
      <c r="P38" s="69" t="s">
        <v>709</v>
      </c>
      <c r="Q38" s="70" t="s">
        <v>396</v>
      </c>
      <c r="R38" s="71" t="s">
        <v>738</v>
      </c>
      <c r="S38" s="77" t="s">
        <v>258</v>
      </c>
      <c r="T38" s="73" t="s">
        <v>739</v>
      </c>
      <c r="U38" s="73" t="s">
        <v>740</v>
      </c>
      <c r="V38" s="74"/>
      <c r="W38" s="75" t="s">
        <v>741</v>
      </c>
      <c r="X38" s="76" t="s">
        <v>742</v>
      </c>
      <c r="Y38" s="85" t="s">
        <v>743</v>
      </c>
      <c r="Z38" s="95" t="s">
        <v>258</v>
      </c>
      <c r="AA38" s="86" t="s">
        <v>744</v>
      </c>
      <c r="AB38" s="87" t="s">
        <v>745</v>
      </c>
      <c r="AC38" s="75" t="s">
        <v>258</v>
      </c>
      <c r="AD38" s="82"/>
      <c r="AE38" s="82"/>
    </row>
    <row r="39">
      <c r="A39" s="63" t="s">
        <v>746</v>
      </c>
      <c r="B39" s="63" t="s">
        <v>732</v>
      </c>
      <c r="C39" s="64" t="s">
        <v>747</v>
      </c>
      <c r="D39" s="63" t="s">
        <v>748</v>
      </c>
      <c r="E39" s="65" t="s">
        <v>749</v>
      </c>
      <c r="F39" s="65" t="s">
        <v>750</v>
      </c>
      <c r="G39" s="84" t="s">
        <v>246</v>
      </c>
      <c r="H39" s="67" t="s">
        <v>247</v>
      </c>
      <c r="I39" s="67" t="s">
        <v>248</v>
      </c>
      <c r="J39" s="67" t="s">
        <v>247</v>
      </c>
      <c r="K39" s="67" t="s">
        <v>247</v>
      </c>
      <c r="L39" s="67" t="s">
        <v>248</v>
      </c>
      <c r="M39" s="67" t="s">
        <v>248</v>
      </c>
      <c r="N39" s="68" t="s">
        <v>248</v>
      </c>
      <c r="O39" s="91" t="s">
        <v>553</v>
      </c>
      <c r="P39" s="69" t="s">
        <v>554</v>
      </c>
      <c r="Q39" s="70" t="s">
        <v>396</v>
      </c>
      <c r="R39" s="75" t="s">
        <v>258</v>
      </c>
      <c r="S39" s="77" t="s">
        <v>258</v>
      </c>
      <c r="T39" s="73" t="s">
        <v>751</v>
      </c>
      <c r="U39" s="73" t="s">
        <v>752</v>
      </c>
      <c r="V39" s="74"/>
      <c r="W39" s="75" t="s">
        <v>753</v>
      </c>
      <c r="X39" s="76" t="s">
        <v>754</v>
      </c>
      <c r="Y39" s="85" t="s">
        <v>729</v>
      </c>
      <c r="Z39" s="90" t="s">
        <v>755</v>
      </c>
      <c r="AA39" s="86" t="s">
        <v>756</v>
      </c>
      <c r="AB39" s="87" t="s">
        <v>757</v>
      </c>
      <c r="AC39" s="75" t="s">
        <v>258</v>
      </c>
      <c r="AD39" s="82"/>
      <c r="AE39" s="82"/>
    </row>
    <row r="40">
      <c r="A40" s="63" t="s">
        <v>758</v>
      </c>
      <c r="B40" s="105" t="s">
        <v>759</v>
      </c>
      <c r="C40" s="64" t="s">
        <v>760</v>
      </c>
      <c r="D40" s="63" t="s">
        <v>761</v>
      </c>
      <c r="E40" s="65" t="s">
        <v>762</v>
      </c>
      <c r="F40" s="65" t="s">
        <v>763</v>
      </c>
      <c r="G40" s="84" t="s">
        <v>246</v>
      </c>
      <c r="H40" s="67" t="s">
        <v>247</v>
      </c>
      <c r="I40" s="67" t="s">
        <v>248</v>
      </c>
      <c r="J40" s="67" t="s">
        <v>247</v>
      </c>
      <c r="K40" s="67" t="s">
        <v>247</v>
      </c>
      <c r="L40" s="67" t="s">
        <v>248</v>
      </c>
      <c r="M40" s="67" t="s">
        <v>248</v>
      </c>
      <c r="N40" s="68" t="s">
        <v>248</v>
      </c>
      <c r="O40" s="69" t="s">
        <v>764</v>
      </c>
      <c r="P40" s="69" t="s">
        <v>765</v>
      </c>
      <c r="Q40" s="70" t="s">
        <v>396</v>
      </c>
      <c r="R40" s="71" t="s">
        <v>766</v>
      </c>
      <c r="S40" s="77" t="s">
        <v>258</v>
      </c>
      <c r="T40" s="73" t="s">
        <v>767</v>
      </c>
      <c r="U40" s="73" t="s">
        <v>768</v>
      </c>
      <c r="V40" s="74"/>
      <c r="W40" s="75" t="s">
        <v>769</v>
      </c>
      <c r="X40" s="76" t="s">
        <v>770</v>
      </c>
      <c r="Y40" s="85" t="s">
        <v>771</v>
      </c>
      <c r="Z40" s="90" t="s">
        <v>772</v>
      </c>
      <c r="AA40" s="86" t="s">
        <v>260</v>
      </c>
      <c r="AB40" s="87" t="s">
        <v>773</v>
      </c>
      <c r="AC40" s="75" t="s">
        <v>258</v>
      </c>
      <c r="AD40" s="82"/>
      <c r="AE40" s="82"/>
    </row>
    <row r="41">
      <c r="A41" s="63" t="s">
        <v>774</v>
      </c>
      <c r="B41" s="105" t="s">
        <v>775</v>
      </c>
      <c r="C41" s="64" t="s">
        <v>776</v>
      </c>
      <c r="D41" s="63" t="s">
        <v>777</v>
      </c>
      <c r="E41" s="83" t="s">
        <v>778</v>
      </c>
      <c r="F41" s="83" t="s">
        <v>779</v>
      </c>
      <c r="G41" s="84" t="s">
        <v>246</v>
      </c>
      <c r="H41" s="106" t="s">
        <v>247</v>
      </c>
      <c r="I41" s="106" t="s">
        <v>248</v>
      </c>
      <c r="J41" s="106" t="s">
        <v>247</v>
      </c>
      <c r="K41" s="106" t="s">
        <v>247</v>
      </c>
      <c r="L41" s="106" t="s">
        <v>248</v>
      </c>
      <c r="M41" s="106" t="s">
        <v>248</v>
      </c>
      <c r="N41" s="68" t="s">
        <v>248</v>
      </c>
      <c r="O41" s="69" t="s">
        <v>708</v>
      </c>
      <c r="P41" s="69" t="s">
        <v>709</v>
      </c>
      <c r="Q41" s="70" t="s">
        <v>396</v>
      </c>
      <c r="R41" s="76"/>
      <c r="S41" s="77" t="s">
        <v>258</v>
      </c>
      <c r="T41" s="87" t="s">
        <v>258</v>
      </c>
      <c r="U41" s="87" t="s">
        <v>258</v>
      </c>
      <c r="V41" s="74"/>
      <c r="W41" s="75" t="s">
        <v>780</v>
      </c>
      <c r="X41" s="76" t="s">
        <v>781</v>
      </c>
      <c r="Y41" s="108"/>
      <c r="Z41" s="90" t="s">
        <v>782</v>
      </c>
      <c r="AA41" s="86" t="s">
        <v>260</v>
      </c>
      <c r="AB41" s="87" t="s">
        <v>258</v>
      </c>
      <c r="AC41" s="75" t="s">
        <v>258</v>
      </c>
      <c r="AD41" s="82"/>
      <c r="AE41" s="82"/>
    </row>
    <row r="42">
      <c r="A42" s="63" t="s">
        <v>783</v>
      </c>
      <c r="B42" s="105" t="s">
        <v>784</v>
      </c>
      <c r="C42" s="64" t="s">
        <v>785</v>
      </c>
      <c r="D42" s="63" t="s">
        <v>786</v>
      </c>
      <c r="E42" s="65" t="s">
        <v>787</v>
      </c>
      <c r="F42" s="65" t="s">
        <v>788</v>
      </c>
      <c r="G42" s="84" t="s">
        <v>246</v>
      </c>
      <c r="H42" s="67" t="s">
        <v>247</v>
      </c>
      <c r="I42" s="67" t="s">
        <v>248</v>
      </c>
      <c r="J42" s="67" t="s">
        <v>247</v>
      </c>
      <c r="K42" s="67" t="s">
        <v>247</v>
      </c>
      <c r="L42" s="67" t="s">
        <v>248</v>
      </c>
      <c r="M42" s="67" t="s">
        <v>248</v>
      </c>
      <c r="N42" s="68" t="s">
        <v>248</v>
      </c>
      <c r="O42" s="69" t="s">
        <v>789</v>
      </c>
      <c r="P42" s="69" t="s">
        <v>790</v>
      </c>
      <c r="Q42" s="70" t="s">
        <v>396</v>
      </c>
      <c r="R42" s="71" t="s">
        <v>791</v>
      </c>
      <c r="S42" s="77" t="s">
        <v>258</v>
      </c>
      <c r="T42" s="73" t="s">
        <v>792</v>
      </c>
      <c r="U42" s="73" t="s">
        <v>793</v>
      </c>
      <c r="V42" s="74"/>
      <c r="W42" s="75" t="s">
        <v>794</v>
      </c>
      <c r="X42" s="76" t="s">
        <v>795</v>
      </c>
      <c r="Y42" s="85" t="s">
        <v>729</v>
      </c>
      <c r="Z42" s="90" t="s">
        <v>796</v>
      </c>
      <c r="AA42" s="86" t="s">
        <v>797</v>
      </c>
      <c r="AB42" s="87" t="s">
        <v>642</v>
      </c>
      <c r="AC42" s="75" t="s">
        <v>258</v>
      </c>
      <c r="AD42" s="82"/>
      <c r="AE42" s="82"/>
    </row>
    <row r="43">
      <c r="A43" s="63" t="s">
        <v>798</v>
      </c>
      <c r="B43" s="105" t="s">
        <v>799</v>
      </c>
      <c r="C43" s="64" t="s">
        <v>800</v>
      </c>
      <c r="D43" s="101" t="s">
        <v>801</v>
      </c>
      <c r="E43" s="65" t="s">
        <v>802</v>
      </c>
      <c r="F43" s="65" t="s">
        <v>803</v>
      </c>
      <c r="G43" s="84" t="s">
        <v>246</v>
      </c>
      <c r="H43" s="88" t="s">
        <v>247</v>
      </c>
      <c r="I43" s="88" t="s">
        <v>248</v>
      </c>
      <c r="J43" s="88" t="s">
        <v>248</v>
      </c>
      <c r="K43" s="88" t="s">
        <v>248</v>
      </c>
      <c r="L43" s="88" t="s">
        <v>248</v>
      </c>
      <c r="M43" s="88" t="s">
        <v>248</v>
      </c>
      <c r="N43" s="68" t="s">
        <v>248</v>
      </c>
      <c r="O43" s="91" t="s">
        <v>633</v>
      </c>
      <c r="P43" s="69" t="s">
        <v>649</v>
      </c>
      <c r="Q43" s="70" t="s">
        <v>396</v>
      </c>
      <c r="R43" s="109" t="s">
        <v>804</v>
      </c>
      <c r="S43" s="77" t="s">
        <v>258</v>
      </c>
      <c r="T43" s="73" t="s">
        <v>805</v>
      </c>
      <c r="U43" s="73" t="s">
        <v>806</v>
      </c>
      <c r="V43" s="74"/>
      <c r="W43" s="75" t="s">
        <v>807</v>
      </c>
      <c r="X43" s="76" t="s">
        <v>808</v>
      </c>
      <c r="Y43" s="85" t="s">
        <v>639</v>
      </c>
      <c r="Z43" s="90" t="s">
        <v>809</v>
      </c>
      <c r="AA43" s="86" t="s">
        <v>797</v>
      </c>
      <c r="AB43" s="87" t="s">
        <v>642</v>
      </c>
      <c r="AC43" s="75" t="s">
        <v>258</v>
      </c>
      <c r="AD43" s="82"/>
      <c r="AE43" s="82"/>
    </row>
    <row r="44">
      <c r="A44" s="63" t="s">
        <v>810</v>
      </c>
      <c r="B44" s="105" t="s">
        <v>811</v>
      </c>
      <c r="C44" s="64" t="s">
        <v>812</v>
      </c>
      <c r="D44" s="63" t="s">
        <v>813</v>
      </c>
      <c r="E44" s="83" t="s">
        <v>814</v>
      </c>
      <c r="F44" s="83" t="s">
        <v>815</v>
      </c>
      <c r="G44" s="84" t="s">
        <v>246</v>
      </c>
      <c r="H44" s="88" t="s">
        <v>247</v>
      </c>
      <c r="I44" s="88" t="s">
        <v>248</v>
      </c>
      <c r="J44" s="88" t="s">
        <v>247</v>
      </c>
      <c r="K44" s="88" t="s">
        <v>247</v>
      </c>
      <c r="L44" s="88" t="s">
        <v>247</v>
      </c>
      <c r="M44" s="88" t="s">
        <v>247</v>
      </c>
      <c r="N44" s="68" t="s">
        <v>248</v>
      </c>
      <c r="O44" s="69" t="s">
        <v>816</v>
      </c>
      <c r="P44" s="69" t="s">
        <v>817</v>
      </c>
      <c r="Q44" s="70" t="s">
        <v>251</v>
      </c>
      <c r="R44" s="71" t="s">
        <v>818</v>
      </c>
      <c r="S44" s="72" t="s">
        <v>819</v>
      </c>
      <c r="T44" s="73" t="s">
        <v>820</v>
      </c>
      <c r="U44" s="73" t="s">
        <v>821</v>
      </c>
      <c r="V44" s="74"/>
      <c r="W44" s="75" t="s">
        <v>822</v>
      </c>
      <c r="X44" s="76" t="s">
        <v>823</v>
      </c>
      <c r="Y44" s="85" t="s">
        <v>824</v>
      </c>
      <c r="Z44" s="90" t="s">
        <v>825</v>
      </c>
      <c r="AA44" s="86" t="s">
        <v>826</v>
      </c>
      <c r="AB44" s="87" t="s">
        <v>642</v>
      </c>
      <c r="AC44" s="75" t="s">
        <v>258</v>
      </c>
      <c r="AD44" s="82"/>
      <c r="AE44" s="82"/>
    </row>
    <row r="45">
      <c r="A45" s="63" t="s">
        <v>827</v>
      </c>
      <c r="B45" s="105" t="s">
        <v>828</v>
      </c>
      <c r="C45" s="64" t="s">
        <v>829</v>
      </c>
      <c r="D45" s="63" t="s">
        <v>830</v>
      </c>
      <c r="E45" s="65" t="s">
        <v>831</v>
      </c>
      <c r="F45" s="65" t="s">
        <v>832</v>
      </c>
      <c r="G45" s="84" t="s">
        <v>246</v>
      </c>
      <c r="H45" s="67" t="s">
        <v>248</v>
      </c>
      <c r="I45" s="67" t="s">
        <v>247</v>
      </c>
      <c r="J45" s="67" t="s">
        <v>247</v>
      </c>
      <c r="K45" s="67" t="s">
        <v>247</v>
      </c>
      <c r="L45" s="67" t="s">
        <v>247</v>
      </c>
      <c r="M45" s="67" t="s">
        <v>247</v>
      </c>
      <c r="N45" s="68" t="s">
        <v>248</v>
      </c>
      <c r="O45" s="69" t="s">
        <v>833</v>
      </c>
      <c r="P45" s="69" t="s">
        <v>598</v>
      </c>
      <c r="Q45" s="70" t="s">
        <v>396</v>
      </c>
      <c r="R45" s="75" t="s">
        <v>258</v>
      </c>
      <c r="S45" s="77" t="s">
        <v>258</v>
      </c>
      <c r="T45" s="87" t="s">
        <v>258</v>
      </c>
      <c r="U45" s="87" t="s">
        <v>258</v>
      </c>
      <c r="V45" s="74"/>
      <c r="W45" s="75" t="s">
        <v>834</v>
      </c>
      <c r="X45" s="76" t="s">
        <v>835</v>
      </c>
      <c r="Y45" s="85" t="s">
        <v>836</v>
      </c>
      <c r="Z45" s="90" t="s">
        <v>610</v>
      </c>
      <c r="AA45" s="86" t="s">
        <v>837</v>
      </c>
      <c r="AB45" s="87" t="s">
        <v>258</v>
      </c>
      <c r="AC45" s="75" t="s">
        <v>258</v>
      </c>
      <c r="AD45" s="82"/>
      <c r="AE45" s="82"/>
    </row>
    <row r="46">
      <c r="A46" s="63" t="s">
        <v>838</v>
      </c>
      <c r="B46" s="105" t="s">
        <v>839</v>
      </c>
      <c r="C46" s="64" t="s">
        <v>840</v>
      </c>
      <c r="D46" s="96" t="s">
        <v>841</v>
      </c>
      <c r="E46" s="65" t="s">
        <v>842</v>
      </c>
      <c r="F46" s="65" t="s">
        <v>843</v>
      </c>
      <c r="G46" s="84" t="s">
        <v>246</v>
      </c>
      <c r="H46" s="67" t="s">
        <v>247</v>
      </c>
      <c r="I46" s="67" t="s">
        <v>247</v>
      </c>
      <c r="J46" s="67" t="s">
        <v>248</v>
      </c>
      <c r="K46" s="67" t="s">
        <v>248</v>
      </c>
      <c r="L46" s="67" t="s">
        <v>248</v>
      </c>
      <c r="M46" s="67" t="s">
        <v>248</v>
      </c>
      <c r="N46" s="68" t="s">
        <v>248</v>
      </c>
      <c r="O46" s="69" t="s">
        <v>737</v>
      </c>
      <c r="P46" s="69" t="s">
        <v>844</v>
      </c>
      <c r="Q46" s="70" t="s">
        <v>396</v>
      </c>
      <c r="R46" s="71" t="s">
        <v>845</v>
      </c>
      <c r="S46" s="77" t="s">
        <v>258</v>
      </c>
      <c r="T46" s="73" t="s">
        <v>846</v>
      </c>
      <c r="U46" s="73" t="s">
        <v>847</v>
      </c>
      <c r="V46" s="74"/>
      <c r="W46" s="75" t="s">
        <v>848</v>
      </c>
      <c r="X46" s="76" t="s">
        <v>849</v>
      </c>
      <c r="Y46" s="85" t="s">
        <v>850</v>
      </c>
      <c r="Z46" s="90" t="s">
        <v>851</v>
      </c>
      <c r="AA46" s="86" t="s">
        <v>852</v>
      </c>
      <c r="AB46" s="87" t="s">
        <v>853</v>
      </c>
      <c r="AC46" s="75" t="s">
        <v>258</v>
      </c>
      <c r="AD46" s="82"/>
      <c r="AE46" s="82"/>
    </row>
    <row r="47">
      <c r="A47" s="63" t="s">
        <v>854</v>
      </c>
      <c r="B47" s="105" t="s">
        <v>855</v>
      </c>
      <c r="C47" s="64" t="s">
        <v>856</v>
      </c>
      <c r="D47" s="63" t="s">
        <v>857</v>
      </c>
      <c r="E47" s="65" t="s">
        <v>858</v>
      </c>
      <c r="F47" s="65" t="s">
        <v>859</v>
      </c>
      <c r="G47" s="84" t="s">
        <v>246</v>
      </c>
      <c r="H47" s="67" t="s">
        <v>247</v>
      </c>
      <c r="I47" s="67" t="s">
        <v>247</v>
      </c>
      <c r="J47" s="67" t="s">
        <v>247</v>
      </c>
      <c r="K47" s="67" t="s">
        <v>247</v>
      </c>
      <c r="L47" s="67" t="s">
        <v>248</v>
      </c>
      <c r="M47" s="67" t="s">
        <v>248</v>
      </c>
      <c r="N47" s="68" t="s">
        <v>248</v>
      </c>
      <c r="O47" s="91" t="s">
        <v>860</v>
      </c>
      <c r="P47" s="69" t="s">
        <v>861</v>
      </c>
      <c r="Q47" s="70" t="s">
        <v>396</v>
      </c>
      <c r="R47" s="71" t="s">
        <v>862</v>
      </c>
      <c r="S47" s="72" t="s">
        <v>863</v>
      </c>
      <c r="T47" s="73" t="s">
        <v>864</v>
      </c>
      <c r="U47" s="73" t="s">
        <v>865</v>
      </c>
      <c r="V47" s="74"/>
      <c r="W47" s="75" t="s">
        <v>866</v>
      </c>
      <c r="X47" s="76" t="s">
        <v>867</v>
      </c>
      <c r="Y47" s="85" t="s">
        <v>868</v>
      </c>
      <c r="Z47" s="90" t="s">
        <v>869</v>
      </c>
      <c r="AA47" s="86" t="s">
        <v>260</v>
      </c>
      <c r="AB47" s="87" t="s">
        <v>870</v>
      </c>
      <c r="AC47" s="75" t="s">
        <v>258</v>
      </c>
      <c r="AD47" s="82"/>
      <c r="AE47" s="82"/>
    </row>
    <row r="48">
      <c r="A48" s="63" t="s">
        <v>871</v>
      </c>
      <c r="B48" s="105" t="s">
        <v>872</v>
      </c>
      <c r="C48" s="64" t="s">
        <v>873</v>
      </c>
      <c r="D48" s="63" t="s">
        <v>874</v>
      </c>
      <c r="E48" s="65" t="s">
        <v>875</v>
      </c>
      <c r="F48" s="65" t="s">
        <v>876</v>
      </c>
      <c r="G48" s="84" t="s">
        <v>394</v>
      </c>
      <c r="H48" s="67" t="s">
        <v>247</v>
      </c>
      <c r="I48" s="67" t="s">
        <v>247</v>
      </c>
      <c r="J48" s="67" t="s">
        <v>247</v>
      </c>
      <c r="K48" s="67" t="s">
        <v>247</v>
      </c>
      <c r="L48" s="67" t="s">
        <v>247</v>
      </c>
      <c r="M48" s="67" t="s">
        <v>247</v>
      </c>
      <c r="N48" s="68" t="s">
        <v>248</v>
      </c>
      <c r="O48" s="69" t="s">
        <v>877</v>
      </c>
      <c r="P48" s="69" t="s">
        <v>878</v>
      </c>
      <c r="Q48" s="70" t="s">
        <v>251</v>
      </c>
      <c r="R48" s="71" t="s">
        <v>879</v>
      </c>
      <c r="S48" s="72" t="s">
        <v>880</v>
      </c>
      <c r="T48" s="87" t="s">
        <v>258</v>
      </c>
      <c r="U48" s="87" t="s">
        <v>258</v>
      </c>
      <c r="V48" s="74"/>
      <c r="W48" s="75" t="s">
        <v>881</v>
      </c>
      <c r="X48" s="76" t="s">
        <v>882</v>
      </c>
      <c r="Y48" s="85" t="s">
        <v>258</v>
      </c>
      <c r="Z48" s="90" t="s">
        <v>883</v>
      </c>
      <c r="AA48" s="86" t="s">
        <v>260</v>
      </c>
      <c r="AB48" s="87" t="s">
        <v>884</v>
      </c>
      <c r="AC48" s="75" t="s">
        <v>258</v>
      </c>
      <c r="AD48" s="82"/>
      <c r="AE48" s="82"/>
    </row>
    <row r="49">
      <c r="A49" s="63" t="s">
        <v>885</v>
      </c>
      <c r="B49" s="105" t="s">
        <v>886</v>
      </c>
      <c r="C49" s="64" t="s">
        <v>887</v>
      </c>
      <c r="D49" s="63" t="s">
        <v>888</v>
      </c>
      <c r="E49" s="65" t="s">
        <v>889</v>
      </c>
      <c r="F49" s="65" t="s">
        <v>890</v>
      </c>
      <c r="G49" s="84" t="s">
        <v>394</v>
      </c>
      <c r="H49" s="67" t="s">
        <v>247</v>
      </c>
      <c r="I49" s="67" t="s">
        <v>247</v>
      </c>
      <c r="J49" s="67" t="s">
        <v>247</v>
      </c>
      <c r="K49" s="67" t="s">
        <v>247</v>
      </c>
      <c r="L49" s="67" t="s">
        <v>248</v>
      </c>
      <c r="M49" s="67" t="s">
        <v>248</v>
      </c>
      <c r="N49" s="68" t="s">
        <v>248</v>
      </c>
      <c r="O49" s="69" t="s">
        <v>891</v>
      </c>
      <c r="P49" s="69" t="s">
        <v>892</v>
      </c>
      <c r="Q49" s="70" t="s">
        <v>396</v>
      </c>
      <c r="R49" s="71" t="s">
        <v>893</v>
      </c>
      <c r="S49" s="72" t="s">
        <v>894</v>
      </c>
      <c r="T49" s="87" t="s">
        <v>895</v>
      </c>
      <c r="U49" s="87" t="s">
        <v>258</v>
      </c>
      <c r="V49" s="74"/>
      <c r="W49" s="75" t="s">
        <v>896</v>
      </c>
      <c r="X49" s="76" t="s">
        <v>897</v>
      </c>
      <c r="Y49" s="85" t="s">
        <v>258</v>
      </c>
      <c r="Z49" s="90" t="s">
        <v>898</v>
      </c>
      <c r="AA49" s="86" t="s">
        <v>899</v>
      </c>
      <c r="AB49" s="87" t="s">
        <v>884</v>
      </c>
      <c r="AC49" s="75" t="s">
        <v>258</v>
      </c>
      <c r="AD49" s="82"/>
      <c r="AE49" s="82"/>
    </row>
    <row r="50">
      <c r="A50" s="63" t="s">
        <v>900</v>
      </c>
      <c r="B50" s="105" t="s">
        <v>901</v>
      </c>
      <c r="C50" s="64" t="s">
        <v>902</v>
      </c>
      <c r="D50" s="63" t="s">
        <v>903</v>
      </c>
      <c r="E50" s="65" t="s">
        <v>904</v>
      </c>
      <c r="F50" s="65" t="s">
        <v>905</v>
      </c>
      <c r="G50" s="84" t="s">
        <v>394</v>
      </c>
      <c r="H50" s="67" t="s">
        <v>247</v>
      </c>
      <c r="I50" s="67" t="s">
        <v>247</v>
      </c>
      <c r="J50" s="67" t="s">
        <v>247</v>
      </c>
      <c r="K50" s="67" t="s">
        <v>247</v>
      </c>
      <c r="L50" s="67" t="s">
        <v>247</v>
      </c>
      <c r="M50" s="67" t="s">
        <v>247</v>
      </c>
      <c r="N50" s="68" t="s">
        <v>248</v>
      </c>
      <c r="O50" s="69" t="s">
        <v>906</v>
      </c>
      <c r="P50" s="69" t="s">
        <v>892</v>
      </c>
      <c r="Q50" s="70" t="s">
        <v>396</v>
      </c>
      <c r="R50" s="110" t="s">
        <v>258</v>
      </c>
      <c r="S50" s="77" t="s">
        <v>258</v>
      </c>
      <c r="T50" s="73" t="s">
        <v>907</v>
      </c>
      <c r="U50" s="87" t="s">
        <v>258</v>
      </c>
      <c r="V50" s="74"/>
      <c r="W50" s="75" t="s">
        <v>908</v>
      </c>
      <c r="X50" s="76" t="s">
        <v>897</v>
      </c>
      <c r="Y50" s="85" t="s">
        <v>909</v>
      </c>
      <c r="Z50" s="90" t="s">
        <v>910</v>
      </c>
      <c r="AA50" s="86" t="s">
        <v>911</v>
      </c>
      <c r="AB50" s="87" t="s">
        <v>912</v>
      </c>
      <c r="AC50" s="75" t="s">
        <v>258</v>
      </c>
      <c r="AD50" s="82"/>
      <c r="AE50" s="82"/>
    </row>
    <row r="51">
      <c r="A51" s="63" t="s">
        <v>913</v>
      </c>
      <c r="B51" s="63" t="s">
        <v>732</v>
      </c>
      <c r="C51" s="64" t="s">
        <v>914</v>
      </c>
      <c r="D51" s="63" t="s">
        <v>915</v>
      </c>
      <c r="E51" s="65" t="s">
        <v>916</v>
      </c>
      <c r="F51" s="65" t="s">
        <v>917</v>
      </c>
      <c r="G51" s="84" t="s">
        <v>246</v>
      </c>
      <c r="H51" s="67" t="s">
        <v>247</v>
      </c>
      <c r="I51" s="67" t="s">
        <v>247</v>
      </c>
      <c r="J51" s="67" t="s">
        <v>247</v>
      </c>
      <c r="K51" s="67" t="s">
        <v>247</v>
      </c>
      <c r="L51" s="67" t="s">
        <v>247</v>
      </c>
      <c r="M51" s="67" t="s">
        <v>247</v>
      </c>
      <c r="N51" s="68" t="s">
        <v>248</v>
      </c>
      <c r="O51" s="69" t="s">
        <v>918</v>
      </c>
      <c r="P51" s="69" t="s">
        <v>919</v>
      </c>
      <c r="Q51" s="70" t="s">
        <v>396</v>
      </c>
      <c r="R51" s="75" t="s">
        <v>258</v>
      </c>
      <c r="S51" s="77" t="s">
        <v>258</v>
      </c>
      <c r="T51" s="73" t="s">
        <v>920</v>
      </c>
      <c r="U51" s="73" t="s">
        <v>921</v>
      </c>
      <c r="V51" s="74"/>
      <c r="W51" s="75" t="s">
        <v>922</v>
      </c>
      <c r="X51" s="76" t="s">
        <v>923</v>
      </c>
      <c r="Y51" s="85" t="s">
        <v>258</v>
      </c>
      <c r="Z51" s="90" t="s">
        <v>924</v>
      </c>
      <c r="AA51" s="111" t="s">
        <v>925</v>
      </c>
      <c r="AB51" s="111" t="s">
        <v>387</v>
      </c>
      <c r="AC51" s="71" t="s">
        <v>547</v>
      </c>
      <c r="AD51" s="82"/>
      <c r="AE51" s="82"/>
    </row>
    <row r="52">
      <c r="A52" s="63" t="s">
        <v>926</v>
      </c>
      <c r="B52" s="63" t="s">
        <v>732</v>
      </c>
      <c r="C52" s="63" t="s">
        <v>927</v>
      </c>
      <c r="D52" s="63" t="s">
        <v>928</v>
      </c>
      <c r="E52" s="65" t="s">
        <v>929</v>
      </c>
      <c r="F52" s="65" t="s">
        <v>930</v>
      </c>
      <c r="G52" s="84" t="s">
        <v>246</v>
      </c>
      <c r="H52" s="67" t="s">
        <v>247</v>
      </c>
      <c r="I52" s="67" t="s">
        <v>248</v>
      </c>
      <c r="J52" s="67" t="s">
        <v>247</v>
      </c>
      <c r="K52" s="67" t="s">
        <v>247</v>
      </c>
      <c r="L52" s="67" t="s">
        <v>247</v>
      </c>
      <c r="M52" s="67" t="s">
        <v>247</v>
      </c>
      <c r="N52" s="68" t="s">
        <v>248</v>
      </c>
      <c r="O52" s="69" t="s">
        <v>931</v>
      </c>
      <c r="P52" s="69" t="s">
        <v>709</v>
      </c>
      <c r="Q52" s="70" t="s">
        <v>396</v>
      </c>
      <c r="R52" s="75" t="s">
        <v>258</v>
      </c>
      <c r="S52" s="77" t="s">
        <v>258</v>
      </c>
      <c r="T52" s="73" t="s">
        <v>932</v>
      </c>
      <c r="U52" s="73" t="s">
        <v>933</v>
      </c>
      <c r="V52" s="74"/>
      <c r="W52" s="75" t="s">
        <v>934</v>
      </c>
      <c r="X52" s="76" t="s">
        <v>935</v>
      </c>
      <c r="Y52" s="85" t="s">
        <v>258</v>
      </c>
      <c r="Z52" s="90" t="s">
        <v>936</v>
      </c>
      <c r="AA52" s="86" t="s">
        <v>937</v>
      </c>
      <c r="AB52" s="87" t="s">
        <v>938</v>
      </c>
      <c r="AC52" s="75" t="s">
        <v>258</v>
      </c>
      <c r="AD52" s="82"/>
      <c r="AE52" s="82"/>
    </row>
    <row r="53">
      <c r="A53" s="63" t="s">
        <v>939</v>
      </c>
      <c r="B53" s="63" t="s">
        <v>732</v>
      </c>
      <c r="C53" s="64" t="s">
        <v>940</v>
      </c>
      <c r="D53" s="101" t="s">
        <v>941</v>
      </c>
      <c r="E53" s="83" t="s">
        <v>942</v>
      </c>
      <c r="F53" s="83" t="s">
        <v>943</v>
      </c>
      <c r="G53" s="84" t="s">
        <v>246</v>
      </c>
      <c r="H53" s="67" t="s">
        <v>247</v>
      </c>
      <c r="I53" s="67" t="s">
        <v>248</v>
      </c>
      <c r="J53" s="67" t="s">
        <v>248</v>
      </c>
      <c r="K53" s="67" t="s">
        <v>247</v>
      </c>
      <c r="L53" s="67" t="s">
        <v>248</v>
      </c>
      <c r="M53" s="67" t="s">
        <v>248</v>
      </c>
      <c r="N53" s="68" t="s">
        <v>248</v>
      </c>
      <c r="O53" s="91" t="s">
        <v>633</v>
      </c>
      <c r="P53" s="69" t="s">
        <v>649</v>
      </c>
      <c r="Q53" s="70" t="s">
        <v>396</v>
      </c>
      <c r="R53" s="75" t="s">
        <v>258</v>
      </c>
      <c r="S53" s="77" t="s">
        <v>258</v>
      </c>
      <c r="T53" s="73" t="s">
        <v>944</v>
      </c>
      <c r="U53" s="73" t="s">
        <v>945</v>
      </c>
      <c r="V53" s="74"/>
      <c r="W53" s="75" t="s">
        <v>946</v>
      </c>
      <c r="X53" s="76" t="s">
        <v>947</v>
      </c>
      <c r="Y53" s="85" t="s">
        <v>639</v>
      </c>
      <c r="Z53" s="90" t="s">
        <v>948</v>
      </c>
      <c r="AA53" s="86" t="s">
        <v>949</v>
      </c>
      <c r="AB53" s="87" t="s">
        <v>950</v>
      </c>
      <c r="AC53" s="75" t="s">
        <v>258</v>
      </c>
      <c r="AD53" s="82"/>
      <c r="AE53" s="82"/>
    </row>
    <row r="54">
      <c r="A54" s="63" t="s">
        <v>951</v>
      </c>
      <c r="B54" s="63" t="s">
        <v>732</v>
      </c>
      <c r="C54" s="64" t="s">
        <v>952</v>
      </c>
      <c r="D54" s="63" t="s">
        <v>953</v>
      </c>
      <c r="E54" s="65" t="s">
        <v>954</v>
      </c>
      <c r="F54" s="65" t="s">
        <v>955</v>
      </c>
      <c r="G54" s="84" t="s">
        <v>246</v>
      </c>
      <c r="H54" s="106" t="s">
        <v>247</v>
      </c>
      <c r="I54" s="106" t="s">
        <v>248</v>
      </c>
      <c r="J54" s="106" t="s">
        <v>248</v>
      </c>
      <c r="K54" s="106" t="s">
        <v>248</v>
      </c>
      <c r="L54" s="106" t="s">
        <v>248</v>
      </c>
      <c r="M54" s="106" t="s">
        <v>248</v>
      </c>
      <c r="N54" s="68" t="s">
        <v>248</v>
      </c>
      <c r="O54" s="91" t="s">
        <v>633</v>
      </c>
      <c r="P54" s="69" t="s">
        <v>649</v>
      </c>
      <c r="Q54" s="70" t="s">
        <v>396</v>
      </c>
      <c r="R54" s="71" t="s">
        <v>956</v>
      </c>
      <c r="S54" s="77" t="s">
        <v>258</v>
      </c>
      <c r="T54" s="73" t="s">
        <v>957</v>
      </c>
      <c r="U54" s="73" t="s">
        <v>958</v>
      </c>
      <c r="V54" s="74"/>
      <c r="W54" s="75" t="s">
        <v>959</v>
      </c>
      <c r="X54" s="76" t="s">
        <v>960</v>
      </c>
      <c r="Y54" s="85" t="s">
        <v>639</v>
      </c>
      <c r="Z54" s="90" t="s">
        <v>961</v>
      </c>
      <c r="AA54" s="86" t="s">
        <v>962</v>
      </c>
      <c r="AB54" s="87" t="s">
        <v>950</v>
      </c>
      <c r="AC54" s="75" t="s">
        <v>258</v>
      </c>
      <c r="AD54" s="82"/>
      <c r="AE54" s="82"/>
    </row>
    <row r="55">
      <c r="A55" s="63" t="s">
        <v>963</v>
      </c>
      <c r="B55" s="63" t="s">
        <v>732</v>
      </c>
      <c r="C55" s="64" t="s">
        <v>964</v>
      </c>
      <c r="D55" s="101" t="s">
        <v>965</v>
      </c>
      <c r="E55" s="65" t="s">
        <v>929</v>
      </c>
      <c r="F55" s="65" t="s">
        <v>966</v>
      </c>
      <c r="G55" s="84" t="s">
        <v>246</v>
      </c>
      <c r="H55" s="67" t="s">
        <v>247</v>
      </c>
      <c r="I55" s="67" t="s">
        <v>248</v>
      </c>
      <c r="J55" s="67" t="s">
        <v>247</v>
      </c>
      <c r="K55" s="67" t="s">
        <v>247</v>
      </c>
      <c r="L55" s="67" t="s">
        <v>248</v>
      </c>
      <c r="M55" s="67" t="s">
        <v>248</v>
      </c>
      <c r="N55" s="68" t="s">
        <v>248</v>
      </c>
      <c r="O55" s="69" t="s">
        <v>967</v>
      </c>
      <c r="P55" s="69" t="s">
        <v>968</v>
      </c>
      <c r="Q55" s="70" t="s">
        <v>396</v>
      </c>
      <c r="R55" s="75" t="s">
        <v>258</v>
      </c>
      <c r="S55" s="77" t="s">
        <v>258</v>
      </c>
      <c r="T55" s="73" t="s">
        <v>969</v>
      </c>
      <c r="U55" s="73" t="s">
        <v>970</v>
      </c>
      <c r="V55" s="74"/>
      <c r="W55" s="75" t="s">
        <v>971</v>
      </c>
      <c r="X55" s="76" t="s">
        <v>972</v>
      </c>
      <c r="Y55" s="85" t="s">
        <v>258</v>
      </c>
      <c r="Z55" s="90" t="s">
        <v>973</v>
      </c>
      <c r="AA55" s="86" t="s">
        <v>937</v>
      </c>
      <c r="AB55" s="87" t="s">
        <v>938</v>
      </c>
      <c r="AC55" s="75" t="s">
        <v>258</v>
      </c>
      <c r="AD55" s="82"/>
      <c r="AE55" s="82"/>
    </row>
    <row r="56">
      <c r="A56" s="63" t="s">
        <v>974</v>
      </c>
      <c r="B56" s="63" t="s">
        <v>732</v>
      </c>
      <c r="C56" s="64" t="s">
        <v>975</v>
      </c>
      <c r="D56" s="97" t="s">
        <v>976</v>
      </c>
      <c r="E56" s="65" t="s">
        <v>977</v>
      </c>
      <c r="F56" s="65" t="s">
        <v>978</v>
      </c>
      <c r="G56" s="84" t="s">
        <v>394</v>
      </c>
      <c r="H56" s="67" t="s">
        <v>247</v>
      </c>
      <c r="I56" s="67" t="s">
        <v>248</v>
      </c>
      <c r="J56" s="67" t="s">
        <v>247</v>
      </c>
      <c r="K56" s="67" t="s">
        <v>247</v>
      </c>
      <c r="L56" s="67" t="s">
        <v>248</v>
      </c>
      <c r="M56" s="67" t="s">
        <v>248</v>
      </c>
      <c r="N56" s="68" t="s">
        <v>248</v>
      </c>
      <c r="O56" s="69" t="s">
        <v>979</v>
      </c>
      <c r="P56" s="69" t="s">
        <v>980</v>
      </c>
      <c r="Q56" s="70" t="s">
        <v>396</v>
      </c>
      <c r="R56" s="71" t="s">
        <v>981</v>
      </c>
      <c r="S56" s="77" t="s">
        <v>258</v>
      </c>
      <c r="T56" s="73" t="s">
        <v>982</v>
      </c>
      <c r="U56" s="73" t="s">
        <v>983</v>
      </c>
      <c r="V56" s="74"/>
      <c r="W56" s="75" t="s">
        <v>984</v>
      </c>
      <c r="X56" s="76" t="s">
        <v>972</v>
      </c>
      <c r="Y56" s="85" t="s">
        <v>985</v>
      </c>
      <c r="Z56" s="90" t="s">
        <v>986</v>
      </c>
      <c r="AA56" s="86" t="s">
        <v>744</v>
      </c>
      <c r="AB56" s="87" t="s">
        <v>987</v>
      </c>
      <c r="AC56" s="75" t="s">
        <v>258</v>
      </c>
      <c r="AD56" s="82"/>
      <c r="AE56" s="82"/>
    </row>
    <row r="57">
      <c r="A57" s="63" t="s">
        <v>988</v>
      </c>
      <c r="B57" s="63" t="s">
        <v>989</v>
      </c>
      <c r="C57" s="64" t="s">
        <v>990</v>
      </c>
      <c r="D57" s="63" t="s">
        <v>991</v>
      </c>
      <c r="E57" s="83" t="s">
        <v>992</v>
      </c>
      <c r="F57" s="83" t="s">
        <v>993</v>
      </c>
      <c r="G57" s="84" t="s">
        <v>246</v>
      </c>
      <c r="H57" s="67" t="s">
        <v>247</v>
      </c>
      <c r="I57" s="67" t="s">
        <v>247</v>
      </c>
      <c r="J57" s="67" t="s">
        <v>247</v>
      </c>
      <c r="K57" s="67" t="s">
        <v>247</v>
      </c>
      <c r="L57" s="67" t="s">
        <v>247</v>
      </c>
      <c r="M57" s="67" t="s">
        <v>247</v>
      </c>
      <c r="N57" s="68" t="s">
        <v>248</v>
      </c>
      <c r="O57" s="69" t="s">
        <v>994</v>
      </c>
      <c r="P57" s="69" t="s">
        <v>529</v>
      </c>
      <c r="Q57" s="70" t="s">
        <v>396</v>
      </c>
      <c r="R57" s="71" t="s">
        <v>995</v>
      </c>
      <c r="S57" s="77" t="s">
        <v>258</v>
      </c>
      <c r="T57" s="73" t="s">
        <v>996</v>
      </c>
      <c r="U57" s="73" t="s">
        <v>997</v>
      </c>
      <c r="V57" s="74"/>
      <c r="W57" s="75" t="s">
        <v>998</v>
      </c>
      <c r="X57" s="76" t="s">
        <v>999</v>
      </c>
      <c r="Y57" s="85" t="s">
        <v>258</v>
      </c>
      <c r="Z57" s="90" t="s">
        <v>1000</v>
      </c>
      <c r="AA57" s="86" t="s">
        <v>1001</v>
      </c>
      <c r="AB57" s="87" t="s">
        <v>1002</v>
      </c>
      <c r="AC57" s="75" t="s">
        <v>258</v>
      </c>
      <c r="AD57" s="82"/>
      <c r="AE57" s="82"/>
    </row>
    <row r="58">
      <c r="A58" s="63" t="s">
        <v>1003</v>
      </c>
      <c r="B58" s="64" t="s">
        <v>989</v>
      </c>
      <c r="C58" s="64" t="s">
        <v>1004</v>
      </c>
      <c r="D58" s="63" t="s">
        <v>1005</v>
      </c>
      <c r="E58" s="112" t="s">
        <v>1006</v>
      </c>
      <c r="F58" s="112" t="s">
        <v>1007</v>
      </c>
      <c r="G58" s="84" t="s">
        <v>246</v>
      </c>
      <c r="H58" s="67" t="s">
        <v>247</v>
      </c>
      <c r="I58" s="67" t="s">
        <v>247</v>
      </c>
      <c r="J58" s="67" t="s">
        <v>247</v>
      </c>
      <c r="K58" s="67" t="s">
        <v>247</v>
      </c>
      <c r="L58" s="67" t="s">
        <v>247</v>
      </c>
      <c r="M58" s="67" t="s">
        <v>248</v>
      </c>
      <c r="N58" s="68" t="s">
        <v>248</v>
      </c>
      <c r="O58" s="69" t="s">
        <v>1008</v>
      </c>
      <c r="P58" s="69" t="s">
        <v>502</v>
      </c>
      <c r="Q58" s="70" t="s">
        <v>251</v>
      </c>
      <c r="R58" s="71" t="s">
        <v>1009</v>
      </c>
      <c r="S58" s="77" t="s">
        <v>258</v>
      </c>
      <c r="T58" s="87" t="s">
        <v>258</v>
      </c>
      <c r="U58" s="87" t="s">
        <v>258</v>
      </c>
      <c r="V58" s="74"/>
      <c r="W58" s="75" t="s">
        <v>1010</v>
      </c>
      <c r="X58" s="76" t="s">
        <v>1011</v>
      </c>
      <c r="Y58" s="85" t="s">
        <v>258</v>
      </c>
      <c r="Z58" s="90" t="s">
        <v>1012</v>
      </c>
      <c r="AA58" s="86" t="s">
        <v>258</v>
      </c>
      <c r="AB58" s="87" t="s">
        <v>1013</v>
      </c>
      <c r="AC58" s="71" t="s">
        <v>1014</v>
      </c>
      <c r="AD58" s="82"/>
      <c r="AE58" s="82"/>
    </row>
    <row r="59">
      <c r="A59" s="63" t="s">
        <v>1015</v>
      </c>
      <c r="B59" s="64" t="s">
        <v>989</v>
      </c>
      <c r="C59" s="64" t="s">
        <v>1016</v>
      </c>
      <c r="D59" s="103" t="s">
        <v>1017</v>
      </c>
      <c r="E59" s="113" t="s">
        <v>1018</v>
      </c>
      <c r="F59" s="113" t="s">
        <v>1019</v>
      </c>
      <c r="G59" s="84" t="s">
        <v>394</v>
      </c>
      <c r="H59" s="67" t="s">
        <v>247</v>
      </c>
      <c r="I59" s="67" t="s">
        <v>247</v>
      </c>
      <c r="J59" s="67" t="s">
        <v>247</v>
      </c>
      <c r="K59" s="67" t="s">
        <v>247</v>
      </c>
      <c r="L59" s="67" t="s">
        <v>247</v>
      </c>
      <c r="M59" s="67" t="s">
        <v>248</v>
      </c>
      <c r="N59" s="68" t="s">
        <v>248</v>
      </c>
      <c r="O59" s="69" t="s">
        <v>1020</v>
      </c>
      <c r="P59" s="69" t="s">
        <v>529</v>
      </c>
      <c r="Q59" s="70" t="s">
        <v>251</v>
      </c>
      <c r="R59" s="71" t="s">
        <v>1021</v>
      </c>
      <c r="S59" s="77" t="s">
        <v>258</v>
      </c>
      <c r="T59" s="87" t="s">
        <v>258</v>
      </c>
      <c r="U59" s="87" t="s">
        <v>258</v>
      </c>
      <c r="V59" s="74"/>
      <c r="W59" s="75" t="s">
        <v>1022</v>
      </c>
      <c r="X59" s="76" t="s">
        <v>1023</v>
      </c>
      <c r="Y59" s="85" t="s">
        <v>258</v>
      </c>
      <c r="Z59" s="90" t="s">
        <v>1024</v>
      </c>
      <c r="AA59" s="86" t="s">
        <v>1025</v>
      </c>
      <c r="AB59" s="87" t="s">
        <v>1026</v>
      </c>
      <c r="AC59" s="71" t="s">
        <v>577</v>
      </c>
      <c r="AD59" s="82"/>
      <c r="AE59" s="82"/>
    </row>
    <row r="60">
      <c r="A60" s="63" t="s">
        <v>1027</v>
      </c>
      <c r="B60" s="64" t="s">
        <v>989</v>
      </c>
      <c r="C60" s="64" t="s">
        <v>1028</v>
      </c>
      <c r="D60" s="63" t="s">
        <v>1029</v>
      </c>
      <c r="E60" s="114" t="s">
        <v>1018</v>
      </c>
      <c r="F60" s="114" t="s">
        <v>1030</v>
      </c>
      <c r="G60" s="84" t="s">
        <v>246</v>
      </c>
      <c r="H60" s="67" t="s">
        <v>247</v>
      </c>
      <c r="I60" s="67" t="s">
        <v>247</v>
      </c>
      <c r="J60" s="67" t="s">
        <v>247</v>
      </c>
      <c r="K60" s="67" t="s">
        <v>247</v>
      </c>
      <c r="L60" s="67" t="s">
        <v>247</v>
      </c>
      <c r="M60" s="67" t="s">
        <v>248</v>
      </c>
      <c r="N60" s="68" t="s">
        <v>248</v>
      </c>
      <c r="O60" s="69" t="s">
        <v>1031</v>
      </c>
      <c r="P60" s="69" t="s">
        <v>502</v>
      </c>
      <c r="Q60" s="70" t="s">
        <v>251</v>
      </c>
      <c r="R60" s="75" t="s">
        <v>258</v>
      </c>
      <c r="S60" s="77" t="s">
        <v>258</v>
      </c>
      <c r="T60" s="87" t="s">
        <v>258</v>
      </c>
      <c r="U60" s="87" t="s">
        <v>258</v>
      </c>
      <c r="V60" s="74"/>
      <c r="W60" s="75" t="s">
        <v>1032</v>
      </c>
      <c r="X60" s="76" t="s">
        <v>1033</v>
      </c>
      <c r="Y60" s="85" t="s">
        <v>258</v>
      </c>
      <c r="Z60" s="90" t="s">
        <v>1034</v>
      </c>
      <c r="AA60" s="86" t="s">
        <v>1025</v>
      </c>
      <c r="AB60" s="87" t="s">
        <v>1026</v>
      </c>
      <c r="AC60" s="110" t="s">
        <v>258</v>
      </c>
      <c r="AD60" s="82"/>
      <c r="AE60" s="82"/>
    </row>
    <row r="61">
      <c r="A61" s="63" t="s">
        <v>1035</v>
      </c>
      <c r="B61" s="64" t="s">
        <v>989</v>
      </c>
      <c r="C61" s="64" t="s">
        <v>1036</v>
      </c>
      <c r="D61" s="63" t="s">
        <v>1037</v>
      </c>
      <c r="E61" s="114" t="s">
        <v>1038</v>
      </c>
      <c r="F61" s="114" t="s">
        <v>1039</v>
      </c>
      <c r="G61" s="84" t="s">
        <v>246</v>
      </c>
      <c r="H61" s="67" t="s">
        <v>247</v>
      </c>
      <c r="I61" s="67" t="s">
        <v>247</v>
      </c>
      <c r="J61" s="67" t="s">
        <v>247</v>
      </c>
      <c r="K61" s="67" t="s">
        <v>247</v>
      </c>
      <c r="L61" s="67" t="s">
        <v>247</v>
      </c>
      <c r="M61" s="67" t="s">
        <v>248</v>
      </c>
      <c r="N61" s="68" t="s">
        <v>248</v>
      </c>
      <c r="O61" s="69" t="s">
        <v>1040</v>
      </c>
      <c r="P61" s="69" t="s">
        <v>478</v>
      </c>
      <c r="Q61" s="70" t="s">
        <v>251</v>
      </c>
      <c r="R61" s="75" t="s">
        <v>258</v>
      </c>
      <c r="S61" s="77" t="s">
        <v>258</v>
      </c>
      <c r="T61" s="87" t="s">
        <v>258</v>
      </c>
      <c r="U61" s="73" t="s">
        <v>1041</v>
      </c>
      <c r="V61" s="74"/>
      <c r="W61" s="75" t="s">
        <v>1042</v>
      </c>
      <c r="X61" s="76" t="s">
        <v>1043</v>
      </c>
      <c r="Y61" s="85" t="s">
        <v>258</v>
      </c>
      <c r="Z61" s="90" t="s">
        <v>1044</v>
      </c>
      <c r="AA61" s="86" t="s">
        <v>258</v>
      </c>
      <c r="AB61" s="87" t="s">
        <v>1045</v>
      </c>
      <c r="AC61" s="75" t="s">
        <v>258</v>
      </c>
      <c r="AD61" s="82"/>
      <c r="AE61" s="82"/>
    </row>
    <row r="62">
      <c r="A62" s="63" t="s">
        <v>1046</v>
      </c>
      <c r="B62" s="64" t="s">
        <v>989</v>
      </c>
      <c r="C62" s="64" t="s">
        <v>1047</v>
      </c>
      <c r="D62" s="63" t="s">
        <v>1048</v>
      </c>
      <c r="E62" s="114" t="s">
        <v>1049</v>
      </c>
      <c r="F62" s="114" t="s">
        <v>1050</v>
      </c>
      <c r="G62" s="84" t="s">
        <v>246</v>
      </c>
      <c r="H62" s="67" t="s">
        <v>247</v>
      </c>
      <c r="I62" s="67" t="s">
        <v>247</v>
      </c>
      <c r="J62" s="67" t="s">
        <v>247</v>
      </c>
      <c r="K62" s="67" t="s">
        <v>247</v>
      </c>
      <c r="L62" s="67" t="s">
        <v>247</v>
      </c>
      <c r="M62" s="67" t="s">
        <v>248</v>
      </c>
      <c r="N62" s="68" t="s">
        <v>248</v>
      </c>
      <c r="O62" s="69" t="s">
        <v>1051</v>
      </c>
      <c r="P62" s="69" t="s">
        <v>1052</v>
      </c>
      <c r="Q62" s="70" t="s">
        <v>251</v>
      </c>
      <c r="R62" s="75" t="s">
        <v>258</v>
      </c>
      <c r="S62" s="77" t="s">
        <v>258</v>
      </c>
      <c r="T62" s="87" t="s">
        <v>258</v>
      </c>
      <c r="U62" s="87" t="s">
        <v>258</v>
      </c>
      <c r="V62" s="74"/>
      <c r="W62" s="75" t="s">
        <v>1053</v>
      </c>
      <c r="X62" s="76" t="s">
        <v>1054</v>
      </c>
      <c r="Y62" s="85" t="s">
        <v>258</v>
      </c>
      <c r="Z62" s="90" t="s">
        <v>1055</v>
      </c>
      <c r="AA62" s="86" t="s">
        <v>258</v>
      </c>
      <c r="AB62" s="87" t="s">
        <v>1056</v>
      </c>
      <c r="AC62" s="75" t="s">
        <v>258</v>
      </c>
      <c r="AD62" s="82"/>
      <c r="AE62" s="82"/>
    </row>
    <row r="63">
      <c r="A63" s="63" t="s">
        <v>1057</v>
      </c>
      <c r="B63" s="64" t="s">
        <v>989</v>
      </c>
      <c r="C63" s="64" t="s">
        <v>1058</v>
      </c>
      <c r="D63" s="63" t="s">
        <v>1059</v>
      </c>
      <c r="E63" s="112" t="s">
        <v>1060</v>
      </c>
      <c r="F63" s="112" t="s">
        <v>1061</v>
      </c>
      <c r="G63" s="84" t="s">
        <v>246</v>
      </c>
      <c r="H63" s="67" t="s">
        <v>247</v>
      </c>
      <c r="I63" s="67" t="s">
        <v>247</v>
      </c>
      <c r="J63" s="67" t="s">
        <v>247</v>
      </c>
      <c r="K63" s="67" t="s">
        <v>247</v>
      </c>
      <c r="L63" s="67" t="s">
        <v>247</v>
      </c>
      <c r="M63" s="67" t="s">
        <v>248</v>
      </c>
      <c r="N63" s="68" t="s">
        <v>248</v>
      </c>
      <c r="O63" s="69" t="s">
        <v>1062</v>
      </c>
      <c r="P63" s="69" t="s">
        <v>598</v>
      </c>
      <c r="Q63" s="70" t="s">
        <v>251</v>
      </c>
      <c r="R63" s="75" t="s">
        <v>258</v>
      </c>
      <c r="S63" s="77" t="s">
        <v>258</v>
      </c>
      <c r="T63" s="87" t="s">
        <v>258</v>
      </c>
      <c r="U63" s="87" t="s">
        <v>258</v>
      </c>
      <c r="V63" s="74"/>
      <c r="W63" s="75" t="s">
        <v>1063</v>
      </c>
      <c r="X63" s="76" t="s">
        <v>1064</v>
      </c>
      <c r="Y63" s="85" t="s">
        <v>258</v>
      </c>
      <c r="Z63" s="90" t="s">
        <v>1065</v>
      </c>
      <c r="AA63" s="86" t="s">
        <v>1066</v>
      </c>
      <c r="AB63" s="87" t="s">
        <v>1067</v>
      </c>
      <c r="AC63" s="75" t="s">
        <v>258</v>
      </c>
      <c r="AD63" s="82"/>
      <c r="AE63" s="82"/>
    </row>
    <row r="64">
      <c r="A64" s="63" t="s">
        <v>1068</v>
      </c>
      <c r="B64" s="64" t="s">
        <v>989</v>
      </c>
      <c r="C64" s="64" t="s">
        <v>1069</v>
      </c>
      <c r="D64" s="63" t="s">
        <v>1070</v>
      </c>
      <c r="E64" s="65" t="s">
        <v>1071</v>
      </c>
      <c r="F64" s="65" t="s">
        <v>1072</v>
      </c>
      <c r="G64" s="84" t="s">
        <v>246</v>
      </c>
      <c r="H64" s="67" t="s">
        <v>247</v>
      </c>
      <c r="I64" s="67" t="s">
        <v>247</v>
      </c>
      <c r="J64" s="67" t="s">
        <v>247</v>
      </c>
      <c r="K64" s="67" t="s">
        <v>247</v>
      </c>
      <c r="L64" s="67" t="s">
        <v>247</v>
      </c>
      <c r="M64" s="67" t="s">
        <v>247</v>
      </c>
      <c r="N64" s="68" t="s">
        <v>248</v>
      </c>
      <c r="O64" s="69" t="s">
        <v>1073</v>
      </c>
      <c r="P64" s="69" t="s">
        <v>1074</v>
      </c>
      <c r="Q64" s="70" t="s">
        <v>251</v>
      </c>
      <c r="R64" s="71" t="s">
        <v>1075</v>
      </c>
      <c r="S64" s="72" t="s">
        <v>1076</v>
      </c>
      <c r="T64" s="87" t="s">
        <v>1077</v>
      </c>
      <c r="U64" s="87" t="s">
        <v>258</v>
      </c>
      <c r="V64" s="74"/>
      <c r="W64" s="75" t="s">
        <v>1078</v>
      </c>
      <c r="X64" s="76" t="s">
        <v>1079</v>
      </c>
      <c r="Y64" s="85" t="s">
        <v>258</v>
      </c>
      <c r="Z64" s="90" t="s">
        <v>1080</v>
      </c>
      <c r="AA64" s="86" t="s">
        <v>260</v>
      </c>
      <c r="AB64" s="87" t="s">
        <v>1081</v>
      </c>
      <c r="AC64" s="75" t="s">
        <v>258</v>
      </c>
      <c r="AD64" s="82"/>
      <c r="AE64" s="82"/>
    </row>
    <row r="65">
      <c r="A65" s="115" t="s">
        <v>1082</v>
      </c>
      <c r="B65" s="115" t="s">
        <v>222</v>
      </c>
      <c r="C65" s="115" t="s">
        <v>1083</v>
      </c>
      <c r="D65" s="116" t="s">
        <v>1084</v>
      </c>
      <c r="E65" s="117" t="s">
        <v>1085</v>
      </c>
      <c r="F65" s="117" t="s">
        <v>1086</v>
      </c>
      <c r="G65" s="118" t="s">
        <v>1087</v>
      </c>
      <c r="H65" s="119"/>
      <c r="I65" s="119"/>
      <c r="J65" s="119"/>
      <c r="K65" s="119"/>
      <c r="L65" s="119"/>
      <c r="M65" s="119"/>
      <c r="N65" s="68" t="s">
        <v>247</v>
      </c>
      <c r="O65" s="69" t="s">
        <v>737</v>
      </c>
      <c r="P65" s="69" t="s">
        <v>709</v>
      </c>
      <c r="Q65" s="120" t="s">
        <v>396</v>
      </c>
      <c r="R65" s="74"/>
      <c r="S65" s="121"/>
      <c r="T65" s="74"/>
      <c r="U65" s="74"/>
      <c r="V65" s="115" t="s">
        <v>1088</v>
      </c>
      <c r="W65" s="74"/>
      <c r="X65" s="100"/>
      <c r="Y65" s="121"/>
      <c r="Z65" s="122"/>
      <c r="AA65" s="123"/>
      <c r="AB65" s="124"/>
      <c r="AC65" s="124"/>
      <c r="AD65" s="82"/>
      <c r="AE65" s="82"/>
    </row>
    <row r="66">
      <c r="A66" s="115" t="s">
        <v>1089</v>
      </c>
      <c r="B66" s="115" t="s">
        <v>222</v>
      </c>
      <c r="C66" s="115" t="s">
        <v>1090</v>
      </c>
      <c r="D66" s="116" t="s">
        <v>1091</v>
      </c>
      <c r="E66" s="117" t="s">
        <v>1092</v>
      </c>
      <c r="F66" s="117" t="s">
        <v>1093</v>
      </c>
      <c r="G66" s="118" t="s">
        <v>1087</v>
      </c>
      <c r="H66" s="119"/>
      <c r="I66" s="119"/>
      <c r="J66" s="119"/>
      <c r="K66" s="119"/>
      <c r="L66" s="119"/>
      <c r="M66" s="119"/>
      <c r="N66" s="68" t="s">
        <v>247</v>
      </c>
      <c r="O66" s="69" t="s">
        <v>737</v>
      </c>
      <c r="P66" s="69" t="s">
        <v>709</v>
      </c>
      <c r="Q66" s="120" t="s">
        <v>396</v>
      </c>
      <c r="R66" s="74"/>
      <c r="S66" s="121"/>
      <c r="T66" s="74"/>
      <c r="U66" s="74"/>
      <c r="V66" s="115" t="s">
        <v>1094</v>
      </c>
      <c r="W66" s="74"/>
      <c r="X66" s="100"/>
      <c r="Y66" s="125"/>
      <c r="Z66" s="122"/>
      <c r="AA66" s="126"/>
      <c r="AB66" s="74"/>
      <c r="AC66" s="74"/>
      <c r="AD66" s="82"/>
      <c r="AE66" s="82"/>
    </row>
    <row r="67">
      <c r="A67" s="115" t="s">
        <v>1095</v>
      </c>
      <c r="B67" s="115" t="s">
        <v>222</v>
      </c>
      <c r="C67" s="115" t="s">
        <v>1096</v>
      </c>
      <c r="D67" s="115" t="s">
        <v>1097</v>
      </c>
      <c r="E67" s="117" t="s">
        <v>1098</v>
      </c>
      <c r="F67" s="117" t="s">
        <v>1099</v>
      </c>
      <c r="G67" s="118" t="s">
        <v>1087</v>
      </c>
      <c r="H67" s="119"/>
      <c r="I67" s="119"/>
      <c r="J67" s="119"/>
      <c r="K67" s="119"/>
      <c r="L67" s="119"/>
      <c r="M67" s="119"/>
      <c r="N67" s="68" t="s">
        <v>247</v>
      </c>
      <c r="O67" s="69" t="s">
        <v>737</v>
      </c>
      <c r="P67" s="69" t="s">
        <v>709</v>
      </c>
      <c r="Q67" s="120" t="s">
        <v>396</v>
      </c>
      <c r="R67" s="74"/>
      <c r="S67" s="121"/>
      <c r="T67" s="74"/>
      <c r="U67" s="74"/>
      <c r="V67" s="115" t="s">
        <v>1100</v>
      </c>
      <c r="W67" s="74"/>
      <c r="X67" s="100"/>
      <c r="Y67" s="125"/>
      <c r="Z67" s="122"/>
      <c r="AA67" s="126"/>
      <c r="AB67" s="74"/>
      <c r="AC67" s="74"/>
      <c r="AD67" s="82"/>
      <c r="AE67" s="82"/>
    </row>
    <row r="68">
      <c r="A68" s="115" t="s">
        <v>1101</v>
      </c>
      <c r="B68" s="115" t="s">
        <v>222</v>
      </c>
      <c r="C68" s="115" t="s">
        <v>1102</v>
      </c>
      <c r="D68" s="115" t="s">
        <v>1103</v>
      </c>
      <c r="E68" s="117" t="s">
        <v>1104</v>
      </c>
      <c r="F68" s="117" t="s">
        <v>1105</v>
      </c>
      <c r="G68" s="118" t="s">
        <v>1087</v>
      </c>
      <c r="H68" s="119"/>
      <c r="I68" s="119"/>
      <c r="J68" s="119"/>
      <c r="K68" s="119"/>
      <c r="L68" s="119"/>
      <c r="M68" s="119"/>
      <c r="N68" s="68" t="s">
        <v>247</v>
      </c>
      <c r="O68" s="69" t="s">
        <v>816</v>
      </c>
      <c r="P68" s="69" t="s">
        <v>817</v>
      </c>
      <c r="Q68" s="120" t="s">
        <v>251</v>
      </c>
      <c r="R68" s="74"/>
      <c r="S68" s="121"/>
      <c r="T68" s="74"/>
      <c r="U68" s="74"/>
      <c r="V68" s="115" t="s">
        <v>1106</v>
      </c>
      <c r="W68" s="74"/>
      <c r="X68" s="100"/>
      <c r="Y68" s="125"/>
      <c r="Z68" s="122"/>
      <c r="AA68" s="126"/>
      <c r="AB68" s="74"/>
      <c r="AC68" s="74"/>
      <c r="AD68" s="82"/>
      <c r="AE68" s="82"/>
    </row>
    <row r="69">
      <c r="A69" s="115" t="s">
        <v>1107</v>
      </c>
      <c r="B69" s="115" t="s">
        <v>222</v>
      </c>
      <c r="C69" s="115" t="s">
        <v>1108</v>
      </c>
      <c r="D69" s="115" t="s">
        <v>1109</v>
      </c>
      <c r="E69" s="117" t="s">
        <v>1110</v>
      </c>
      <c r="F69" s="117" t="s">
        <v>1111</v>
      </c>
      <c r="G69" s="118" t="s">
        <v>1087</v>
      </c>
      <c r="H69" s="119"/>
      <c r="I69" s="119"/>
      <c r="J69" s="119"/>
      <c r="K69" s="119"/>
      <c r="L69" s="119"/>
      <c r="M69" s="119"/>
      <c r="N69" s="68" t="s">
        <v>247</v>
      </c>
      <c r="O69" s="69" t="s">
        <v>833</v>
      </c>
      <c r="P69" s="69" t="s">
        <v>817</v>
      </c>
      <c r="Q69" s="120" t="s">
        <v>396</v>
      </c>
      <c r="R69" s="74"/>
      <c r="S69" s="121"/>
      <c r="T69" s="74"/>
      <c r="U69" s="74"/>
      <c r="V69" s="115" t="s">
        <v>1112</v>
      </c>
      <c r="W69" s="74"/>
      <c r="X69" s="100"/>
      <c r="Y69" s="125"/>
      <c r="Z69" s="122"/>
      <c r="AA69" s="126"/>
      <c r="AB69" s="74"/>
      <c r="AC69" s="74"/>
      <c r="AD69" s="82"/>
      <c r="AE69" s="82"/>
    </row>
    <row r="70">
      <c r="A70" s="115" t="s">
        <v>1113</v>
      </c>
      <c r="B70" s="115" t="s">
        <v>222</v>
      </c>
      <c r="C70" s="115" t="s">
        <v>1114</v>
      </c>
      <c r="D70" s="115" t="s">
        <v>1115</v>
      </c>
      <c r="E70" s="117" t="s">
        <v>1116</v>
      </c>
      <c r="F70" s="117" t="s">
        <v>1117</v>
      </c>
      <c r="G70" s="118" t="s">
        <v>1087</v>
      </c>
      <c r="H70" s="119"/>
      <c r="I70" s="119"/>
      <c r="J70" s="119"/>
      <c r="K70" s="119"/>
      <c r="L70" s="119"/>
      <c r="M70" s="119"/>
      <c r="N70" s="68" t="s">
        <v>247</v>
      </c>
      <c r="O70" s="69" t="s">
        <v>918</v>
      </c>
      <c r="P70" s="69" t="s">
        <v>709</v>
      </c>
      <c r="Q70" s="120" t="s">
        <v>396</v>
      </c>
      <c r="R70" s="74"/>
      <c r="S70" s="121"/>
      <c r="T70" s="74"/>
      <c r="U70" s="74"/>
      <c r="V70" s="115" t="s">
        <v>1118</v>
      </c>
      <c r="W70" s="74"/>
      <c r="X70" s="100"/>
      <c r="Y70" s="125"/>
      <c r="Z70" s="122"/>
      <c r="AA70" s="126"/>
      <c r="AB70" s="74"/>
      <c r="AC70" s="74"/>
      <c r="AD70" s="82"/>
      <c r="AE70" s="82"/>
    </row>
    <row r="71">
      <c r="A71" s="115" t="s">
        <v>1119</v>
      </c>
      <c r="B71" s="115" t="s">
        <v>222</v>
      </c>
      <c r="C71" s="115" t="s">
        <v>1120</v>
      </c>
      <c r="D71" s="115" t="s">
        <v>1121</v>
      </c>
      <c r="E71" s="117" t="s">
        <v>1122</v>
      </c>
      <c r="F71" s="117" t="s">
        <v>1123</v>
      </c>
      <c r="G71" s="118" t="s">
        <v>1087</v>
      </c>
      <c r="H71" s="119"/>
      <c r="I71" s="119"/>
      <c r="J71" s="119"/>
      <c r="K71" s="119"/>
      <c r="L71" s="119"/>
      <c r="M71" s="119"/>
      <c r="N71" s="68" t="s">
        <v>247</v>
      </c>
      <c r="O71" s="69" t="s">
        <v>737</v>
      </c>
      <c r="P71" s="69" t="s">
        <v>709</v>
      </c>
      <c r="Q71" s="120" t="s">
        <v>396</v>
      </c>
      <c r="R71" s="74"/>
      <c r="S71" s="121"/>
      <c r="T71" s="74"/>
      <c r="U71" s="74"/>
      <c r="V71" s="115" t="s">
        <v>1124</v>
      </c>
      <c r="W71" s="74"/>
      <c r="X71" s="100"/>
      <c r="Y71" s="125"/>
      <c r="Z71" s="122"/>
      <c r="AA71" s="126"/>
      <c r="AB71" s="74"/>
      <c r="AC71" s="74"/>
      <c r="AD71" s="82"/>
      <c r="AE71" s="82"/>
    </row>
    <row r="72">
      <c r="A72" s="115" t="s">
        <v>1125</v>
      </c>
      <c r="B72" s="115" t="s">
        <v>222</v>
      </c>
      <c r="C72" s="115" t="s">
        <v>1126</v>
      </c>
      <c r="D72" s="115" t="s">
        <v>1127</v>
      </c>
      <c r="E72" s="117" t="s">
        <v>1128</v>
      </c>
      <c r="F72" s="117" t="s">
        <v>1129</v>
      </c>
      <c r="G72" s="118" t="s">
        <v>1087</v>
      </c>
      <c r="H72" s="119"/>
      <c r="I72" s="119"/>
      <c r="J72" s="119"/>
      <c r="K72" s="119"/>
      <c r="L72" s="119"/>
      <c r="M72" s="119"/>
      <c r="N72" s="68" t="s">
        <v>247</v>
      </c>
      <c r="O72" s="69" t="s">
        <v>1073</v>
      </c>
      <c r="P72" s="69" t="s">
        <v>1074</v>
      </c>
      <c r="Q72" s="120" t="s">
        <v>396</v>
      </c>
      <c r="R72" s="74"/>
      <c r="S72" s="121"/>
      <c r="T72" s="74"/>
      <c r="U72" s="74"/>
      <c r="V72" s="115" t="s">
        <v>1130</v>
      </c>
      <c r="W72" s="74"/>
      <c r="X72" s="100"/>
      <c r="Y72" s="125"/>
      <c r="Z72" s="122"/>
      <c r="AA72" s="126"/>
      <c r="AB72" s="74"/>
      <c r="AC72" s="74"/>
      <c r="AD72" s="82"/>
      <c r="AE72" s="127" t="s">
        <v>1131</v>
      </c>
    </row>
    <row r="73">
      <c r="A73" s="115" t="s">
        <v>1132</v>
      </c>
      <c r="B73" s="115" t="s">
        <v>222</v>
      </c>
      <c r="C73" s="115" t="s">
        <v>1133</v>
      </c>
      <c r="D73" s="115" t="s">
        <v>1134</v>
      </c>
      <c r="E73" s="117" t="s">
        <v>1135</v>
      </c>
      <c r="F73" s="117" t="s">
        <v>1136</v>
      </c>
      <c r="G73" s="118" t="s">
        <v>1087</v>
      </c>
      <c r="H73" s="119"/>
      <c r="I73" s="119"/>
      <c r="J73" s="119"/>
      <c r="K73" s="119"/>
      <c r="L73" s="119"/>
      <c r="M73" s="119"/>
      <c r="N73" s="68" t="s">
        <v>247</v>
      </c>
      <c r="O73" s="69" t="s">
        <v>1073</v>
      </c>
      <c r="P73" s="69" t="s">
        <v>1074</v>
      </c>
      <c r="Q73" s="120" t="s">
        <v>396</v>
      </c>
      <c r="R73" s="74"/>
      <c r="S73" s="121"/>
      <c r="T73" s="74"/>
      <c r="U73" s="74"/>
      <c r="V73" s="115" t="s">
        <v>1137</v>
      </c>
      <c r="W73" s="74"/>
      <c r="X73" s="100"/>
      <c r="Y73" s="125"/>
      <c r="Z73" s="122"/>
      <c r="AA73" s="126"/>
      <c r="AB73" s="74"/>
      <c r="AC73" s="74"/>
      <c r="AD73" s="82"/>
      <c r="AE73" s="82"/>
    </row>
    <row r="74">
      <c r="A74" s="115" t="s">
        <v>1138</v>
      </c>
      <c r="B74" s="115" t="s">
        <v>222</v>
      </c>
      <c r="C74" s="115" t="s">
        <v>1139</v>
      </c>
      <c r="D74" s="115" t="s">
        <v>1140</v>
      </c>
      <c r="E74" s="117" t="s">
        <v>1141</v>
      </c>
      <c r="F74" s="117" t="s">
        <v>1142</v>
      </c>
      <c r="G74" s="118" t="s">
        <v>1087</v>
      </c>
      <c r="H74" s="119"/>
      <c r="I74" s="119"/>
      <c r="J74" s="119"/>
      <c r="K74" s="119"/>
      <c r="L74" s="119"/>
      <c r="M74" s="119"/>
      <c r="N74" s="68" t="s">
        <v>247</v>
      </c>
      <c r="O74" s="69" t="s">
        <v>1073</v>
      </c>
      <c r="P74" s="69" t="s">
        <v>1074</v>
      </c>
      <c r="Q74" s="120" t="s">
        <v>396</v>
      </c>
      <c r="R74" s="74"/>
      <c r="S74" s="121"/>
      <c r="T74" s="74"/>
      <c r="U74" s="74"/>
      <c r="V74" s="115" t="s">
        <v>1143</v>
      </c>
      <c r="W74" s="74"/>
      <c r="X74" s="100"/>
      <c r="Y74" s="125"/>
      <c r="Z74" s="122"/>
      <c r="AA74" s="126"/>
      <c r="AB74" s="74"/>
      <c r="AC74" s="74"/>
      <c r="AD74" s="82"/>
      <c r="AE74" s="82"/>
    </row>
    <row r="75">
      <c r="A75" s="115" t="s">
        <v>1144</v>
      </c>
      <c r="B75" s="115" t="s">
        <v>222</v>
      </c>
      <c r="C75" s="115" t="s">
        <v>1145</v>
      </c>
      <c r="D75" s="115" t="s">
        <v>1146</v>
      </c>
      <c r="E75" s="117" t="s">
        <v>1147</v>
      </c>
      <c r="F75" s="117" t="s">
        <v>1148</v>
      </c>
      <c r="G75" s="118" t="s">
        <v>1087</v>
      </c>
      <c r="H75" s="119"/>
      <c r="I75" s="119"/>
      <c r="J75" s="119"/>
      <c r="K75" s="119"/>
      <c r="L75" s="119"/>
      <c r="M75" s="119"/>
      <c r="N75" s="68" t="s">
        <v>247</v>
      </c>
      <c r="O75" s="69" t="s">
        <v>967</v>
      </c>
      <c r="P75" s="69" t="s">
        <v>968</v>
      </c>
      <c r="Q75" s="120" t="s">
        <v>396</v>
      </c>
      <c r="R75" s="74"/>
      <c r="S75" s="121"/>
      <c r="T75" s="74"/>
      <c r="U75" s="74"/>
      <c r="V75" s="115" t="s">
        <v>1149</v>
      </c>
      <c r="W75" s="74"/>
      <c r="X75" s="100"/>
      <c r="Y75" s="125"/>
      <c r="Z75" s="122"/>
      <c r="AA75" s="126"/>
      <c r="AB75" s="74"/>
      <c r="AC75" s="74"/>
      <c r="AD75" s="82"/>
      <c r="AE75" s="127" t="s">
        <v>1150</v>
      </c>
    </row>
    <row r="76">
      <c r="A76" s="115" t="s">
        <v>1151</v>
      </c>
      <c r="B76" s="115" t="s">
        <v>222</v>
      </c>
      <c r="C76" s="115" t="s">
        <v>1152</v>
      </c>
      <c r="D76" s="128" t="s">
        <v>1153</v>
      </c>
      <c r="E76" s="117" t="s">
        <v>1154</v>
      </c>
      <c r="F76" s="117" t="s">
        <v>1155</v>
      </c>
      <c r="G76" s="118" t="s">
        <v>1087</v>
      </c>
      <c r="H76" s="119"/>
      <c r="I76" s="119"/>
      <c r="J76" s="119"/>
      <c r="K76" s="119"/>
      <c r="L76" s="119"/>
      <c r="M76" s="119"/>
      <c r="N76" s="68" t="s">
        <v>247</v>
      </c>
      <c r="O76" s="69" t="s">
        <v>553</v>
      </c>
      <c r="P76" s="69" t="s">
        <v>692</v>
      </c>
      <c r="Q76" s="120" t="s">
        <v>396</v>
      </c>
      <c r="R76" s="74"/>
      <c r="S76" s="121"/>
      <c r="T76" s="74"/>
      <c r="U76" s="74"/>
      <c r="V76" s="115" t="s">
        <v>1156</v>
      </c>
      <c r="W76" s="74"/>
      <c r="X76" s="100"/>
      <c r="Y76" s="125"/>
      <c r="Z76" s="122"/>
      <c r="AA76" s="126"/>
      <c r="AB76" s="74"/>
      <c r="AC76" s="74"/>
      <c r="AD76" s="82"/>
      <c r="AE76" s="82"/>
    </row>
    <row r="77">
      <c r="A77" s="115" t="s">
        <v>1157</v>
      </c>
      <c r="B77" s="115" t="s">
        <v>222</v>
      </c>
      <c r="C77" s="115" t="s">
        <v>1158</v>
      </c>
      <c r="D77" s="115" t="s">
        <v>1159</v>
      </c>
      <c r="E77" s="117" t="s">
        <v>1160</v>
      </c>
      <c r="F77" s="117" t="s">
        <v>1161</v>
      </c>
      <c r="G77" s="118" t="s">
        <v>1087</v>
      </c>
      <c r="H77" s="119"/>
      <c r="I77" s="119"/>
      <c r="J77" s="119"/>
      <c r="K77" s="119"/>
      <c r="L77" s="119"/>
      <c r="M77" s="119"/>
      <c r="N77" s="68" t="s">
        <v>247</v>
      </c>
      <c r="O77" s="69" t="s">
        <v>553</v>
      </c>
      <c r="P77" s="69" t="s">
        <v>692</v>
      </c>
      <c r="Q77" s="120" t="s">
        <v>396</v>
      </c>
      <c r="R77" s="74"/>
      <c r="S77" s="121"/>
      <c r="T77" s="74"/>
      <c r="U77" s="74"/>
      <c r="V77" s="115" t="s">
        <v>1162</v>
      </c>
      <c r="W77" s="74"/>
      <c r="X77" s="100"/>
      <c r="Y77" s="125"/>
      <c r="Z77" s="122"/>
      <c r="AA77" s="126"/>
      <c r="AB77" s="74"/>
      <c r="AC77" s="74"/>
      <c r="AD77" s="82"/>
      <c r="AE77" s="82"/>
    </row>
    <row r="78">
      <c r="A78" s="115" t="s">
        <v>1163</v>
      </c>
      <c r="B78" s="115" t="s">
        <v>222</v>
      </c>
      <c r="C78" s="115" t="s">
        <v>1164</v>
      </c>
      <c r="D78" s="115" t="s">
        <v>1165</v>
      </c>
      <c r="E78" s="117" t="s">
        <v>1166</v>
      </c>
      <c r="F78" s="117" t="s">
        <v>1167</v>
      </c>
      <c r="G78" s="118" t="s">
        <v>1087</v>
      </c>
      <c r="H78" s="119"/>
      <c r="I78" s="119"/>
      <c r="J78" s="119"/>
      <c r="K78" s="119"/>
      <c r="L78" s="119"/>
      <c r="M78" s="119"/>
      <c r="N78" s="68" t="s">
        <v>247</v>
      </c>
      <c r="O78" s="69" t="s">
        <v>1073</v>
      </c>
      <c r="P78" s="69" t="s">
        <v>1074</v>
      </c>
      <c r="Q78" s="120" t="s">
        <v>396</v>
      </c>
      <c r="R78" s="74"/>
      <c r="S78" s="121"/>
      <c r="T78" s="74"/>
      <c r="U78" s="74"/>
      <c r="V78" s="115" t="s">
        <v>1168</v>
      </c>
      <c r="W78" s="74"/>
      <c r="X78" s="100"/>
      <c r="Y78" s="125"/>
      <c r="Z78" s="122"/>
      <c r="AA78" s="126"/>
      <c r="AB78" s="74"/>
      <c r="AC78" s="74"/>
      <c r="AD78" s="82"/>
      <c r="AE78" s="82"/>
    </row>
    <row r="79">
      <c r="A79" s="115" t="s">
        <v>1169</v>
      </c>
      <c r="B79" s="115" t="s">
        <v>222</v>
      </c>
      <c r="C79" s="115" t="s">
        <v>1170</v>
      </c>
      <c r="D79" s="115" t="s">
        <v>1171</v>
      </c>
      <c r="E79" s="117" t="s">
        <v>1172</v>
      </c>
      <c r="F79" s="117" t="s">
        <v>1173</v>
      </c>
      <c r="G79" s="118" t="s">
        <v>1087</v>
      </c>
      <c r="H79" s="119"/>
      <c r="I79" s="119"/>
      <c r="J79" s="119"/>
      <c r="K79" s="119"/>
      <c r="L79" s="119"/>
      <c r="M79" s="119"/>
      <c r="N79" s="68" t="s">
        <v>247</v>
      </c>
      <c r="O79" s="69" t="s">
        <v>1073</v>
      </c>
      <c r="P79" s="69" t="s">
        <v>1074</v>
      </c>
      <c r="Q79" s="120" t="s">
        <v>396</v>
      </c>
      <c r="R79" s="74"/>
      <c r="S79" s="121"/>
      <c r="T79" s="74"/>
      <c r="U79" s="74"/>
      <c r="V79" s="115" t="s">
        <v>1174</v>
      </c>
      <c r="W79" s="74"/>
      <c r="X79" s="100"/>
      <c r="Y79" s="125"/>
      <c r="Z79" s="122"/>
      <c r="AA79" s="126"/>
      <c r="AB79" s="74"/>
      <c r="AC79" s="74"/>
      <c r="AD79" s="82"/>
      <c r="AE79" s="82"/>
    </row>
    <row r="80">
      <c r="A80" s="115" t="s">
        <v>1175</v>
      </c>
      <c r="B80" s="115" t="s">
        <v>222</v>
      </c>
      <c r="C80" s="115" t="s">
        <v>1176</v>
      </c>
      <c r="D80" s="115" t="s">
        <v>1177</v>
      </c>
      <c r="E80" s="117" t="s">
        <v>1178</v>
      </c>
      <c r="F80" s="117" t="s">
        <v>1179</v>
      </c>
      <c r="G80" s="118" t="s">
        <v>1087</v>
      </c>
      <c r="H80" s="119"/>
      <c r="I80" s="119"/>
      <c r="J80" s="119"/>
      <c r="K80" s="119"/>
      <c r="L80" s="119"/>
      <c r="M80" s="119"/>
      <c r="N80" s="68" t="s">
        <v>247</v>
      </c>
      <c r="O80" s="69" t="s">
        <v>737</v>
      </c>
      <c r="P80" s="69" t="s">
        <v>709</v>
      </c>
      <c r="Q80" s="120" t="s">
        <v>396</v>
      </c>
      <c r="R80" s="74"/>
      <c r="S80" s="121"/>
      <c r="T80" s="74"/>
      <c r="U80" s="74"/>
      <c r="V80" s="74"/>
      <c r="W80" s="74"/>
      <c r="X80" s="100"/>
      <c r="Y80" s="125"/>
      <c r="Z80" s="122"/>
      <c r="AA80" s="126"/>
      <c r="AB80" s="74"/>
      <c r="AC80" s="74"/>
      <c r="AD80" s="127" t="s">
        <v>1180</v>
      </c>
      <c r="AE80" s="127" t="s">
        <v>1181</v>
      </c>
    </row>
    <row r="81">
      <c r="A81" s="115" t="s">
        <v>1182</v>
      </c>
      <c r="B81" s="115" t="s">
        <v>222</v>
      </c>
      <c r="C81" s="115" t="s">
        <v>1183</v>
      </c>
      <c r="D81" s="115" t="s">
        <v>1184</v>
      </c>
      <c r="E81" s="117" t="s">
        <v>1185</v>
      </c>
      <c r="F81" s="117" t="s">
        <v>1186</v>
      </c>
      <c r="G81" s="118" t="s">
        <v>1087</v>
      </c>
      <c r="H81" s="119"/>
      <c r="I81" s="119"/>
      <c r="J81" s="119"/>
      <c r="K81" s="119"/>
      <c r="L81" s="119"/>
      <c r="M81" s="119"/>
      <c r="N81" s="68" t="s">
        <v>247</v>
      </c>
      <c r="O81" s="69" t="s">
        <v>249</v>
      </c>
      <c r="P81" s="69" t="s">
        <v>250</v>
      </c>
      <c r="Q81" s="120" t="s">
        <v>396</v>
      </c>
      <c r="R81" s="74"/>
      <c r="S81" s="121"/>
      <c r="T81" s="74"/>
      <c r="U81" s="74"/>
      <c r="V81" s="74"/>
      <c r="W81" s="74"/>
      <c r="X81" s="100"/>
      <c r="Y81" s="125"/>
      <c r="Z81" s="122"/>
      <c r="AA81" s="126"/>
      <c r="AB81" s="74"/>
      <c r="AC81" s="74"/>
      <c r="AD81" s="127" t="s">
        <v>1187</v>
      </c>
      <c r="AE81" s="127" t="s">
        <v>1188</v>
      </c>
    </row>
    <row r="82">
      <c r="A82" s="115" t="s">
        <v>1189</v>
      </c>
      <c r="B82" s="115" t="s">
        <v>222</v>
      </c>
      <c r="C82" s="115" t="s">
        <v>1190</v>
      </c>
      <c r="D82" s="115" t="s">
        <v>1191</v>
      </c>
      <c r="E82" s="117" t="s">
        <v>1192</v>
      </c>
      <c r="F82" s="117" t="s">
        <v>1193</v>
      </c>
      <c r="G82" s="118" t="s">
        <v>1087</v>
      </c>
      <c r="H82" s="119"/>
      <c r="I82" s="119"/>
      <c r="J82" s="119"/>
      <c r="K82" s="119"/>
      <c r="L82" s="119"/>
      <c r="M82" s="119"/>
      <c r="N82" s="68" t="s">
        <v>247</v>
      </c>
      <c r="O82" s="69" t="s">
        <v>1194</v>
      </c>
      <c r="P82" s="69" t="s">
        <v>709</v>
      </c>
      <c r="Q82" s="120" t="s">
        <v>396</v>
      </c>
      <c r="R82" s="74"/>
      <c r="S82" s="121"/>
      <c r="T82" s="74"/>
      <c r="U82" s="74"/>
      <c r="V82" s="74"/>
      <c r="W82" s="74"/>
      <c r="X82" s="100"/>
      <c r="Y82" s="125"/>
      <c r="Z82" s="122"/>
      <c r="AA82" s="126"/>
      <c r="AB82" s="74"/>
      <c r="AC82" s="74"/>
      <c r="AD82" s="127" t="s">
        <v>1195</v>
      </c>
      <c r="AE82" s="127" t="s">
        <v>1196</v>
      </c>
    </row>
    <row r="83">
      <c r="A83" s="115" t="s">
        <v>1197</v>
      </c>
      <c r="B83" s="115" t="s">
        <v>222</v>
      </c>
      <c r="C83" s="115" t="s">
        <v>1198</v>
      </c>
      <c r="D83" s="115" t="s">
        <v>1199</v>
      </c>
      <c r="E83" s="117" t="s">
        <v>1200</v>
      </c>
      <c r="F83" s="117" t="s">
        <v>1201</v>
      </c>
      <c r="G83" s="118" t="s">
        <v>1087</v>
      </c>
      <c r="H83" s="119"/>
      <c r="I83" s="119"/>
      <c r="J83" s="119"/>
      <c r="K83" s="119"/>
      <c r="L83" s="119"/>
      <c r="M83" s="119"/>
      <c r="N83" s="68" t="s">
        <v>247</v>
      </c>
      <c r="O83" s="69" t="s">
        <v>1202</v>
      </c>
      <c r="P83" s="69" t="s">
        <v>877</v>
      </c>
      <c r="Q83" s="69" t="s">
        <v>878</v>
      </c>
      <c r="R83" s="74"/>
      <c r="S83" s="121"/>
      <c r="T83" s="74"/>
      <c r="U83" s="74"/>
      <c r="V83" s="74"/>
      <c r="W83" s="74"/>
      <c r="X83" s="100"/>
      <c r="Y83" s="125"/>
      <c r="Z83" s="122"/>
      <c r="AA83" s="126"/>
      <c r="AB83" s="74"/>
      <c r="AC83" s="74"/>
      <c r="AD83" s="127" t="s">
        <v>1203</v>
      </c>
      <c r="AE83" s="127" t="s">
        <v>1204</v>
      </c>
    </row>
    <row r="84">
      <c r="A84" s="115" t="s">
        <v>1205</v>
      </c>
      <c r="B84" s="115" t="s">
        <v>222</v>
      </c>
      <c r="C84" s="115" t="s">
        <v>1206</v>
      </c>
      <c r="D84" s="115" t="s">
        <v>1207</v>
      </c>
      <c r="E84" s="117" t="s">
        <v>1208</v>
      </c>
      <c r="F84" s="117" t="s">
        <v>1209</v>
      </c>
      <c r="G84" s="118" t="s">
        <v>1087</v>
      </c>
      <c r="H84" s="119"/>
      <c r="I84" s="119"/>
      <c r="J84" s="119"/>
      <c r="K84" s="119"/>
      <c r="L84" s="119"/>
      <c r="M84" s="119"/>
      <c r="N84" s="68" t="s">
        <v>247</v>
      </c>
      <c r="O84" s="69" t="s">
        <v>1210</v>
      </c>
      <c r="P84" s="69" t="s">
        <v>765</v>
      </c>
      <c r="Q84" s="120" t="s">
        <v>396</v>
      </c>
      <c r="R84" s="74"/>
      <c r="S84" s="121"/>
      <c r="T84" s="74"/>
      <c r="U84" s="74"/>
      <c r="V84" s="74"/>
      <c r="W84" s="74"/>
      <c r="X84" s="100"/>
      <c r="Y84" s="125"/>
      <c r="Z84" s="122"/>
      <c r="AA84" s="126"/>
      <c r="AB84" s="74"/>
      <c r="AC84" s="74"/>
      <c r="AD84" s="127" t="s">
        <v>1211</v>
      </c>
      <c r="AE84" s="127" t="s">
        <v>1212</v>
      </c>
    </row>
    <row r="85">
      <c r="A85" s="115" t="s">
        <v>1213</v>
      </c>
      <c r="B85" s="115" t="s">
        <v>222</v>
      </c>
      <c r="C85" s="115" t="s">
        <v>1214</v>
      </c>
      <c r="D85" s="115" t="s">
        <v>1215</v>
      </c>
      <c r="E85" s="117" t="s">
        <v>1216</v>
      </c>
      <c r="F85" s="117" t="s">
        <v>1217</v>
      </c>
      <c r="G85" s="118" t="s">
        <v>1087</v>
      </c>
      <c r="H85" s="119"/>
      <c r="I85" s="119"/>
      <c r="J85" s="119"/>
      <c r="K85" s="119"/>
      <c r="L85" s="119"/>
      <c r="M85" s="119"/>
      <c r="N85" s="68" t="s">
        <v>247</v>
      </c>
      <c r="O85" s="69" t="s">
        <v>1218</v>
      </c>
      <c r="P85" s="69" t="s">
        <v>529</v>
      </c>
      <c r="Q85" s="120" t="s">
        <v>396</v>
      </c>
      <c r="R85" s="74"/>
      <c r="S85" s="121"/>
      <c r="T85" s="74"/>
      <c r="U85" s="74"/>
      <c r="V85" s="129" t="s">
        <v>1219</v>
      </c>
      <c r="W85" s="74"/>
      <c r="X85" s="100"/>
      <c r="Y85" s="125"/>
      <c r="Z85" s="122"/>
      <c r="AA85" s="126"/>
      <c r="AB85" s="74"/>
      <c r="AC85" s="74"/>
      <c r="AD85" s="127" t="s">
        <v>1220</v>
      </c>
      <c r="AE85" s="127" t="s">
        <v>1221</v>
      </c>
    </row>
    <row r="86">
      <c r="A86" s="115" t="s">
        <v>1222</v>
      </c>
      <c r="B86" s="115" t="s">
        <v>222</v>
      </c>
      <c r="C86" s="115" t="s">
        <v>1223</v>
      </c>
      <c r="D86" s="115" t="s">
        <v>1224</v>
      </c>
      <c r="E86" s="117" t="s">
        <v>1225</v>
      </c>
      <c r="F86" s="117" t="s">
        <v>1226</v>
      </c>
      <c r="G86" s="118" t="s">
        <v>1087</v>
      </c>
      <c r="H86" s="119"/>
      <c r="I86" s="119"/>
      <c r="J86" s="119"/>
      <c r="K86" s="119"/>
      <c r="L86" s="119"/>
      <c r="M86" s="119"/>
      <c r="N86" s="68" t="s">
        <v>247</v>
      </c>
      <c r="O86" s="69" t="s">
        <v>1227</v>
      </c>
      <c r="P86" s="69" t="s">
        <v>892</v>
      </c>
      <c r="Q86" s="120" t="s">
        <v>396</v>
      </c>
      <c r="R86" s="74"/>
      <c r="S86" s="121"/>
      <c r="T86" s="74"/>
      <c r="U86" s="74"/>
      <c r="V86" s="74"/>
      <c r="W86" s="74"/>
      <c r="X86" s="100"/>
      <c r="Y86" s="125"/>
      <c r="Z86" s="122"/>
      <c r="AA86" s="126"/>
      <c r="AB86" s="74"/>
      <c r="AC86" s="74"/>
      <c r="AD86" s="127" t="s">
        <v>1228</v>
      </c>
      <c r="AE86" s="127" t="s">
        <v>1188</v>
      </c>
    </row>
    <row r="87">
      <c r="A87" s="115" t="s">
        <v>1229</v>
      </c>
      <c r="B87" s="115" t="s">
        <v>222</v>
      </c>
      <c r="C87" s="115" t="s">
        <v>1230</v>
      </c>
      <c r="D87" s="115" t="s">
        <v>1231</v>
      </c>
      <c r="E87" s="117" t="s">
        <v>1232</v>
      </c>
      <c r="F87" s="117" t="s">
        <v>1233</v>
      </c>
      <c r="G87" s="118" t="s">
        <v>1087</v>
      </c>
      <c r="H87" s="119"/>
      <c r="I87" s="119"/>
      <c r="J87" s="119"/>
      <c r="K87" s="119"/>
      <c r="L87" s="119"/>
      <c r="M87" s="119"/>
      <c r="N87" s="68" t="s">
        <v>247</v>
      </c>
      <c r="O87" s="69" t="s">
        <v>1234</v>
      </c>
      <c r="P87" s="69" t="s">
        <v>298</v>
      </c>
      <c r="Q87" s="120" t="s">
        <v>396</v>
      </c>
      <c r="R87" s="74"/>
      <c r="S87" s="121"/>
      <c r="T87" s="74"/>
      <c r="U87" s="74"/>
      <c r="V87" s="74"/>
      <c r="W87" s="74"/>
      <c r="X87" s="100"/>
      <c r="Y87" s="125"/>
      <c r="Z87" s="122"/>
      <c r="AA87" s="126"/>
      <c r="AB87" s="74"/>
      <c r="AC87" s="74"/>
      <c r="AD87" s="127" t="s">
        <v>1235</v>
      </c>
      <c r="AE87" s="127" t="s">
        <v>1204</v>
      </c>
    </row>
    <row r="88">
      <c r="A88" s="115" t="s">
        <v>1236</v>
      </c>
      <c r="B88" s="115" t="s">
        <v>222</v>
      </c>
      <c r="C88" s="115" t="s">
        <v>1237</v>
      </c>
      <c r="D88" s="115" t="s">
        <v>1238</v>
      </c>
      <c r="E88" s="117" t="s">
        <v>1239</v>
      </c>
      <c r="F88" s="117" t="s">
        <v>1240</v>
      </c>
      <c r="G88" s="118" t="s">
        <v>1087</v>
      </c>
      <c r="H88" s="119"/>
      <c r="I88" s="119"/>
      <c r="J88" s="119"/>
      <c r="K88" s="119"/>
      <c r="L88" s="119"/>
      <c r="M88" s="119"/>
      <c r="N88" s="68" t="s">
        <v>247</v>
      </c>
      <c r="O88" s="69" t="s">
        <v>1241</v>
      </c>
      <c r="P88" s="69" t="s">
        <v>598</v>
      </c>
      <c r="Q88" s="120" t="s">
        <v>396</v>
      </c>
      <c r="R88" s="74"/>
      <c r="S88" s="121"/>
      <c r="T88" s="74"/>
      <c r="U88" s="74"/>
      <c r="V88" s="129" t="s">
        <v>1242</v>
      </c>
      <c r="W88" s="74"/>
      <c r="X88" s="100"/>
      <c r="Y88" s="125"/>
      <c r="Z88" s="122"/>
      <c r="AA88" s="126"/>
      <c r="AB88" s="74"/>
      <c r="AC88" s="74"/>
      <c r="AD88" s="127" t="s">
        <v>1243</v>
      </c>
      <c r="AE88" s="127" t="s">
        <v>1244</v>
      </c>
    </row>
    <row r="89">
      <c r="A89" s="115" t="s">
        <v>1245</v>
      </c>
      <c r="B89" s="115" t="s">
        <v>222</v>
      </c>
      <c r="C89" s="115" t="s">
        <v>1246</v>
      </c>
      <c r="D89" s="115" t="s">
        <v>1247</v>
      </c>
      <c r="E89" s="117" t="s">
        <v>1248</v>
      </c>
      <c r="F89" s="117" t="s">
        <v>1249</v>
      </c>
      <c r="G89" s="118" t="s">
        <v>1087</v>
      </c>
      <c r="H89" s="119"/>
      <c r="I89" s="119"/>
      <c r="J89" s="119"/>
      <c r="K89" s="119"/>
      <c r="L89" s="119"/>
      <c r="M89" s="119"/>
      <c r="N89" s="68" t="s">
        <v>247</v>
      </c>
      <c r="O89" s="69" t="s">
        <v>1250</v>
      </c>
      <c r="P89" s="69" t="s">
        <v>709</v>
      </c>
      <c r="Q89" s="120" t="s">
        <v>396</v>
      </c>
      <c r="R89" s="74"/>
      <c r="S89" s="121"/>
      <c r="T89" s="74"/>
      <c r="U89" s="74"/>
      <c r="V89" s="74"/>
      <c r="W89" s="74"/>
      <c r="X89" s="100"/>
      <c r="Y89" s="125"/>
      <c r="Z89" s="122"/>
      <c r="AA89" s="126"/>
      <c r="AB89" s="74"/>
      <c r="AC89" s="74"/>
      <c r="AD89" s="127" t="s">
        <v>1251</v>
      </c>
      <c r="AE89" s="82"/>
    </row>
    <row r="90">
      <c r="A90" s="115" t="s">
        <v>1252</v>
      </c>
      <c r="B90" s="115" t="s">
        <v>222</v>
      </c>
      <c r="C90" s="115" t="s">
        <v>1253</v>
      </c>
      <c r="D90" s="115" t="s">
        <v>1254</v>
      </c>
      <c r="E90" s="117" t="s">
        <v>1255</v>
      </c>
      <c r="F90" s="117" t="s">
        <v>1256</v>
      </c>
      <c r="G90" s="118" t="s">
        <v>1087</v>
      </c>
      <c r="H90" s="119"/>
      <c r="I90" s="119"/>
      <c r="J90" s="119"/>
      <c r="K90" s="119"/>
      <c r="L90" s="119"/>
      <c r="M90" s="119"/>
      <c r="N90" s="68" t="s">
        <v>247</v>
      </c>
      <c r="O90" s="69" t="s">
        <v>1257</v>
      </c>
      <c r="P90" s="69" t="s">
        <v>709</v>
      </c>
      <c r="Q90" s="120" t="s">
        <v>396</v>
      </c>
      <c r="R90" s="74"/>
      <c r="S90" s="121"/>
      <c r="T90" s="74"/>
      <c r="U90" s="74"/>
      <c r="V90" s="74"/>
      <c r="W90" s="74"/>
      <c r="X90" s="100"/>
      <c r="Y90" s="125"/>
      <c r="Z90" s="122"/>
      <c r="AA90" s="126"/>
      <c r="AB90" s="74"/>
      <c r="AC90" s="74"/>
      <c r="AD90" s="127" t="s">
        <v>1258</v>
      </c>
      <c r="AE90" s="127" t="s">
        <v>1259</v>
      </c>
    </row>
    <row r="91">
      <c r="A91" s="115" t="s">
        <v>1260</v>
      </c>
      <c r="B91" s="115" t="s">
        <v>222</v>
      </c>
      <c r="C91" s="115" t="s">
        <v>1261</v>
      </c>
      <c r="D91" s="115" t="s">
        <v>1262</v>
      </c>
      <c r="E91" s="117" t="s">
        <v>1263</v>
      </c>
      <c r="F91" s="117" t="s">
        <v>1264</v>
      </c>
      <c r="G91" s="118" t="s">
        <v>1087</v>
      </c>
      <c r="H91" s="119"/>
      <c r="I91" s="119"/>
      <c r="J91" s="119"/>
      <c r="K91" s="119"/>
      <c r="L91" s="119"/>
      <c r="M91" s="119"/>
      <c r="N91" s="68" t="s">
        <v>247</v>
      </c>
      <c r="O91" s="69" t="s">
        <v>1265</v>
      </c>
      <c r="P91" s="69" t="s">
        <v>298</v>
      </c>
      <c r="Q91" s="120" t="s">
        <v>396</v>
      </c>
      <c r="R91" s="74"/>
      <c r="S91" s="121"/>
      <c r="T91" s="74"/>
      <c r="U91" s="74"/>
      <c r="V91" s="74"/>
      <c r="W91" s="74"/>
      <c r="X91" s="100"/>
      <c r="Y91" s="125"/>
      <c r="Z91" s="122"/>
      <c r="AA91" s="126"/>
      <c r="AB91" s="74"/>
      <c r="AC91" s="74"/>
      <c r="AD91" s="127" t="s">
        <v>1266</v>
      </c>
      <c r="AE91" s="82"/>
    </row>
    <row r="92">
      <c r="A92" s="115" t="s">
        <v>1267</v>
      </c>
      <c r="B92" s="115" t="s">
        <v>222</v>
      </c>
      <c r="C92" s="115" t="s">
        <v>1268</v>
      </c>
      <c r="D92" s="115" t="s">
        <v>1269</v>
      </c>
      <c r="E92" s="117" t="s">
        <v>1270</v>
      </c>
      <c r="F92" s="117" t="s">
        <v>1271</v>
      </c>
      <c r="G92" s="118" t="s">
        <v>1087</v>
      </c>
      <c r="H92" s="119"/>
      <c r="I92" s="119"/>
      <c r="J92" s="119"/>
      <c r="K92" s="119"/>
      <c r="L92" s="119"/>
      <c r="M92" s="119"/>
      <c r="N92" s="68" t="s">
        <v>247</v>
      </c>
      <c r="O92" s="69" t="s">
        <v>1272</v>
      </c>
      <c r="P92" s="69" t="s">
        <v>298</v>
      </c>
      <c r="Q92" s="120" t="s">
        <v>396</v>
      </c>
      <c r="R92" s="74"/>
      <c r="S92" s="121"/>
      <c r="T92" s="74"/>
      <c r="U92" s="74"/>
      <c r="V92" s="74"/>
      <c r="W92" s="74"/>
      <c r="X92" s="100"/>
      <c r="Y92" s="125"/>
      <c r="Z92" s="122"/>
      <c r="AA92" s="126"/>
      <c r="AB92" s="74"/>
      <c r="AC92" s="74"/>
      <c r="AD92" s="127" t="s">
        <v>1273</v>
      </c>
      <c r="AE92" s="82"/>
    </row>
    <row r="93">
      <c r="A93" s="115" t="s">
        <v>1274</v>
      </c>
      <c r="B93" s="115" t="s">
        <v>222</v>
      </c>
      <c r="C93" s="115" t="s">
        <v>1275</v>
      </c>
      <c r="D93" s="115" t="s">
        <v>1276</v>
      </c>
      <c r="E93" s="117" t="s">
        <v>1277</v>
      </c>
      <c r="F93" s="117" t="s">
        <v>1278</v>
      </c>
      <c r="G93" s="118" t="s">
        <v>1087</v>
      </c>
      <c r="H93" s="119"/>
      <c r="I93" s="119"/>
      <c r="J93" s="119"/>
      <c r="K93" s="119"/>
      <c r="L93" s="119"/>
      <c r="M93" s="119"/>
      <c r="N93" s="68" t="s">
        <v>247</v>
      </c>
      <c r="O93" s="69" t="s">
        <v>1279</v>
      </c>
      <c r="P93" s="69" t="s">
        <v>298</v>
      </c>
      <c r="Q93" s="120" t="s">
        <v>396</v>
      </c>
      <c r="R93" s="74"/>
      <c r="S93" s="121"/>
      <c r="T93" s="74"/>
      <c r="U93" s="74"/>
      <c r="V93" s="74"/>
      <c r="W93" s="74"/>
      <c r="X93" s="100"/>
      <c r="Y93" s="125"/>
      <c r="Z93" s="122"/>
      <c r="AA93" s="126"/>
      <c r="AB93" s="74"/>
      <c r="AC93" s="74"/>
      <c r="AD93" s="127" t="s">
        <v>1280</v>
      </c>
      <c r="AE93" s="127" t="s">
        <v>1212</v>
      </c>
    </row>
    <row r="94">
      <c r="A94" s="115" t="s">
        <v>1281</v>
      </c>
      <c r="B94" s="115" t="s">
        <v>222</v>
      </c>
      <c r="C94" s="115" t="s">
        <v>1282</v>
      </c>
      <c r="D94" s="115" t="s">
        <v>1283</v>
      </c>
      <c r="E94" s="117" t="s">
        <v>1284</v>
      </c>
      <c r="F94" s="117" t="s">
        <v>1285</v>
      </c>
      <c r="G94" s="118" t="s">
        <v>1087</v>
      </c>
      <c r="H94" s="119"/>
      <c r="I94" s="119"/>
      <c r="J94" s="119"/>
      <c r="K94" s="119"/>
      <c r="L94" s="119"/>
      <c r="M94" s="119"/>
      <c r="N94" s="68" t="s">
        <v>247</v>
      </c>
      <c r="O94" s="69" t="s">
        <v>1286</v>
      </c>
      <c r="P94" s="69" t="s">
        <v>298</v>
      </c>
      <c r="Q94" s="120" t="s">
        <v>396</v>
      </c>
      <c r="R94" s="74"/>
      <c r="S94" s="121"/>
      <c r="T94" s="74"/>
      <c r="U94" s="74"/>
      <c r="V94" s="74"/>
      <c r="W94" s="74"/>
      <c r="X94" s="100"/>
      <c r="Y94" s="125"/>
      <c r="Z94" s="122"/>
      <c r="AA94" s="126"/>
      <c r="AB94" s="74"/>
      <c r="AC94" s="74"/>
      <c r="AD94" s="127" t="s">
        <v>1287</v>
      </c>
      <c r="AE94" s="82"/>
    </row>
    <row r="95">
      <c r="A95" s="115" t="s">
        <v>1288</v>
      </c>
      <c r="B95" s="115" t="s">
        <v>222</v>
      </c>
      <c r="C95" s="115" t="s">
        <v>1289</v>
      </c>
      <c r="D95" s="115" t="s">
        <v>1290</v>
      </c>
      <c r="E95" s="117" t="s">
        <v>1291</v>
      </c>
      <c r="F95" s="117" t="s">
        <v>1292</v>
      </c>
      <c r="G95" s="118" t="s">
        <v>1087</v>
      </c>
      <c r="H95" s="119"/>
      <c r="I95" s="119"/>
      <c r="J95" s="119"/>
      <c r="K95" s="119"/>
      <c r="L95" s="119"/>
      <c r="M95" s="119"/>
      <c r="N95" s="68" t="s">
        <v>247</v>
      </c>
      <c r="O95" s="69" t="s">
        <v>1293</v>
      </c>
      <c r="P95" s="69" t="s">
        <v>892</v>
      </c>
      <c r="Q95" s="120" t="s">
        <v>396</v>
      </c>
      <c r="R95" s="74"/>
      <c r="S95" s="121"/>
      <c r="T95" s="74"/>
      <c r="U95" s="74"/>
      <c r="V95" s="74"/>
      <c r="W95" s="74"/>
      <c r="X95" s="100"/>
      <c r="Y95" s="125"/>
      <c r="Z95" s="122"/>
      <c r="AA95" s="126"/>
      <c r="AB95" s="74"/>
      <c r="AC95" s="74"/>
      <c r="AD95" s="127" t="s">
        <v>1294</v>
      </c>
      <c r="AE95" s="82"/>
    </row>
    <row r="96">
      <c r="A96" s="115" t="s">
        <v>1295</v>
      </c>
      <c r="B96" s="115" t="s">
        <v>222</v>
      </c>
      <c r="C96" s="115" t="s">
        <v>1296</v>
      </c>
      <c r="D96" s="115" t="s">
        <v>1297</v>
      </c>
      <c r="E96" s="117" t="s">
        <v>1298</v>
      </c>
      <c r="F96" s="117" t="s">
        <v>1299</v>
      </c>
      <c r="G96" s="118" t="s">
        <v>1087</v>
      </c>
      <c r="H96" s="119"/>
      <c r="I96" s="119"/>
      <c r="J96" s="119"/>
      <c r="K96" s="119"/>
      <c r="L96" s="119"/>
      <c r="M96" s="119"/>
      <c r="N96" s="68" t="s">
        <v>247</v>
      </c>
      <c r="O96" s="69" t="s">
        <v>1300</v>
      </c>
      <c r="P96" s="69" t="s">
        <v>1301</v>
      </c>
      <c r="Q96" s="120" t="s">
        <v>396</v>
      </c>
      <c r="R96" s="74"/>
      <c r="S96" s="121"/>
      <c r="T96" s="74"/>
      <c r="U96" s="74"/>
      <c r="V96" s="74"/>
      <c r="W96" s="74"/>
      <c r="X96" s="100"/>
      <c r="Y96" s="125"/>
      <c r="Z96" s="122"/>
      <c r="AA96" s="126"/>
      <c r="AB96" s="74"/>
      <c r="AC96" s="74"/>
      <c r="AD96" s="127" t="s">
        <v>1302</v>
      </c>
      <c r="AE96" s="127" t="s">
        <v>1150</v>
      </c>
    </row>
    <row r="97">
      <c r="A97" s="115" t="s">
        <v>1303</v>
      </c>
      <c r="B97" s="115" t="s">
        <v>222</v>
      </c>
      <c r="C97" s="115" t="s">
        <v>1304</v>
      </c>
      <c r="D97" s="115" t="s">
        <v>1305</v>
      </c>
      <c r="E97" s="117" t="s">
        <v>1306</v>
      </c>
      <c r="F97" s="117" t="s">
        <v>1307</v>
      </c>
      <c r="G97" s="118" t="s">
        <v>1087</v>
      </c>
      <c r="H97" s="119"/>
      <c r="I97" s="119"/>
      <c r="J97" s="119"/>
      <c r="K97" s="119"/>
      <c r="L97" s="119"/>
      <c r="M97" s="119"/>
      <c r="N97" s="68" t="s">
        <v>247</v>
      </c>
      <c r="O97" s="69" t="s">
        <v>1250</v>
      </c>
      <c r="P97" s="69" t="s">
        <v>1301</v>
      </c>
      <c r="Q97" s="120" t="s">
        <v>396</v>
      </c>
      <c r="R97" s="74"/>
      <c r="S97" s="121"/>
      <c r="T97" s="74"/>
      <c r="U97" s="74"/>
      <c r="V97" s="74"/>
      <c r="W97" s="74"/>
      <c r="X97" s="100"/>
      <c r="Y97" s="125"/>
      <c r="Z97" s="122"/>
      <c r="AA97" s="126"/>
      <c r="AB97" s="74"/>
      <c r="AC97" s="74"/>
      <c r="AD97" s="127" t="s">
        <v>1308</v>
      </c>
      <c r="AE97" s="82"/>
    </row>
    <row r="98">
      <c r="A98" s="115" t="s">
        <v>1309</v>
      </c>
      <c r="B98" s="115" t="s">
        <v>222</v>
      </c>
      <c r="C98" s="115" t="s">
        <v>1310</v>
      </c>
      <c r="D98" s="115" t="s">
        <v>1311</v>
      </c>
      <c r="E98" s="117" t="s">
        <v>1312</v>
      </c>
      <c r="F98" s="117" t="s">
        <v>1313</v>
      </c>
      <c r="G98" s="118" t="s">
        <v>1087</v>
      </c>
      <c r="H98" s="119"/>
      <c r="I98" s="119"/>
      <c r="J98" s="119"/>
      <c r="K98" s="119"/>
      <c r="L98" s="119"/>
      <c r="M98" s="119"/>
      <c r="N98" s="68" t="s">
        <v>247</v>
      </c>
      <c r="O98" s="69" t="s">
        <v>1314</v>
      </c>
      <c r="P98" s="69" t="s">
        <v>298</v>
      </c>
      <c r="Q98" s="120" t="s">
        <v>396</v>
      </c>
      <c r="R98" s="74"/>
      <c r="S98" s="121"/>
      <c r="T98" s="74"/>
      <c r="U98" s="74"/>
      <c r="V98" s="74"/>
      <c r="W98" s="74"/>
      <c r="X98" s="100"/>
      <c r="Y98" s="125"/>
      <c r="Z98" s="122"/>
      <c r="AA98" s="126"/>
      <c r="AB98" s="74"/>
      <c r="AC98" s="74"/>
      <c r="AD98" s="127" t="s">
        <v>1315</v>
      </c>
      <c r="AE98" s="82"/>
    </row>
    <row r="99">
      <c r="A99" s="115" t="s">
        <v>1316</v>
      </c>
      <c r="B99" s="115" t="s">
        <v>222</v>
      </c>
      <c r="C99" s="115" t="s">
        <v>1317</v>
      </c>
      <c r="D99" s="115" t="s">
        <v>1318</v>
      </c>
      <c r="E99" s="117" t="s">
        <v>1319</v>
      </c>
      <c r="F99" s="117" t="s">
        <v>1320</v>
      </c>
      <c r="G99" s="118" t="s">
        <v>1087</v>
      </c>
      <c r="H99" s="119"/>
      <c r="I99" s="119"/>
      <c r="J99" s="119"/>
      <c r="K99" s="119"/>
      <c r="L99" s="119"/>
      <c r="M99" s="119"/>
      <c r="N99" s="68" t="s">
        <v>247</v>
      </c>
      <c r="O99" s="69" t="s">
        <v>1321</v>
      </c>
      <c r="P99" s="69" t="s">
        <v>502</v>
      </c>
      <c r="Q99" s="120" t="s">
        <v>396</v>
      </c>
      <c r="R99" s="74"/>
      <c r="S99" s="121"/>
      <c r="T99" s="74"/>
      <c r="U99" s="74"/>
      <c r="V99" s="74"/>
      <c r="W99" s="74"/>
      <c r="X99" s="100"/>
      <c r="Y99" s="125"/>
      <c r="Z99" s="122"/>
      <c r="AA99" s="126"/>
      <c r="AB99" s="74"/>
      <c r="AC99" s="74"/>
      <c r="AD99" s="127" t="s">
        <v>1322</v>
      </c>
      <c r="AE99" s="82"/>
    </row>
    <row r="100">
      <c r="A100" s="130"/>
      <c r="B100" s="131"/>
      <c r="C100" s="131"/>
      <c r="D100" s="130"/>
      <c r="E100" s="132"/>
      <c r="F100" s="132"/>
      <c r="G100" s="133"/>
      <c r="H100" s="134"/>
      <c r="I100" s="134"/>
      <c r="J100" s="134"/>
      <c r="K100" s="134"/>
      <c r="L100" s="134"/>
      <c r="M100" s="134"/>
      <c r="N100" s="135"/>
      <c r="O100" s="136"/>
      <c r="P100" s="136"/>
      <c r="Q100" s="137"/>
      <c r="R100" s="138"/>
      <c r="S100" s="138"/>
      <c r="T100" s="139"/>
      <c r="U100" s="139"/>
      <c r="V100" s="139"/>
      <c r="W100" s="140"/>
      <c r="X100" s="141"/>
      <c r="Y100" s="140"/>
      <c r="Z100" s="142"/>
      <c r="AA100" s="139"/>
      <c r="AB100" s="139"/>
      <c r="AC100" s="140"/>
      <c r="AD100" s="140"/>
      <c r="AE100" s="140"/>
    </row>
    <row r="101">
      <c r="A101" s="130"/>
      <c r="B101" s="131"/>
      <c r="C101" s="131"/>
      <c r="D101" s="130"/>
      <c r="E101" s="132"/>
      <c r="F101" s="132"/>
      <c r="G101" s="133"/>
      <c r="H101" s="134"/>
      <c r="I101" s="134"/>
      <c r="J101" s="134"/>
      <c r="K101" s="134"/>
      <c r="L101" s="134"/>
      <c r="M101" s="134"/>
      <c r="N101" s="135"/>
      <c r="O101" s="136"/>
      <c r="P101" s="136"/>
      <c r="Q101" s="137"/>
      <c r="R101" s="138"/>
      <c r="S101" s="138"/>
      <c r="T101" s="139"/>
      <c r="U101" s="139"/>
      <c r="V101" s="139"/>
      <c r="W101" s="140"/>
      <c r="X101" s="141"/>
      <c r="Y101" s="140"/>
      <c r="Z101" s="142"/>
      <c r="AA101" s="139"/>
      <c r="AB101" s="139"/>
      <c r="AC101" s="140"/>
      <c r="AD101" s="140"/>
      <c r="AE101" s="140"/>
    </row>
    <row r="102">
      <c r="A102" s="130"/>
      <c r="B102" s="131"/>
      <c r="C102" s="131"/>
      <c r="D102" s="130"/>
      <c r="E102" s="132"/>
      <c r="F102" s="132"/>
      <c r="G102" s="133"/>
      <c r="H102" s="134"/>
      <c r="I102" s="134"/>
      <c r="J102" s="134"/>
      <c r="K102" s="134"/>
      <c r="L102" s="134"/>
      <c r="M102" s="134"/>
      <c r="N102" s="135"/>
      <c r="O102" s="136"/>
      <c r="P102" s="136"/>
      <c r="Q102" s="137"/>
      <c r="R102" s="138"/>
      <c r="S102" s="138"/>
      <c r="T102" s="139"/>
      <c r="U102" s="139"/>
      <c r="V102" s="139"/>
      <c r="W102" s="140"/>
      <c r="X102" s="141"/>
      <c r="Y102" s="140"/>
      <c r="Z102" s="142"/>
      <c r="AA102" s="139"/>
      <c r="AB102" s="139"/>
      <c r="AC102" s="140"/>
      <c r="AD102" s="140"/>
      <c r="AE102" s="140"/>
    </row>
    <row r="103">
      <c r="A103" s="130"/>
      <c r="B103" s="131"/>
      <c r="C103" s="131"/>
      <c r="D103" s="130"/>
      <c r="E103" s="132"/>
      <c r="F103" s="132"/>
      <c r="G103" s="133"/>
      <c r="H103" s="134"/>
      <c r="I103" s="134"/>
      <c r="J103" s="134"/>
      <c r="K103" s="134"/>
      <c r="L103" s="134"/>
      <c r="M103" s="134"/>
      <c r="N103" s="135"/>
      <c r="O103" s="136"/>
      <c r="P103" s="136"/>
      <c r="Q103" s="137"/>
      <c r="R103" s="138"/>
      <c r="S103" s="138"/>
      <c r="T103" s="139"/>
      <c r="U103" s="139"/>
      <c r="V103" s="139"/>
      <c r="W103" s="140"/>
      <c r="X103" s="141"/>
      <c r="Y103" s="140"/>
      <c r="Z103" s="142"/>
      <c r="AA103" s="139"/>
      <c r="AB103" s="139"/>
      <c r="AC103" s="140"/>
      <c r="AD103" s="140"/>
      <c r="AE103" s="140"/>
    </row>
    <row r="104">
      <c r="A104" s="130"/>
      <c r="B104" s="131"/>
      <c r="C104" s="131"/>
      <c r="D104" s="130"/>
      <c r="E104" s="132"/>
      <c r="F104" s="132"/>
      <c r="G104" s="133"/>
      <c r="H104" s="134"/>
      <c r="I104" s="134"/>
      <c r="J104" s="134"/>
      <c r="K104" s="134"/>
      <c r="L104" s="134"/>
      <c r="M104" s="134"/>
      <c r="N104" s="135"/>
      <c r="O104" s="136"/>
      <c r="P104" s="136"/>
      <c r="Q104" s="137"/>
      <c r="R104" s="138"/>
      <c r="S104" s="138"/>
      <c r="T104" s="139"/>
      <c r="U104" s="139"/>
      <c r="V104" s="139"/>
      <c r="W104" s="140"/>
      <c r="X104" s="141"/>
      <c r="Y104" s="140"/>
      <c r="Z104" s="142"/>
      <c r="AA104" s="139"/>
      <c r="AB104" s="139"/>
      <c r="AC104" s="140"/>
      <c r="AD104" s="140"/>
      <c r="AE104" s="140"/>
    </row>
    <row r="105">
      <c r="A105" s="130"/>
      <c r="B105" s="131"/>
      <c r="C105" s="131"/>
      <c r="D105" s="130"/>
      <c r="E105" s="132"/>
      <c r="F105" s="132"/>
      <c r="G105" s="133"/>
      <c r="H105" s="134"/>
      <c r="I105" s="134"/>
      <c r="J105" s="134"/>
      <c r="K105" s="134"/>
      <c r="L105" s="134"/>
      <c r="M105" s="134"/>
      <c r="N105" s="135"/>
      <c r="O105" s="136"/>
      <c r="P105" s="136"/>
      <c r="Q105" s="137"/>
      <c r="R105" s="138"/>
      <c r="S105" s="138"/>
      <c r="T105" s="139"/>
      <c r="U105" s="139"/>
      <c r="V105" s="139"/>
      <c r="W105" s="140"/>
      <c r="X105" s="141"/>
      <c r="Y105" s="140"/>
      <c r="Z105" s="142"/>
      <c r="AA105" s="139"/>
      <c r="AB105" s="139"/>
      <c r="AC105" s="140"/>
      <c r="AD105" s="140"/>
      <c r="AE105" s="140"/>
    </row>
    <row r="106">
      <c r="A106" s="130"/>
      <c r="B106" s="131"/>
      <c r="C106" s="131"/>
      <c r="D106" s="130"/>
      <c r="E106" s="132"/>
      <c r="F106" s="132"/>
      <c r="G106" s="133"/>
      <c r="H106" s="134"/>
      <c r="I106" s="134"/>
      <c r="J106" s="134"/>
      <c r="K106" s="134"/>
      <c r="L106" s="134"/>
      <c r="M106" s="134"/>
      <c r="N106" s="135"/>
      <c r="O106" s="136"/>
      <c r="P106" s="136"/>
      <c r="Q106" s="137"/>
      <c r="R106" s="138"/>
      <c r="S106" s="138"/>
      <c r="T106" s="139"/>
      <c r="U106" s="139"/>
      <c r="V106" s="139"/>
      <c r="W106" s="140"/>
      <c r="X106" s="141"/>
      <c r="Y106" s="140"/>
      <c r="Z106" s="142"/>
      <c r="AA106" s="139"/>
      <c r="AB106" s="139"/>
      <c r="AC106" s="140"/>
      <c r="AD106" s="140"/>
      <c r="AE106" s="140"/>
    </row>
    <row r="107">
      <c r="A107" s="130"/>
      <c r="B107" s="131"/>
      <c r="C107" s="131"/>
      <c r="D107" s="130"/>
      <c r="E107" s="132"/>
      <c r="F107" s="132"/>
      <c r="G107" s="133"/>
      <c r="H107" s="134"/>
      <c r="I107" s="134"/>
      <c r="J107" s="134"/>
      <c r="K107" s="134"/>
      <c r="L107" s="134"/>
      <c r="M107" s="134"/>
      <c r="N107" s="135"/>
      <c r="O107" s="136"/>
      <c r="P107" s="136"/>
      <c r="Q107" s="137"/>
      <c r="R107" s="138"/>
      <c r="S107" s="138"/>
      <c r="T107" s="139"/>
      <c r="U107" s="139"/>
      <c r="V107" s="139"/>
      <c r="W107" s="140"/>
      <c r="X107" s="141"/>
      <c r="Y107" s="140"/>
      <c r="Z107" s="142"/>
      <c r="AA107" s="139"/>
      <c r="AB107" s="139"/>
      <c r="AC107" s="140"/>
      <c r="AD107" s="140"/>
      <c r="AE107" s="140"/>
    </row>
    <row r="108">
      <c r="A108" s="130"/>
      <c r="B108" s="131"/>
      <c r="C108" s="131"/>
      <c r="D108" s="130"/>
      <c r="E108" s="132"/>
      <c r="F108" s="132"/>
      <c r="G108" s="133"/>
      <c r="H108" s="134"/>
      <c r="I108" s="134"/>
      <c r="J108" s="134"/>
      <c r="K108" s="134"/>
      <c r="L108" s="134"/>
      <c r="M108" s="134"/>
      <c r="N108" s="135"/>
      <c r="O108" s="136"/>
      <c r="P108" s="136"/>
      <c r="Q108" s="137"/>
      <c r="R108" s="138"/>
      <c r="S108" s="138"/>
      <c r="T108" s="139"/>
      <c r="U108" s="139"/>
      <c r="V108" s="139"/>
      <c r="W108" s="140"/>
      <c r="X108" s="141"/>
      <c r="Y108" s="140"/>
      <c r="Z108" s="142"/>
      <c r="AA108" s="139"/>
      <c r="AB108" s="139"/>
      <c r="AC108" s="140"/>
      <c r="AD108" s="140"/>
      <c r="AE108" s="140"/>
    </row>
    <row r="109">
      <c r="A109" s="130"/>
      <c r="B109" s="131"/>
      <c r="C109" s="131"/>
      <c r="D109" s="130"/>
      <c r="E109" s="132"/>
      <c r="F109" s="132"/>
      <c r="G109" s="133"/>
      <c r="H109" s="134"/>
      <c r="I109" s="134"/>
      <c r="J109" s="134"/>
      <c r="K109" s="134"/>
      <c r="L109" s="134"/>
      <c r="M109" s="134"/>
      <c r="N109" s="135"/>
      <c r="O109" s="136"/>
      <c r="P109" s="136"/>
      <c r="Q109" s="137"/>
      <c r="R109" s="138"/>
      <c r="S109" s="138"/>
      <c r="T109" s="139"/>
      <c r="U109" s="139"/>
      <c r="V109" s="139"/>
      <c r="W109" s="140"/>
      <c r="X109" s="141"/>
      <c r="Y109" s="140"/>
      <c r="Z109" s="142"/>
      <c r="AA109" s="139"/>
      <c r="AB109" s="139"/>
      <c r="AC109" s="140"/>
      <c r="AD109" s="140"/>
      <c r="AE109" s="140"/>
    </row>
    <row r="110">
      <c r="A110" s="130"/>
      <c r="B110" s="131"/>
      <c r="C110" s="131"/>
      <c r="D110" s="130"/>
      <c r="E110" s="132"/>
      <c r="F110" s="132"/>
      <c r="G110" s="133"/>
      <c r="H110" s="134"/>
      <c r="I110" s="134"/>
      <c r="J110" s="134"/>
      <c r="K110" s="134"/>
      <c r="L110" s="134"/>
      <c r="M110" s="134"/>
      <c r="N110" s="135"/>
      <c r="O110" s="136"/>
      <c r="P110" s="136"/>
      <c r="Q110" s="137"/>
      <c r="R110" s="138"/>
      <c r="S110" s="138"/>
      <c r="T110" s="139"/>
      <c r="U110" s="139"/>
      <c r="V110" s="139"/>
      <c r="W110" s="140"/>
      <c r="X110" s="141"/>
      <c r="Y110" s="140"/>
      <c r="Z110" s="142"/>
      <c r="AA110" s="139"/>
      <c r="AB110" s="139"/>
      <c r="AC110" s="140"/>
      <c r="AD110" s="140"/>
      <c r="AE110" s="140"/>
    </row>
    <row r="111">
      <c r="A111" s="130"/>
      <c r="B111" s="131"/>
      <c r="C111" s="131"/>
      <c r="D111" s="130"/>
      <c r="E111" s="132"/>
      <c r="F111" s="132"/>
      <c r="G111" s="133"/>
      <c r="H111" s="134"/>
      <c r="I111" s="134"/>
      <c r="J111" s="134"/>
      <c r="K111" s="134"/>
      <c r="L111" s="134"/>
      <c r="M111" s="134"/>
      <c r="N111" s="135"/>
      <c r="O111" s="136"/>
      <c r="P111" s="136"/>
      <c r="Q111" s="137"/>
      <c r="R111" s="138"/>
      <c r="S111" s="138"/>
      <c r="T111" s="139"/>
      <c r="U111" s="139"/>
      <c r="V111" s="139"/>
      <c r="W111" s="140"/>
      <c r="X111" s="141"/>
      <c r="Y111" s="140"/>
      <c r="Z111" s="142"/>
      <c r="AA111" s="139"/>
      <c r="AB111" s="139"/>
      <c r="AC111" s="140"/>
      <c r="AD111" s="140"/>
      <c r="AE111" s="140"/>
    </row>
    <row r="112">
      <c r="A112" s="130"/>
      <c r="B112" s="131"/>
      <c r="C112" s="131"/>
      <c r="D112" s="130"/>
      <c r="E112" s="132"/>
      <c r="F112" s="132"/>
      <c r="G112" s="133"/>
      <c r="H112" s="134"/>
      <c r="I112" s="134"/>
      <c r="J112" s="134"/>
      <c r="K112" s="134"/>
      <c r="L112" s="134"/>
      <c r="M112" s="134"/>
      <c r="N112" s="135"/>
      <c r="O112" s="136"/>
      <c r="P112" s="136"/>
      <c r="Q112" s="137"/>
      <c r="R112" s="138"/>
      <c r="S112" s="138"/>
      <c r="T112" s="139"/>
      <c r="U112" s="139"/>
      <c r="V112" s="139"/>
      <c r="W112" s="140"/>
      <c r="X112" s="141"/>
      <c r="Y112" s="140"/>
      <c r="Z112" s="142"/>
      <c r="AA112" s="139"/>
      <c r="AB112" s="139"/>
      <c r="AC112" s="140"/>
      <c r="AD112" s="140"/>
      <c r="AE112" s="140"/>
    </row>
    <row r="113">
      <c r="A113" s="130"/>
      <c r="B113" s="131"/>
      <c r="C113" s="131"/>
      <c r="D113" s="130"/>
      <c r="E113" s="132"/>
      <c r="F113" s="132"/>
      <c r="G113" s="133"/>
      <c r="H113" s="134"/>
      <c r="I113" s="134"/>
      <c r="J113" s="134"/>
      <c r="K113" s="134"/>
      <c r="L113" s="134"/>
      <c r="M113" s="134"/>
      <c r="N113" s="135"/>
      <c r="O113" s="136"/>
      <c r="P113" s="136"/>
      <c r="Q113" s="137"/>
      <c r="R113" s="138"/>
      <c r="S113" s="138"/>
      <c r="T113" s="139"/>
      <c r="U113" s="139"/>
      <c r="V113" s="139"/>
      <c r="W113" s="140"/>
      <c r="X113" s="141"/>
      <c r="Y113" s="140"/>
      <c r="Z113" s="142"/>
      <c r="AA113" s="139"/>
      <c r="AB113" s="139"/>
      <c r="AC113" s="140"/>
      <c r="AD113" s="140"/>
      <c r="AE113" s="140"/>
    </row>
    <row r="114">
      <c r="A114" s="130"/>
      <c r="B114" s="131"/>
      <c r="C114" s="131"/>
      <c r="D114" s="130"/>
      <c r="E114" s="132"/>
      <c r="F114" s="132"/>
      <c r="G114" s="133"/>
      <c r="H114" s="134"/>
      <c r="I114" s="134"/>
      <c r="J114" s="134"/>
      <c r="K114" s="134"/>
      <c r="L114" s="134"/>
      <c r="M114" s="134"/>
      <c r="N114" s="135"/>
      <c r="O114" s="136"/>
      <c r="P114" s="136"/>
      <c r="Q114" s="137"/>
      <c r="R114" s="138"/>
      <c r="S114" s="138"/>
      <c r="T114" s="139"/>
      <c r="U114" s="139"/>
      <c r="V114" s="139"/>
      <c r="W114" s="140"/>
      <c r="X114" s="141"/>
      <c r="Y114" s="140"/>
      <c r="Z114" s="142"/>
      <c r="AA114" s="139"/>
      <c r="AB114" s="139"/>
      <c r="AC114" s="140"/>
      <c r="AD114" s="140"/>
      <c r="AE114" s="140"/>
    </row>
    <row r="115">
      <c r="A115" s="130"/>
      <c r="B115" s="131"/>
      <c r="C115" s="131"/>
      <c r="D115" s="130"/>
      <c r="E115" s="132"/>
      <c r="F115" s="132"/>
      <c r="G115" s="133"/>
      <c r="H115" s="134"/>
      <c r="I115" s="134"/>
      <c r="J115" s="134"/>
      <c r="K115" s="134"/>
      <c r="L115" s="134"/>
      <c r="M115" s="134"/>
      <c r="N115" s="135"/>
      <c r="O115" s="136"/>
      <c r="P115" s="136"/>
      <c r="Q115" s="137"/>
      <c r="R115" s="138"/>
      <c r="S115" s="138"/>
      <c r="T115" s="139"/>
      <c r="U115" s="139"/>
      <c r="V115" s="139"/>
      <c r="W115" s="140"/>
      <c r="X115" s="141"/>
      <c r="Y115" s="140"/>
      <c r="Z115" s="142"/>
      <c r="AA115" s="139"/>
      <c r="AB115" s="139"/>
      <c r="AC115" s="140"/>
      <c r="AD115" s="140"/>
      <c r="AE115" s="140"/>
    </row>
    <row r="116">
      <c r="A116" s="130"/>
      <c r="B116" s="131"/>
      <c r="C116" s="131"/>
      <c r="D116" s="130"/>
      <c r="E116" s="132"/>
      <c r="F116" s="132"/>
      <c r="G116" s="133"/>
      <c r="H116" s="134"/>
      <c r="I116" s="134"/>
      <c r="J116" s="134"/>
      <c r="K116" s="134"/>
      <c r="L116" s="134"/>
      <c r="M116" s="134"/>
      <c r="N116" s="135"/>
      <c r="O116" s="136"/>
      <c r="P116" s="136"/>
      <c r="Q116" s="137"/>
      <c r="R116" s="138"/>
      <c r="S116" s="138"/>
      <c r="T116" s="139"/>
      <c r="U116" s="139"/>
      <c r="V116" s="139"/>
      <c r="W116" s="140"/>
      <c r="X116" s="141"/>
      <c r="Y116" s="140"/>
      <c r="Z116" s="142"/>
      <c r="AA116" s="139"/>
      <c r="AB116" s="139"/>
      <c r="AC116" s="140"/>
      <c r="AD116" s="140"/>
      <c r="AE116" s="140"/>
    </row>
    <row r="117">
      <c r="A117" s="130"/>
      <c r="B117" s="131"/>
      <c r="C117" s="131"/>
      <c r="D117" s="130"/>
      <c r="E117" s="132"/>
      <c r="F117" s="132"/>
      <c r="G117" s="133"/>
      <c r="H117" s="134"/>
      <c r="I117" s="134"/>
      <c r="J117" s="134"/>
      <c r="K117" s="134"/>
      <c r="L117" s="134"/>
      <c r="M117" s="134"/>
      <c r="N117" s="135"/>
      <c r="O117" s="136"/>
      <c r="P117" s="136"/>
      <c r="Q117" s="137"/>
      <c r="R117" s="138"/>
      <c r="S117" s="138"/>
      <c r="T117" s="139"/>
      <c r="U117" s="139"/>
      <c r="V117" s="139"/>
      <c r="W117" s="140"/>
      <c r="X117" s="141"/>
      <c r="Y117" s="140"/>
      <c r="Z117" s="142"/>
      <c r="AA117" s="139"/>
      <c r="AB117" s="139"/>
      <c r="AC117" s="140"/>
      <c r="AD117" s="140"/>
      <c r="AE117" s="140"/>
    </row>
    <row r="118">
      <c r="A118" s="130"/>
      <c r="B118" s="131"/>
      <c r="C118" s="131"/>
      <c r="D118" s="130"/>
      <c r="E118" s="132"/>
      <c r="F118" s="132"/>
      <c r="G118" s="133"/>
      <c r="H118" s="134"/>
      <c r="I118" s="134"/>
      <c r="J118" s="134"/>
      <c r="K118" s="134"/>
      <c r="L118" s="134"/>
      <c r="M118" s="134"/>
      <c r="N118" s="135"/>
      <c r="O118" s="136"/>
      <c r="P118" s="136"/>
      <c r="Q118" s="137"/>
      <c r="R118" s="138"/>
      <c r="S118" s="138"/>
      <c r="T118" s="139"/>
      <c r="U118" s="139"/>
      <c r="V118" s="139"/>
      <c r="W118" s="140"/>
      <c r="X118" s="141"/>
      <c r="Y118" s="140"/>
      <c r="Z118" s="142"/>
      <c r="AA118" s="139"/>
      <c r="AB118" s="139"/>
      <c r="AC118" s="140"/>
      <c r="AD118" s="140"/>
      <c r="AE118" s="140"/>
    </row>
    <row r="119">
      <c r="A119" s="130"/>
      <c r="B119" s="131"/>
      <c r="C119" s="131"/>
      <c r="D119" s="130"/>
      <c r="E119" s="132"/>
      <c r="F119" s="132"/>
      <c r="G119" s="133"/>
      <c r="H119" s="134"/>
      <c r="I119" s="134"/>
      <c r="J119" s="134"/>
      <c r="K119" s="134"/>
      <c r="L119" s="134"/>
      <c r="M119" s="134"/>
      <c r="N119" s="135"/>
      <c r="O119" s="136"/>
      <c r="P119" s="136"/>
      <c r="Q119" s="137"/>
      <c r="R119" s="138"/>
      <c r="S119" s="138"/>
      <c r="T119" s="139"/>
      <c r="U119" s="139"/>
      <c r="V119" s="139"/>
      <c r="W119" s="140"/>
      <c r="X119" s="141"/>
      <c r="Y119" s="140"/>
      <c r="Z119" s="142"/>
      <c r="AA119" s="139"/>
      <c r="AB119" s="139"/>
      <c r="AC119" s="140"/>
      <c r="AD119" s="140"/>
      <c r="AE119" s="140"/>
    </row>
    <row r="120">
      <c r="A120" s="130"/>
      <c r="B120" s="131"/>
      <c r="C120" s="131"/>
      <c r="D120" s="130"/>
      <c r="E120" s="132"/>
      <c r="F120" s="132"/>
      <c r="G120" s="133"/>
      <c r="H120" s="134"/>
      <c r="I120" s="134"/>
      <c r="J120" s="134"/>
      <c r="K120" s="134"/>
      <c r="L120" s="134"/>
      <c r="M120" s="134"/>
      <c r="N120" s="135"/>
      <c r="O120" s="136"/>
      <c r="P120" s="136"/>
      <c r="Q120" s="137"/>
      <c r="R120" s="138"/>
      <c r="S120" s="138"/>
      <c r="T120" s="139"/>
      <c r="U120" s="139"/>
      <c r="V120" s="139"/>
      <c r="W120" s="140"/>
      <c r="X120" s="141"/>
      <c r="Y120" s="140"/>
      <c r="Z120" s="142"/>
      <c r="AA120" s="139"/>
      <c r="AB120" s="139"/>
      <c r="AC120" s="140"/>
      <c r="AD120" s="140"/>
      <c r="AE120" s="140"/>
    </row>
    <row r="121">
      <c r="A121" s="130"/>
      <c r="B121" s="131"/>
      <c r="C121" s="131"/>
      <c r="D121" s="130"/>
      <c r="E121" s="132"/>
      <c r="F121" s="132"/>
      <c r="G121" s="133"/>
      <c r="H121" s="134"/>
      <c r="I121" s="134"/>
      <c r="J121" s="134"/>
      <c r="K121" s="134"/>
      <c r="L121" s="134"/>
      <c r="M121" s="134"/>
      <c r="N121" s="135"/>
      <c r="O121" s="136"/>
      <c r="P121" s="136"/>
      <c r="Q121" s="137"/>
      <c r="R121" s="138"/>
      <c r="S121" s="138"/>
      <c r="T121" s="139"/>
      <c r="U121" s="139"/>
      <c r="V121" s="139"/>
      <c r="W121" s="140"/>
      <c r="X121" s="141"/>
      <c r="Y121" s="140"/>
      <c r="Z121" s="142"/>
      <c r="AA121" s="139"/>
      <c r="AB121" s="139"/>
      <c r="AC121" s="140"/>
      <c r="AD121" s="140"/>
      <c r="AE121" s="140"/>
    </row>
    <row r="122">
      <c r="A122" s="130"/>
      <c r="B122" s="131"/>
      <c r="C122" s="131"/>
      <c r="D122" s="130"/>
      <c r="E122" s="132"/>
      <c r="F122" s="132"/>
      <c r="G122" s="133"/>
      <c r="H122" s="134"/>
      <c r="I122" s="134"/>
      <c r="J122" s="134"/>
      <c r="K122" s="134"/>
      <c r="L122" s="134"/>
      <c r="M122" s="134"/>
      <c r="N122" s="135"/>
      <c r="O122" s="136"/>
      <c r="P122" s="136"/>
      <c r="Q122" s="137"/>
      <c r="R122" s="138"/>
      <c r="S122" s="138"/>
      <c r="T122" s="139"/>
      <c r="U122" s="139"/>
      <c r="V122" s="139"/>
      <c r="W122" s="140"/>
      <c r="X122" s="141"/>
      <c r="Y122" s="140"/>
      <c r="Z122" s="142"/>
      <c r="AA122" s="139"/>
      <c r="AB122" s="139"/>
      <c r="AC122" s="140"/>
      <c r="AD122" s="140"/>
      <c r="AE122" s="140"/>
    </row>
    <row r="123">
      <c r="A123" s="130"/>
      <c r="B123" s="131"/>
      <c r="C123" s="131"/>
      <c r="D123" s="130"/>
      <c r="E123" s="132"/>
      <c r="F123" s="132"/>
      <c r="G123" s="133"/>
      <c r="H123" s="134"/>
      <c r="I123" s="134"/>
      <c r="J123" s="134"/>
      <c r="K123" s="134"/>
      <c r="L123" s="134"/>
      <c r="M123" s="134"/>
      <c r="N123" s="135"/>
      <c r="O123" s="136"/>
      <c r="P123" s="136"/>
      <c r="Q123" s="137"/>
      <c r="R123" s="138"/>
      <c r="S123" s="138"/>
      <c r="T123" s="139"/>
      <c r="U123" s="139"/>
      <c r="V123" s="139"/>
      <c r="W123" s="140"/>
      <c r="X123" s="141"/>
      <c r="Y123" s="140"/>
      <c r="Z123" s="142"/>
      <c r="AA123" s="139"/>
      <c r="AB123" s="139"/>
      <c r="AC123" s="140"/>
      <c r="AD123" s="140"/>
      <c r="AE123" s="140"/>
    </row>
    <row r="124">
      <c r="A124" s="130"/>
      <c r="B124" s="131"/>
      <c r="C124" s="131"/>
      <c r="D124" s="130"/>
      <c r="E124" s="132"/>
      <c r="F124" s="132"/>
      <c r="G124" s="133"/>
      <c r="H124" s="134"/>
      <c r="I124" s="134"/>
      <c r="J124" s="134"/>
      <c r="K124" s="134"/>
      <c r="L124" s="134"/>
      <c r="M124" s="134"/>
      <c r="N124" s="135"/>
      <c r="O124" s="136"/>
      <c r="P124" s="136"/>
      <c r="Q124" s="137"/>
      <c r="R124" s="138"/>
      <c r="S124" s="138"/>
      <c r="T124" s="139"/>
      <c r="U124" s="139"/>
      <c r="V124" s="139"/>
      <c r="W124" s="140"/>
      <c r="X124" s="141"/>
      <c r="Y124" s="140"/>
      <c r="Z124" s="142"/>
      <c r="AA124" s="139"/>
      <c r="AB124" s="139"/>
      <c r="AC124" s="140"/>
      <c r="AD124" s="140"/>
      <c r="AE124" s="140"/>
    </row>
    <row r="125">
      <c r="A125" s="130"/>
      <c r="B125" s="131"/>
      <c r="C125" s="131"/>
      <c r="D125" s="130"/>
      <c r="E125" s="132"/>
      <c r="F125" s="132"/>
      <c r="G125" s="133"/>
      <c r="H125" s="134"/>
      <c r="I125" s="134"/>
      <c r="J125" s="134"/>
      <c r="K125" s="134"/>
      <c r="L125" s="134"/>
      <c r="M125" s="134"/>
      <c r="N125" s="135"/>
      <c r="O125" s="136"/>
      <c r="P125" s="136"/>
      <c r="Q125" s="137"/>
      <c r="R125" s="138"/>
      <c r="S125" s="138"/>
      <c r="T125" s="139"/>
      <c r="U125" s="139"/>
      <c r="V125" s="139"/>
      <c r="W125" s="140"/>
      <c r="X125" s="141"/>
      <c r="Y125" s="140"/>
      <c r="Z125" s="142"/>
      <c r="AA125" s="139"/>
      <c r="AB125" s="139"/>
      <c r="AC125" s="140"/>
      <c r="AD125" s="140"/>
      <c r="AE125" s="140"/>
    </row>
    <row r="126">
      <c r="A126" s="130"/>
      <c r="B126" s="131"/>
      <c r="C126" s="131"/>
      <c r="D126" s="130"/>
      <c r="E126" s="132"/>
      <c r="F126" s="132"/>
      <c r="G126" s="133"/>
      <c r="H126" s="134"/>
      <c r="I126" s="134"/>
      <c r="J126" s="134"/>
      <c r="K126" s="134"/>
      <c r="L126" s="134"/>
      <c r="M126" s="134"/>
      <c r="N126" s="135"/>
      <c r="O126" s="136"/>
      <c r="P126" s="136"/>
      <c r="Q126" s="137"/>
      <c r="R126" s="138"/>
      <c r="S126" s="138"/>
      <c r="T126" s="139"/>
      <c r="U126" s="139"/>
      <c r="V126" s="139"/>
      <c r="W126" s="140"/>
      <c r="X126" s="141"/>
      <c r="Y126" s="140"/>
      <c r="Z126" s="142"/>
      <c r="AA126" s="139"/>
      <c r="AB126" s="139"/>
      <c r="AC126" s="140"/>
      <c r="AD126" s="140"/>
      <c r="AE126" s="140"/>
    </row>
    <row r="127">
      <c r="A127" s="130"/>
      <c r="B127" s="131"/>
      <c r="C127" s="131"/>
      <c r="D127" s="130"/>
      <c r="E127" s="132"/>
      <c r="F127" s="132"/>
      <c r="G127" s="133"/>
      <c r="H127" s="134"/>
      <c r="I127" s="134"/>
      <c r="J127" s="134"/>
      <c r="K127" s="134"/>
      <c r="L127" s="134"/>
      <c r="M127" s="134"/>
      <c r="N127" s="135"/>
      <c r="O127" s="136"/>
      <c r="P127" s="136"/>
      <c r="Q127" s="137"/>
      <c r="R127" s="138"/>
      <c r="S127" s="138"/>
      <c r="T127" s="139"/>
      <c r="U127" s="139"/>
      <c r="V127" s="139"/>
      <c r="W127" s="140"/>
      <c r="X127" s="141"/>
      <c r="Y127" s="140"/>
      <c r="Z127" s="142"/>
      <c r="AA127" s="139"/>
      <c r="AB127" s="139"/>
      <c r="AC127" s="140"/>
      <c r="AD127" s="140"/>
      <c r="AE127" s="140"/>
    </row>
    <row r="128">
      <c r="A128" s="130"/>
      <c r="B128" s="131"/>
      <c r="C128" s="131"/>
      <c r="D128" s="130"/>
      <c r="E128" s="132"/>
      <c r="F128" s="132"/>
      <c r="G128" s="133"/>
      <c r="H128" s="134"/>
      <c r="I128" s="134"/>
      <c r="J128" s="134"/>
      <c r="K128" s="134"/>
      <c r="L128" s="134"/>
      <c r="M128" s="134"/>
      <c r="N128" s="135"/>
      <c r="O128" s="136"/>
      <c r="P128" s="136"/>
      <c r="Q128" s="137"/>
      <c r="R128" s="138"/>
      <c r="S128" s="138"/>
      <c r="T128" s="139"/>
      <c r="U128" s="139"/>
      <c r="V128" s="139"/>
      <c r="W128" s="140"/>
      <c r="X128" s="141"/>
      <c r="Y128" s="140"/>
      <c r="Z128" s="142"/>
      <c r="AA128" s="139"/>
      <c r="AB128" s="139"/>
      <c r="AC128" s="140"/>
      <c r="AD128" s="140"/>
      <c r="AE128" s="140"/>
    </row>
    <row r="129">
      <c r="A129" s="130"/>
      <c r="B129" s="131"/>
      <c r="C129" s="131"/>
      <c r="D129" s="130"/>
      <c r="E129" s="132"/>
      <c r="F129" s="132"/>
      <c r="G129" s="133"/>
      <c r="H129" s="134"/>
      <c r="I129" s="134"/>
      <c r="J129" s="134"/>
      <c r="K129" s="134"/>
      <c r="L129" s="134"/>
      <c r="M129" s="134"/>
      <c r="N129" s="135"/>
      <c r="O129" s="136"/>
      <c r="P129" s="136"/>
      <c r="Q129" s="137"/>
      <c r="R129" s="138"/>
      <c r="S129" s="138"/>
      <c r="T129" s="139"/>
      <c r="U129" s="139"/>
      <c r="V129" s="139"/>
      <c r="W129" s="140"/>
      <c r="X129" s="141"/>
      <c r="Y129" s="140"/>
      <c r="Z129" s="142"/>
      <c r="AA129" s="139"/>
      <c r="AB129" s="139"/>
      <c r="AC129" s="140"/>
      <c r="AD129" s="140"/>
      <c r="AE129" s="140"/>
    </row>
    <row r="130">
      <c r="A130" s="130"/>
      <c r="B130" s="131"/>
      <c r="C130" s="131"/>
      <c r="D130" s="130"/>
      <c r="E130" s="132"/>
      <c r="F130" s="132"/>
      <c r="G130" s="133"/>
      <c r="H130" s="134"/>
      <c r="I130" s="134"/>
      <c r="J130" s="134"/>
      <c r="K130" s="134"/>
      <c r="L130" s="134"/>
      <c r="M130" s="134"/>
      <c r="N130" s="135"/>
      <c r="O130" s="136"/>
      <c r="P130" s="136"/>
      <c r="Q130" s="137"/>
      <c r="R130" s="138"/>
      <c r="S130" s="138"/>
      <c r="T130" s="139"/>
      <c r="U130" s="139"/>
      <c r="V130" s="139"/>
      <c r="W130" s="140"/>
      <c r="X130" s="141"/>
      <c r="Y130" s="140"/>
      <c r="Z130" s="142"/>
      <c r="AA130" s="139"/>
      <c r="AB130" s="139"/>
      <c r="AC130" s="140"/>
      <c r="AD130" s="140"/>
      <c r="AE130" s="140"/>
    </row>
    <row r="131">
      <c r="A131" s="130"/>
      <c r="B131" s="131"/>
      <c r="C131" s="131"/>
      <c r="D131" s="130"/>
      <c r="E131" s="132"/>
      <c r="F131" s="132"/>
      <c r="G131" s="133"/>
      <c r="H131" s="134"/>
      <c r="I131" s="134"/>
      <c r="J131" s="134"/>
      <c r="K131" s="134"/>
      <c r="L131" s="134"/>
      <c r="M131" s="134"/>
      <c r="N131" s="135"/>
      <c r="O131" s="136"/>
      <c r="P131" s="136"/>
      <c r="Q131" s="137"/>
      <c r="R131" s="138"/>
      <c r="S131" s="138"/>
      <c r="T131" s="139"/>
      <c r="U131" s="139"/>
      <c r="V131" s="139"/>
      <c r="W131" s="140"/>
      <c r="X131" s="141"/>
      <c r="Y131" s="140"/>
      <c r="Z131" s="142"/>
      <c r="AA131" s="139"/>
      <c r="AB131" s="139"/>
      <c r="AC131" s="140"/>
      <c r="AD131" s="140"/>
      <c r="AE131" s="140"/>
    </row>
    <row r="132">
      <c r="A132" s="130"/>
      <c r="B132" s="131"/>
      <c r="C132" s="131"/>
      <c r="D132" s="130"/>
      <c r="E132" s="132"/>
      <c r="F132" s="132"/>
      <c r="G132" s="133"/>
      <c r="H132" s="134"/>
      <c r="I132" s="134"/>
      <c r="J132" s="134"/>
      <c r="K132" s="134"/>
      <c r="L132" s="134"/>
      <c r="M132" s="134"/>
      <c r="N132" s="135"/>
      <c r="O132" s="136"/>
      <c r="P132" s="136"/>
      <c r="Q132" s="137"/>
      <c r="R132" s="138"/>
      <c r="S132" s="138"/>
      <c r="T132" s="139"/>
      <c r="U132" s="139"/>
      <c r="V132" s="139"/>
      <c r="W132" s="140"/>
      <c r="X132" s="141"/>
      <c r="Y132" s="140"/>
      <c r="Z132" s="142"/>
      <c r="AA132" s="139"/>
      <c r="AB132" s="139"/>
      <c r="AC132" s="140"/>
      <c r="AD132" s="140"/>
      <c r="AE132" s="140"/>
    </row>
    <row r="133">
      <c r="A133" s="130"/>
      <c r="B133" s="131"/>
      <c r="C133" s="131"/>
      <c r="D133" s="130"/>
      <c r="E133" s="132"/>
      <c r="F133" s="132"/>
      <c r="G133" s="133"/>
      <c r="H133" s="134"/>
      <c r="I133" s="134"/>
      <c r="J133" s="134"/>
      <c r="K133" s="134"/>
      <c r="L133" s="134"/>
      <c r="M133" s="134"/>
      <c r="N133" s="135"/>
      <c r="O133" s="136"/>
      <c r="P133" s="136"/>
      <c r="Q133" s="137"/>
      <c r="R133" s="138"/>
      <c r="S133" s="138"/>
      <c r="T133" s="139"/>
      <c r="U133" s="139"/>
      <c r="V133" s="139"/>
      <c r="W133" s="140"/>
      <c r="X133" s="141"/>
      <c r="Y133" s="140"/>
      <c r="Z133" s="142"/>
      <c r="AA133" s="139"/>
      <c r="AB133" s="139"/>
      <c r="AC133" s="140"/>
      <c r="AD133" s="140"/>
      <c r="AE133" s="140"/>
    </row>
    <row r="134">
      <c r="A134" s="130"/>
      <c r="B134" s="131"/>
      <c r="C134" s="131"/>
      <c r="D134" s="130"/>
      <c r="E134" s="132"/>
      <c r="F134" s="132"/>
      <c r="G134" s="133"/>
      <c r="H134" s="134"/>
      <c r="I134" s="134"/>
      <c r="J134" s="134"/>
      <c r="K134" s="134"/>
      <c r="L134" s="134"/>
      <c r="M134" s="134"/>
      <c r="N134" s="135"/>
      <c r="O134" s="136"/>
      <c r="P134" s="136"/>
      <c r="Q134" s="137"/>
      <c r="R134" s="138"/>
      <c r="S134" s="138"/>
      <c r="T134" s="139"/>
      <c r="U134" s="139"/>
      <c r="V134" s="139"/>
      <c r="W134" s="140"/>
      <c r="X134" s="141"/>
      <c r="Y134" s="140"/>
      <c r="Z134" s="142"/>
      <c r="AA134" s="139"/>
      <c r="AB134" s="139"/>
      <c r="AC134" s="140"/>
      <c r="AD134" s="140"/>
      <c r="AE134" s="140"/>
    </row>
    <row r="135">
      <c r="A135" s="130"/>
      <c r="B135" s="131"/>
      <c r="C135" s="131"/>
      <c r="D135" s="130"/>
      <c r="E135" s="132"/>
      <c r="F135" s="132"/>
      <c r="G135" s="133"/>
      <c r="H135" s="134"/>
      <c r="I135" s="134"/>
      <c r="J135" s="134"/>
      <c r="K135" s="134"/>
      <c r="L135" s="134"/>
      <c r="M135" s="134"/>
      <c r="N135" s="135"/>
      <c r="O135" s="136"/>
      <c r="P135" s="136"/>
      <c r="Q135" s="137"/>
      <c r="R135" s="138"/>
      <c r="S135" s="138"/>
      <c r="T135" s="139"/>
      <c r="U135" s="139"/>
      <c r="V135" s="139"/>
      <c r="W135" s="140"/>
      <c r="X135" s="141"/>
      <c r="Y135" s="140"/>
      <c r="Z135" s="142"/>
      <c r="AA135" s="139"/>
      <c r="AB135" s="139"/>
      <c r="AC135" s="140"/>
      <c r="AD135" s="140"/>
      <c r="AE135" s="140"/>
    </row>
    <row r="136">
      <c r="A136" s="130"/>
      <c r="B136" s="131"/>
      <c r="C136" s="131"/>
      <c r="D136" s="130"/>
      <c r="E136" s="132"/>
      <c r="F136" s="132"/>
      <c r="G136" s="133"/>
      <c r="H136" s="134"/>
      <c r="I136" s="134"/>
      <c r="J136" s="134"/>
      <c r="K136" s="134"/>
      <c r="L136" s="134"/>
      <c r="M136" s="134"/>
      <c r="N136" s="135"/>
      <c r="O136" s="136"/>
      <c r="P136" s="136"/>
      <c r="Q136" s="137"/>
      <c r="R136" s="138"/>
      <c r="S136" s="138"/>
      <c r="T136" s="139"/>
      <c r="U136" s="139"/>
      <c r="V136" s="139"/>
      <c r="W136" s="140"/>
      <c r="X136" s="141"/>
      <c r="Y136" s="140"/>
      <c r="Z136" s="142"/>
      <c r="AA136" s="139"/>
      <c r="AB136" s="139"/>
      <c r="AC136" s="140"/>
      <c r="AD136" s="140"/>
      <c r="AE136" s="140"/>
    </row>
    <row r="137">
      <c r="A137" s="130"/>
      <c r="B137" s="131"/>
      <c r="C137" s="131"/>
      <c r="D137" s="130"/>
      <c r="E137" s="132"/>
      <c r="F137" s="132"/>
      <c r="G137" s="133"/>
      <c r="H137" s="134"/>
      <c r="I137" s="134"/>
      <c r="J137" s="134"/>
      <c r="K137" s="134"/>
      <c r="L137" s="134"/>
      <c r="M137" s="134"/>
      <c r="N137" s="135"/>
      <c r="O137" s="136"/>
      <c r="P137" s="136"/>
      <c r="Q137" s="137"/>
      <c r="R137" s="138"/>
      <c r="S137" s="138"/>
      <c r="T137" s="139"/>
      <c r="U137" s="139"/>
      <c r="V137" s="139"/>
      <c r="W137" s="140"/>
      <c r="X137" s="141"/>
      <c r="Y137" s="140"/>
      <c r="Z137" s="142"/>
      <c r="AA137" s="139"/>
      <c r="AB137" s="139"/>
      <c r="AC137" s="140"/>
      <c r="AD137" s="140"/>
      <c r="AE137" s="140"/>
    </row>
    <row r="138">
      <c r="A138" s="130"/>
      <c r="B138" s="131"/>
      <c r="C138" s="131"/>
      <c r="D138" s="130"/>
      <c r="E138" s="132"/>
      <c r="F138" s="132"/>
      <c r="G138" s="133"/>
      <c r="H138" s="134"/>
      <c r="I138" s="134"/>
      <c r="J138" s="134"/>
      <c r="K138" s="134"/>
      <c r="L138" s="134"/>
      <c r="M138" s="134"/>
      <c r="N138" s="135"/>
      <c r="O138" s="136"/>
      <c r="P138" s="136"/>
      <c r="Q138" s="137"/>
      <c r="R138" s="138"/>
      <c r="S138" s="138"/>
      <c r="T138" s="139"/>
      <c r="U138" s="139"/>
      <c r="V138" s="139"/>
      <c r="W138" s="140"/>
      <c r="X138" s="141"/>
      <c r="Y138" s="140"/>
      <c r="Z138" s="142"/>
      <c r="AA138" s="139"/>
      <c r="AB138" s="139"/>
      <c r="AC138" s="140"/>
      <c r="AD138" s="140"/>
      <c r="AE138" s="140"/>
    </row>
    <row r="139">
      <c r="A139" s="130"/>
      <c r="B139" s="131"/>
      <c r="C139" s="131"/>
      <c r="D139" s="130"/>
      <c r="E139" s="132"/>
      <c r="F139" s="132"/>
      <c r="G139" s="133"/>
      <c r="H139" s="134"/>
      <c r="I139" s="134"/>
      <c r="J139" s="134"/>
      <c r="K139" s="134"/>
      <c r="L139" s="134"/>
      <c r="M139" s="134"/>
      <c r="N139" s="135"/>
      <c r="O139" s="136"/>
      <c r="P139" s="136"/>
      <c r="Q139" s="137"/>
      <c r="R139" s="138"/>
      <c r="S139" s="138"/>
      <c r="T139" s="139"/>
      <c r="U139" s="139"/>
      <c r="V139" s="139"/>
      <c r="W139" s="140"/>
      <c r="X139" s="141"/>
      <c r="Y139" s="140"/>
      <c r="Z139" s="142"/>
      <c r="AA139" s="139"/>
      <c r="AB139" s="139"/>
      <c r="AC139" s="140"/>
      <c r="AD139" s="140"/>
      <c r="AE139" s="140"/>
    </row>
    <row r="140">
      <c r="A140" s="130"/>
      <c r="B140" s="131"/>
      <c r="C140" s="131"/>
      <c r="D140" s="130"/>
      <c r="E140" s="132"/>
      <c r="F140" s="132"/>
      <c r="G140" s="133"/>
      <c r="H140" s="134"/>
      <c r="I140" s="134"/>
      <c r="J140" s="134"/>
      <c r="K140" s="134"/>
      <c r="L140" s="134"/>
      <c r="M140" s="134"/>
      <c r="N140" s="135"/>
      <c r="O140" s="136"/>
      <c r="P140" s="136"/>
      <c r="Q140" s="137"/>
      <c r="R140" s="138"/>
      <c r="S140" s="138"/>
      <c r="T140" s="139"/>
      <c r="U140" s="139"/>
      <c r="V140" s="139"/>
      <c r="W140" s="140"/>
      <c r="X140" s="141"/>
      <c r="Y140" s="140"/>
      <c r="Z140" s="142"/>
      <c r="AA140" s="139"/>
      <c r="AB140" s="139"/>
      <c r="AC140" s="140"/>
      <c r="AD140" s="140"/>
      <c r="AE140" s="140"/>
    </row>
    <row r="141">
      <c r="A141" s="130"/>
      <c r="B141" s="131"/>
      <c r="C141" s="131"/>
      <c r="D141" s="130"/>
      <c r="E141" s="132"/>
      <c r="F141" s="132"/>
      <c r="G141" s="133"/>
      <c r="H141" s="134"/>
      <c r="I141" s="134"/>
      <c r="J141" s="134"/>
      <c r="K141" s="134"/>
      <c r="L141" s="134"/>
      <c r="M141" s="134"/>
      <c r="N141" s="135"/>
      <c r="O141" s="136"/>
      <c r="P141" s="136"/>
      <c r="Q141" s="137"/>
      <c r="R141" s="138"/>
      <c r="S141" s="138"/>
      <c r="T141" s="139"/>
      <c r="U141" s="139"/>
      <c r="V141" s="139"/>
      <c r="W141" s="140"/>
      <c r="X141" s="141"/>
      <c r="Y141" s="140"/>
      <c r="Z141" s="142"/>
      <c r="AA141" s="139"/>
      <c r="AB141" s="139"/>
      <c r="AC141" s="140"/>
      <c r="AD141" s="140"/>
      <c r="AE141" s="140"/>
    </row>
    <row r="142">
      <c r="A142" s="130"/>
      <c r="B142" s="131"/>
      <c r="C142" s="131"/>
      <c r="D142" s="130"/>
      <c r="E142" s="132"/>
      <c r="F142" s="132"/>
      <c r="G142" s="133"/>
      <c r="H142" s="134"/>
      <c r="I142" s="134"/>
      <c r="J142" s="134"/>
      <c r="K142" s="134"/>
      <c r="L142" s="134"/>
      <c r="M142" s="134"/>
      <c r="N142" s="135"/>
      <c r="O142" s="136"/>
      <c r="P142" s="136"/>
      <c r="Q142" s="137"/>
      <c r="R142" s="138"/>
      <c r="S142" s="138"/>
      <c r="T142" s="139"/>
      <c r="U142" s="139"/>
      <c r="V142" s="139"/>
      <c r="W142" s="140"/>
      <c r="X142" s="141"/>
      <c r="Y142" s="140"/>
      <c r="Z142" s="142"/>
      <c r="AA142" s="139"/>
      <c r="AB142" s="139"/>
      <c r="AC142" s="140"/>
      <c r="AD142" s="140"/>
      <c r="AE142" s="140"/>
    </row>
    <row r="143">
      <c r="A143" s="130"/>
      <c r="B143" s="131"/>
      <c r="C143" s="131"/>
      <c r="D143" s="130"/>
      <c r="E143" s="132"/>
      <c r="F143" s="132"/>
      <c r="G143" s="133"/>
      <c r="H143" s="134"/>
      <c r="I143" s="134"/>
      <c r="J143" s="134"/>
      <c r="K143" s="134"/>
      <c r="L143" s="134"/>
      <c r="M143" s="134"/>
      <c r="N143" s="135"/>
      <c r="O143" s="136"/>
      <c r="P143" s="136"/>
      <c r="Q143" s="137"/>
      <c r="R143" s="138"/>
      <c r="S143" s="138"/>
      <c r="T143" s="139"/>
      <c r="U143" s="139"/>
      <c r="V143" s="139"/>
      <c r="W143" s="140"/>
      <c r="X143" s="141"/>
      <c r="Y143" s="140"/>
      <c r="Z143" s="142"/>
      <c r="AA143" s="139"/>
      <c r="AB143" s="139"/>
      <c r="AC143" s="140"/>
      <c r="AD143" s="140"/>
      <c r="AE143" s="140"/>
    </row>
    <row r="144">
      <c r="A144" s="130"/>
      <c r="B144" s="131"/>
      <c r="C144" s="131"/>
      <c r="D144" s="130"/>
      <c r="E144" s="132"/>
      <c r="F144" s="132"/>
      <c r="G144" s="133"/>
      <c r="H144" s="134"/>
      <c r="I144" s="134"/>
      <c r="J144" s="134"/>
      <c r="K144" s="134"/>
      <c r="L144" s="134"/>
      <c r="M144" s="134"/>
      <c r="N144" s="135"/>
      <c r="O144" s="136"/>
      <c r="P144" s="136"/>
      <c r="Q144" s="137"/>
      <c r="R144" s="138"/>
      <c r="S144" s="138"/>
      <c r="T144" s="139"/>
      <c r="U144" s="139"/>
      <c r="V144" s="139"/>
      <c r="W144" s="140"/>
      <c r="X144" s="141"/>
      <c r="Y144" s="140"/>
      <c r="Z144" s="142"/>
      <c r="AA144" s="139"/>
      <c r="AB144" s="139"/>
      <c r="AC144" s="140"/>
      <c r="AD144" s="140"/>
      <c r="AE144" s="140"/>
    </row>
    <row r="145">
      <c r="A145" s="130"/>
      <c r="B145" s="131"/>
      <c r="C145" s="131"/>
      <c r="D145" s="130"/>
      <c r="E145" s="132"/>
      <c r="F145" s="132"/>
      <c r="G145" s="133"/>
      <c r="H145" s="134"/>
      <c r="I145" s="134"/>
      <c r="J145" s="134"/>
      <c r="K145" s="134"/>
      <c r="L145" s="134"/>
      <c r="M145" s="134"/>
      <c r="N145" s="135"/>
      <c r="O145" s="136"/>
      <c r="P145" s="136"/>
      <c r="Q145" s="137"/>
      <c r="R145" s="138"/>
      <c r="S145" s="138"/>
      <c r="T145" s="139"/>
      <c r="U145" s="139"/>
      <c r="V145" s="139"/>
      <c r="W145" s="140"/>
      <c r="X145" s="141"/>
      <c r="Y145" s="140"/>
      <c r="Z145" s="142"/>
      <c r="AA145" s="139"/>
      <c r="AB145" s="139"/>
      <c r="AC145" s="140"/>
      <c r="AD145" s="140"/>
      <c r="AE145" s="140"/>
    </row>
    <row r="146">
      <c r="A146" s="130"/>
      <c r="B146" s="131"/>
      <c r="C146" s="131"/>
      <c r="D146" s="130"/>
      <c r="E146" s="132"/>
      <c r="F146" s="132"/>
      <c r="G146" s="133"/>
      <c r="H146" s="134"/>
      <c r="I146" s="134"/>
      <c r="J146" s="134"/>
      <c r="K146" s="134"/>
      <c r="L146" s="134"/>
      <c r="M146" s="134"/>
      <c r="N146" s="135"/>
      <c r="O146" s="136"/>
      <c r="P146" s="136"/>
      <c r="Q146" s="137"/>
      <c r="R146" s="138"/>
      <c r="S146" s="138"/>
      <c r="T146" s="139"/>
      <c r="U146" s="139"/>
      <c r="V146" s="139"/>
      <c r="W146" s="140"/>
      <c r="X146" s="141"/>
      <c r="Y146" s="140"/>
      <c r="Z146" s="142"/>
      <c r="AA146" s="139"/>
      <c r="AB146" s="139"/>
      <c r="AC146" s="140"/>
      <c r="AD146" s="140"/>
      <c r="AE146" s="140"/>
    </row>
    <row r="147">
      <c r="A147" s="130"/>
      <c r="B147" s="131"/>
      <c r="C147" s="131"/>
      <c r="D147" s="130"/>
      <c r="E147" s="132"/>
      <c r="F147" s="132"/>
      <c r="G147" s="133"/>
      <c r="H147" s="134"/>
      <c r="I147" s="134"/>
      <c r="J147" s="134"/>
      <c r="K147" s="134"/>
      <c r="L147" s="134"/>
      <c r="M147" s="134"/>
      <c r="N147" s="135"/>
      <c r="O147" s="136"/>
      <c r="P147" s="136"/>
      <c r="Q147" s="137"/>
      <c r="R147" s="138"/>
      <c r="S147" s="138"/>
      <c r="T147" s="139"/>
      <c r="U147" s="139"/>
      <c r="V147" s="139"/>
      <c r="W147" s="140"/>
      <c r="X147" s="141"/>
      <c r="Y147" s="140"/>
      <c r="Z147" s="142"/>
      <c r="AA147" s="139"/>
      <c r="AB147" s="139"/>
      <c r="AC147" s="140"/>
      <c r="AD147" s="140"/>
      <c r="AE147" s="140"/>
    </row>
    <row r="148">
      <c r="A148" s="130"/>
      <c r="B148" s="131"/>
      <c r="C148" s="131"/>
      <c r="D148" s="130"/>
      <c r="E148" s="132"/>
      <c r="F148" s="132"/>
      <c r="G148" s="133"/>
      <c r="H148" s="134"/>
      <c r="I148" s="134"/>
      <c r="J148" s="134"/>
      <c r="K148" s="134"/>
      <c r="L148" s="134"/>
      <c r="M148" s="134"/>
      <c r="N148" s="135"/>
      <c r="O148" s="136"/>
      <c r="P148" s="136"/>
      <c r="Q148" s="137"/>
      <c r="R148" s="138"/>
      <c r="S148" s="138"/>
      <c r="T148" s="139"/>
      <c r="U148" s="139"/>
      <c r="V148" s="139"/>
      <c r="W148" s="140"/>
      <c r="X148" s="141"/>
      <c r="Y148" s="140"/>
      <c r="Z148" s="142"/>
      <c r="AA148" s="139"/>
      <c r="AB148" s="139"/>
      <c r="AC148" s="140"/>
      <c r="AD148" s="140"/>
      <c r="AE148" s="140"/>
    </row>
    <row r="149">
      <c r="A149" s="130"/>
      <c r="B149" s="131"/>
      <c r="C149" s="131"/>
      <c r="D149" s="130"/>
      <c r="E149" s="132"/>
      <c r="F149" s="132"/>
      <c r="G149" s="133"/>
      <c r="H149" s="134"/>
      <c r="I149" s="134"/>
      <c r="J149" s="134"/>
      <c r="K149" s="134"/>
      <c r="L149" s="134"/>
      <c r="M149" s="134"/>
      <c r="N149" s="135"/>
      <c r="O149" s="136"/>
      <c r="P149" s="136"/>
      <c r="Q149" s="137"/>
      <c r="R149" s="138"/>
      <c r="S149" s="138"/>
      <c r="T149" s="139"/>
      <c r="U149" s="139"/>
      <c r="V149" s="139"/>
      <c r="W149" s="140"/>
      <c r="X149" s="141"/>
      <c r="Y149" s="140"/>
      <c r="Z149" s="142"/>
      <c r="AA149" s="139"/>
      <c r="AB149" s="139"/>
      <c r="AC149" s="140"/>
      <c r="AD149" s="140"/>
      <c r="AE149" s="140"/>
    </row>
    <row r="150">
      <c r="A150" s="130"/>
      <c r="B150" s="131"/>
      <c r="C150" s="131"/>
      <c r="D150" s="130"/>
      <c r="E150" s="132"/>
      <c r="F150" s="132"/>
      <c r="G150" s="133"/>
      <c r="H150" s="134"/>
      <c r="I150" s="134"/>
      <c r="J150" s="134"/>
      <c r="K150" s="134"/>
      <c r="L150" s="134"/>
      <c r="M150" s="134"/>
      <c r="N150" s="135"/>
      <c r="O150" s="136"/>
      <c r="P150" s="136"/>
      <c r="Q150" s="137"/>
      <c r="R150" s="138"/>
      <c r="S150" s="138"/>
      <c r="T150" s="139"/>
      <c r="U150" s="139"/>
      <c r="V150" s="139"/>
      <c r="W150" s="140"/>
      <c r="X150" s="141"/>
      <c r="Y150" s="140"/>
      <c r="Z150" s="142"/>
      <c r="AA150" s="139"/>
      <c r="AB150" s="139"/>
      <c r="AC150" s="140"/>
      <c r="AD150" s="140"/>
      <c r="AE150" s="140"/>
    </row>
    <row r="151">
      <c r="A151" s="130"/>
      <c r="B151" s="131"/>
      <c r="C151" s="131"/>
      <c r="D151" s="130"/>
      <c r="E151" s="132"/>
      <c r="F151" s="132"/>
      <c r="G151" s="133"/>
      <c r="H151" s="134"/>
      <c r="I151" s="134"/>
      <c r="J151" s="134"/>
      <c r="K151" s="134"/>
      <c r="L151" s="134"/>
      <c r="M151" s="134"/>
      <c r="N151" s="135"/>
      <c r="O151" s="136"/>
      <c r="P151" s="136"/>
      <c r="Q151" s="137"/>
      <c r="R151" s="138"/>
      <c r="S151" s="138"/>
      <c r="T151" s="139"/>
      <c r="U151" s="139"/>
      <c r="V151" s="139"/>
      <c r="W151" s="140"/>
      <c r="X151" s="141"/>
      <c r="Y151" s="140"/>
      <c r="Z151" s="142"/>
      <c r="AA151" s="139"/>
      <c r="AB151" s="139"/>
      <c r="AC151" s="140"/>
      <c r="AD151" s="140"/>
      <c r="AE151" s="140"/>
    </row>
    <row r="152">
      <c r="A152" s="130"/>
      <c r="B152" s="131"/>
      <c r="C152" s="131"/>
      <c r="D152" s="130"/>
      <c r="E152" s="132"/>
      <c r="F152" s="132"/>
      <c r="G152" s="133"/>
      <c r="H152" s="134"/>
      <c r="I152" s="134"/>
      <c r="J152" s="134"/>
      <c r="K152" s="134"/>
      <c r="L152" s="134"/>
      <c r="M152" s="134"/>
      <c r="N152" s="135"/>
      <c r="O152" s="136"/>
      <c r="P152" s="136"/>
      <c r="Q152" s="137"/>
      <c r="R152" s="138"/>
      <c r="S152" s="138"/>
      <c r="T152" s="139"/>
      <c r="U152" s="139"/>
      <c r="V152" s="139"/>
      <c r="W152" s="140"/>
      <c r="X152" s="141"/>
      <c r="Y152" s="140"/>
      <c r="Z152" s="142"/>
      <c r="AA152" s="139"/>
      <c r="AB152" s="139"/>
      <c r="AC152" s="140"/>
      <c r="AD152" s="140"/>
      <c r="AE152" s="140"/>
    </row>
    <row r="153">
      <c r="A153" s="130"/>
      <c r="B153" s="131"/>
      <c r="C153" s="131"/>
      <c r="D153" s="130"/>
      <c r="E153" s="132"/>
      <c r="F153" s="132"/>
      <c r="G153" s="133"/>
      <c r="H153" s="134"/>
      <c r="I153" s="134"/>
      <c r="J153" s="134"/>
      <c r="K153" s="134"/>
      <c r="L153" s="134"/>
      <c r="M153" s="134"/>
      <c r="N153" s="135"/>
      <c r="O153" s="136"/>
      <c r="P153" s="136"/>
      <c r="Q153" s="137"/>
      <c r="R153" s="138"/>
      <c r="S153" s="138"/>
      <c r="T153" s="139"/>
      <c r="U153" s="139"/>
      <c r="V153" s="139"/>
      <c r="W153" s="140"/>
      <c r="X153" s="141"/>
      <c r="Y153" s="140"/>
      <c r="Z153" s="142"/>
      <c r="AA153" s="139"/>
      <c r="AB153" s="139"/>
      <c r="AC153" s="140"/>
      <c r="AD153" s="140"/>
      <c r="AE153" s="140"/>
    </row>
    <row r="154">
      <c r="A154" s="130"/>
      <c r="B154" s="131"/>
      <c r="C154" s="131"/>
      <c r="D154" s="130"/>
      <c r="E154" s="132"/>
      <c r="F154" s="132"/>
      <c r="G154" s="133"/>
      <c r="H154" s="134"/>
      <c r="I154" s="134"/>
      <c r="J154" s="134"/>
      <c r="K154" s="134"/>
      <c r="L154" s="134"/>
      <c r="M154" s="134"/>
      <c r="N154" s="135"/>
      <c r="O154" s="136"/>
      <c r="P154" s="136"/>
      <c r="Q154" s="137"/>
      <c r="R154" s="138"/>
      <c r="S154" s="138"/>
      <c r="T154" s="139"/>
      <c r="U154" s="139"/>
      <c r="V154" s="139"/>
      <c r="W154" s="140"/>
      <c r="X154" s="141"/>
      <c r="Y154" s="140"/>
      <c r="Z154" s="142"/>
      <c r="AA154" s="139"/>
      <c r="AB154" s="139"/>
      <c r="AC154" s="140"/>
      <c r="AD154" s="140"/>
      <c r="AE154" s="140"/>
    </row>
    <row r="155">
      <c r="A155" s="130"/>
      <c r="B155" s="131"/>
      <c r="C155" s="131"/>
      <c r="D155" s="130"/>
      <c r="E155" s="132"/>
      <c r="F155" s="132"/>
      <c r="G155" s="133"/>
      <c r="H155" s="134"/>
      <c r="I155" s="134"/>
      <c r="J155" s="134"/>
      <c r="K155" s="134"/>
      <c r="L155" s="134"/>
      <c r="M155" s="134"/>
      <c r="N155" s="135"/>
      <c r="O155" s="136"/>
      <c r="P155" s="136"/>
      <c r="Q155" s="137"/>
      <c r="R155" s="138"/>
      <c r="S155" s="138"/>
      <c r="T155" s="139"/>
      <c r="U155" s="139"/>
      <c r="V155" s="139"/>
      <c r="W155" s="140"/>
      <c r="X155" s="141"/>
      <c r="Y155" s="140"/>
      <c r="Z155" s="142"/>
      <c r="AA155" s="139"/>
      <c r="AB155" s="139"/>
      <c r="AC155" s="140"/>
      <c r="AD155" s="140"/>
      <c r="AE155" s="140"/>
    </row>
    <row r="156">
      <c r="A156" s="130"/>
      <c r="B156" s="131"/>
      <c r="C156" s="131"/>
      <c r="D156" s="130"/>
      <c r="E156" s="132"/>
      <c r="F156" s="132"/>
      <c r="G156" s="133"/>
      <c r="H156" s="134"/>
      <c r="I156" s="134"/>
      <c r="J156" s="134"/>
      <c r="K156" s="134"/>
      <c r="L156" s="134"/>
      <c r="M156" s="134"/>
      <c r="N156" s="135"/>
      <c r="O156" s="136"/>
      <c r="P156" s="136"/>
      <c r="Q156" s="137"/>
      <c r="R156" s="138"/>
      <c r="S156" s="138"/>
      <c r="T156" s="139"/>
      <c r="U156" s="139"/>
      <c r="V156" s="139"/>
      <c r="W156" s="140"/>
      <c r="X156" s="141"/>
      <c r="Y156" s="140"/>
      <c r="Z156" s="142"/>
      <c r="AA156" s="139"/>
      <c r="AB156" s="139"/>
      <c r="AC156" s="140"/>
      <c r="AD156" s="140"/>
      <c r="AE156" s="140"/>
    </row>
    <row r="157">
      <c r="A157" s="130"/>
      <c r="B157" s="131"/>
      <c r="C157" s="131"/>
      <c r="D157" s="130"/>
      <c r="E157" s="132"/>
      <c r="F157" s="132"/>
      <c r="G157" s="133"/>
      <c r="H157" s="134"/>
      <c r="I157" s="134"/>
      <c r="J157" s="134"/>
      <c r="K157" s="134"/>
      <c r="L157" s="134"/>
      <c r="M157" s="134"/>
      <c r="N157" s="135"/>
      <c r="O157" s="136"/>
      <c r="P157" s="136"/>
      <c r="Q157" s="137"/>
      <c r="R157" s="138"/>
      <c r="S157" s="138"/>
      <c r="T157" s="139"/>
      <c r="U157" s="139"/>
      <c r="V157" s="139"/>
      <c r="W157" s="140"/>
      <c r="X157" s="141"/>
      <c r="Y157" s="140"/>
      <c r="Z157" s="142"/>
      <c r="AA157" s="139"/>
      <c r="AB157" s="139"/>
      <c r="AC157" s="140"/>
      <c r="AD157" s="140"/>
      <c r="AE157" s="140"/>
    </row>
    <row r="158">
      <c r="A158" s="130"/>
      <c r="B158" s="131"/>
      <c r="C158" s="131"/>
      <c r="D158" s="130"/>
      <c r="E158" s="132"/>
      <c r="F158" s="132"/>
      <c r="G158" s="133"/>
      <c r="H158" s="134"/>
      <c r="I158" s="134"/>
      <c r="J158" s="134"/>
      <c r="K158" s="134"/>
      <c r="L158" s="134"/>
      <c r="M158" s="134"/>
      <c r="N158" s="135"/>
      <c r="O158" s="136"/>
      <c r="P158" s="136"/>
      <c r="Q158" s="137"/>
      <c r="R158" s="138"/>
      <c r="S158" s="138"/>
      <c r="T158" s="139"/>
      <c r="U158" s="139"/>
      <c r="V158" s="139"/>
      <c r="W158" s="140"/>
      <c r="X158" s="141"/>
      <c r="Y158" s="140"/>
      <c r="Z158" s="142"/>
      <c r="AA158" s="139"/>
      <c r="AB158" s="139"/>
      <c r="AC158" s="140"/>
      <c r="AD158" s="140"/>
      <c r="AE158" s="140"/>
    </row>
    <row r="159">
      <c r="A159" s="130"/>
      <c r="B159" s="131"/>
      <c r="C159" s="131"/>
      <c r="D159" s="130"/>
      <c r="E159" s="132"/>
      <c r="F159" s="132"/>
      <c r="G159" s="133"/>
      <c r="H159" s="134"/>
      <c r="I159" s="134"/>
      <c r="J159" s="134"/>
      <c r="K159" s="134"/>
      <c r="L159" s="134"/>
      <c r="M159" s="134"/>
      <c r="N159" s="135"/>
      <c r="O159" s="136"/>
      <c r="P159" s="136"/>
      <c r="Q159" s="137"/>
      <c r="R159" s="138"/>
      <c r="S159" s="138"/>
      <c r="T159" s="139"/>
      <c r="U159" s="139"/>
      <c r="V159" s="139"/>
      <c r="W159" s="140"/>
      <c r="X159" s="141"/>
      <c r="Y159" s="140"/>
      <c r="Z159" s="142"/>
      <c r="AA159" s="139"/>
      <c r="AB159" s="139"/>
      <c r="AC159" s="140"/>
      <c r="AD159" s="140"/>
      <c r="AE159" s="140"/>
    </row>
    <row r="160">
      <c r="A160" s="130"/>
      <c r="B160" s="131"/>
      <c r="C160" s="131"/>
      <c r="D160" s="130"/>
      <c r="E160" s="132"/>
      <c r="F160" s="132"/>
      <c r="G160" s="133"/>
      <c r="H160" s="134"/>
      <c r="I160" s="134"/>
      <c r="J160" s="134"/>
      <c r="K160" s="134"/>
      <c r="L160" s="134"/>
      <c r="M160" s="134"/>
      <c r="N160" s="135"/>
      <c r="O160" s="136"/>
      <c r="P160" s="136"/>
      <c r="Q160" s="137"/>
      <c r="R160" s="138"/>
      <c r="S160" s="138"/>
      <c r="T160" s="139"/>
      <c r="U160" s="139"/>
      <c r="V160" s="139"/>
      <c r="W160" s="140"/>
      <c r="X160" s="141"/>
      <c r="Y160" s="140"/>
      <c r="Z160" s="142"/>
      <c r="AA160" s="139"/>
      <c r="AB160" s="139"/>
      <c r="AC160" s="140"/>
      <c r="AD160" s="140"/>
      <c r="AE160" s="140"/>
    </row>
    <row r="161">
      <c r="A161" s="130"/>
      <c r="B161" s="131"/>
      <c r="C161" s="131"/>
      <c r="D161" s="130"/>
      <c r="E161" s="132"/>
      <c r="F161" s="132"/>
      <c r="G161" s="133"/>
      <c r="H161" s="134"/>
      <c r="I161" s="134"/>
      <c r="J161" s="134"/>
      <c r="K161" s="134"/>
      <c r="L161" s="134"/>
      <c r="M161" s="134"/>
      <c r="N161" s="135"/>
      <c r="O161" s="136"/>
      <c r="P161" s="136"/>
      <c r="Q161" s="137"/>
      <c r="R161" s="138"/>
      <c r="S161" s="138"/>
      <c r="T161" s="139"/>
      <c r="U161" s="139"/>
      <c r="V161" s="139"/>
      <c r="W161" s="140"/>
      <c r="X161" s="141"/>
      <c r="Y161" s="140"/>
      <c r="Z161" s="142"/>
      <c r="AA161" s="139"/>
      <c r="AB161" s="139"/>
      <c r="AC161" s="140"/>
      <c r="AD161" s="140"/>
      <c r="AE161" s="140"/>
    </row>
    <row r="162">
      <c r="A162" s="130"/>
      <c r="B162" s="131"/>
      <c r="C162" s="131"/>
      <c r="D162" s="130"/>
      <c r="E162" s="132"/>
      <c r="F162" s="132"/>
      <c r="G162" s="133"/>
      <c r="H162" s="134"/>
      <c r="I162" s="134"/>
      <c r="J162" s="134"/>
      <c r="K162" s="134"/>
      <c r="L162" s="134"/>
      <c r="M162" s="134"/>
      <c r="N162" s="135"/>
      <c r="O162" s="136"/>
      <c r="P162" s="136"/>
      <c r="Q162" s="137"/>
      <c r="R162" s="138"/>
      <c r="S162" s="138"/>
      <c r="T162" s="139"/>
      <c r="U162" s="139"/>
      <c r="V162" s="139"/>
      <c r="W162" s="140"/>
      <c r="X162" s="141"/>
      <c r="Y162" s="140"/>
      <c r="Z162" s="142"/>
      <c r="AA162" s="139"/>
      <c r="AB162" s="139"/>
      <c r="AC162" s="140"/>
      <c r="AD162" s="140"/>
      <c r="AE162" s="140"/>
    </row>
    <row r="163">
      <c r="A163" s="130"/>
      <c r="B163" s="131"/>
      <c r="C163" s="131"/>
      <c r="D163" s="130"/>
      <c r="E163" s="132"/>
      <c r="F163" s="132"/>
      <c r="G163" s="133"/>
      <c r="H163" s="134"/>
      <c r="I163" s="134"/>
      <c r="J163" s="134"/>
      <c r="K163" s="134"/>
      <c r="L163" s="134"/>
      <c r="M163" s="134"/>
      <c r="N163" s="135"/>
      <c r="O163" s="136"/>
      <c r="P163" s="136"/>
      <c r="Q163" s="137"/>
      <c r="R163" s="138"/>
      <c r="S163" s="138"/>
      <c r="T163" s="139"/>
      <c r="U163" s="139"/>
      <c r="V163" s="139"/>
      <c r="W163" s="140"/>
      <c r="X163" s="141"/>
      <c r="Y163" s="140"/>
      <c r="Z163" s="142"/>
      <c r="AA163" s="139"/>
      <c r="AB163" s="139"/>
      <c r="AC163" s="140"/>
      <c r="AD163" s="140"/>
      <c r="AE163" s="140"/>
    </row>
    <row r="164">
      <c r="A164" s="130"/>
      <c r="B164" s="131"/>
      <c r="C164" s="131"/>
      <c r="D164" s="130"/>
      <c r="E164" s="132"/>
      <c r="F164" s="132"/>
      <c r="G164" s="133"/>
      <c r="H164" s="134"/>
      <c r="I164" s="134"/>
      <c r="J164" s="134"/>
      <c r="K164" s="134"/>
      <c r="L164" s="134"/>
      <c r="M164" s="134"/>
      <c r="N164" s="135"/>
      <c r="O164" s="136"/>
      <c r="P164" s="136"/>
      <c r="Q164" s="137"/>
      <c r="R164" s="138"/>
      <c r="S164" s="138"/>
      <c r="T164" s="139"/>
      <c r="U164" s="139"/>
      <c r="V164" s="139"/>
      <c r="W164" s="140"/>
      <c r="X164" s="141"/>
      <c r="Y164" s="140"/>
      <c r="Z164" s="142"/>
      <c r="AA164" s="139"/>
      <c r="AB164" s="139"/>
      <c r="AC164" s="140"/>
      <c r="AD164" s="140"/>
      <c r="AE164" s="140"/>
    </row>
    <row r="165">
      <c r="A165" s="130"/>
      <c r="B165" s="131"/>
      <c r="C165" s="131"/>
      <c r="D165" s="130"/>
      <c r="E165" s="132"/>
      <c r="F165" s="132"/>
      <c r="G165" s="133"/>
      <c r="H165" s="134"/>
      <c r="I165" s="134"/>
      <c r="J165" s="134"/>
      <c r="K165" s="134"/>
      <c r="L165" s="134"/>
      <c r="M165" s="134"/>
      <c r="N165" s="135"/>
      <c r="O165" s="136"/>
      <c r="P165" s="136"/>
      <c r="Q165" s="137"/>
      <c r="R165" s="138"/>
      <c r="S165" s="138"/>
      <c r="T165" s="139"/>
      <c r="U165" s="139"/>
      <c r="V165" s="139"/>
      <c r="W165" s="140"/>
      <c r="X165" s="141"/>
      <c r="Y165" s="140"/>
      <c r="Z165" s="142"/>
      <c r="AA165" s="139"/>
      <c r="AB165" s="139"/>
      <c r="AC165" s="140"/>
      <c r="AD165" s="140"/>
      <c r="AE165" s="140"/>
    </row>
    <row r="166">
      <c r="A166" s="130"/>
      <c r="B166" s="131"/>
      <c r="C166" s="131"/>
      <c r="D166" s="130"/>
      <c r="E166" s="132"/>
      <c r="F166" s="132"/>
      <c r="G166" s="133"/>
      <c r="H166" s="134"/>
      <c r="I166" s="134"/>
      <c r="J166" s="134"/>
      <c r="K166" s="134"/>
      <c r="L166" s="134"/>
      <c r="M166" s="134"/>
      <c r="N166" s="135"/>
      <c r="O166" s="136"/>
      <c r="P166" s="136"/>
      <c r="Q166" s="137"/>
      <c r="R166" s="138"/>
      <c r="S166" s="138"/>
      <c r="T166" s="139"/>
      <c r="U166" s="139"/>
      <c r="V166" s="139"/>
      <c r="W166" s="140"/>
      <c r="X166" s="141"/>
      <c r="Y166" s="140"/>
      <c r="Z166" s="142"/>
      <c r="AA166" s="139"/>
      <c r="AB166" s="139"/>
      <c r="AC166" s="140"/>
      <c r="AD166" s="140"/>
      <c r="AE166" s="140"/>
    </row>
    <row r="167">
      <c r="A167" s="130"/>
      <c r="B167" s="131"/>
      <c r="C167" s="131"/>
      <c r="D167" s="130"/>
      <c r="E167" s="132"/>
      <c r="F167" s="132"/>
      <c r="G167" s="133"/>
      <c r="H167" s="134"/>
      <c r="I167" s="134"/>
      <c r="J167" s="134"/>
      <c r="K167" s="134"/>
      <c r="L167" s="134"/>
      <c r="M167" s="134"/>
      <c r="N167" s="135"/>
      <c r="O167" s="136"/>
      <c r="P167" s="136"/>
      <c r="Q167" s="137"/>
      <c r="R167" s="138"/>
      <c r="S167" s="138"/>
      <c r="T167" s="139"/>
      <c r="U167" s="139"/>
      <c r="V167" s="139"/>
      <c r="W167" s="140"/>
      <c r="X167" s="141"/>
      <c r="Y167" s="140"/>
      <c r="Z167" s="142"/>
      <c r="AA167" s="139"/>
      <c r="AB167" s="139"/>
      <c r="AC167" s="140"/>
      <c r="AD167" s="140"/>
      <c r="AE167" s="140"/>
    </row>
    <row r="168">
      <c r="A168" s="130"/>
      <c r="B168" s="131"/>
      <c r="C168" s="131"/>
      <c r="D168" s="130"/>
      <c r="E168" s="132"/>
      <c r="F168" s="132"/>
      <c r="G168" s="133"/>
      <c r="H168" s="134"/>
      <c r="I168" s="134"/>
      <c r="J168" s="134"/>
      <c r="K168" s="134"/>
      <c r="L168" s="134"/>
      <c r="M168" s="134"/>
      <c r="N168" s="135"/>
      <c r="O168" s="136"/>
      <c r="P168" s="136"/>
      <c r="Q168" s="137"/>
      <c r="R168" s="138"/>
      <c r="S168" s="138"/>
      <c r="T168" s="139"/>
      <c r="U168" s="139"/>
      <c r="V168" s="139"/>
      <c r="W168" s="140"/>
      <c r="X168" s="141"/>
      <c r="Y168" s="140"/>
      <c r="Z168" s="142"/>
      <c r="AA168" s="139"/>
      <c r="AB168" s="139"/>
      <c r="AC168" s="140"/>
      <c r="AD168" s="140"/>
      <c r="AE168" s="140"/>
    </row>
    <row r="169">
      <c r="A169" s="130"/>
      <c r="B169" s="131"/>
      <c r="C169" s="131"/>
      <c r="D169" s="130"/>
      <c r="E169" s="132"/>
      <c r="F169" s="132"/>
      <c r="G169" s="133"/>
      <c r="H169" s="134"/>
      <c r="I169" s="134"/>
      <c r="J169" s="134"/>
      <c r="K169" s="134"/>
      <c r="L169" s="134"/>
      <c r="M169" s="134"/>
      <c r="N169" s="135"/>
      <c r="O169" s="136"/>
      <c r="P169" s="136"/>
      <c r="Q169" s="137"/>
      <c r="R169" s="138"/>
      <c r="S169" s="138"/>
      <c r="T169" s="139"/>
      <c r="U169" s="139"/>
      <c r="V169" s="139"/>
      <c r="W169" s="140"/>
      <c r="X169" s="141"/>
      <c r="Y169" s="140"/>
      <c r="Z169" s="142"/>
      <c r="AA169" s="139"/>
      <c r="AB169" s="139"/>
      <c r="AC169" s="140"/>
      <c r="AD169" s="140"/>
      <c r="AE169" s="140"/>
    </row>
    <row r="170">
      <c r="A170" s="130"/>
      <c r="B170" s="131"/>
      <c r="C170" s="131"/>
      <c r="D170" s="130"/>
      <c r="E170" s="132"/>
      <c r="F170" s="132"/>
      <c r="G170" s="133"/>
      <c r="H170" s="134"/>
      <c r="I170" s="134"/>
      <c r="J170" s="134"/>
      <c r="K170" s="134"/>
      <c r="L170" s="134"/>
      <c r="M170" s="134"/>
      <c r="N170" s="135"/>
      <c r="O170" s="136"/>
      <c r="P170" s="136"/>
      <c r="Q170" s="137"/>
      <c r="R170" s="138"/>
      <c r="S170" s="138"/>
      <c r="T170" s="139"/>
      <c r="U170" s="139"/>
      <c r="V170" s="139"/>
      <c r="W170" s="140"/>
      <c r="X170" s="141"/>
      <c r="Y170" s="140"/>
      <c r="Z170" s="142"/>
      <c r="AA170" s="139"/>
      <c r="AB170" s="139"/>
      <c r="AC170" s="140"/>
      <c r="AD170" s="140"/>
      <c r="AE170" s="140"/>
    </row>
    <row r="171">
      <c r="A171" s="130"/>
      <c r="B171" s="131"/>
      <c r="C171" s="131"/>
      <c r="D171" s="130"/>
      <c r="E171" s="132"/>
      <c r="F171" s="132"/>
      <c r="G171" s="133"/>
      <c r="H171" s="134"/>
      <c r="I171" s="134"/>
      <c r="J171" s="134"/>
      <c r="K171" s="134"/>
      <c r="L171" s="134"/>
      <c r="M171" s="134"/>
      <c r="N171" s="135"/>
      <c r="O171" s="136"/>
      <c r="P171" s="136"/>
      <c r="Q171" s="137"/>
      <c r="R171" s="138"/>
      <c r="S171" s="138"/>
      <c r="T171" s="139"/>
      <c r="U171" s="139"/>
      <c r="V171" s="139"/>
      <c r="W171" s="140"/>
      <c r="X171" s="141"/>
      <c r="Y171" s="140"/>
      <c r="Z171" s="142"/>
      <c r="AA171" s="139"/>
      <c r="AB171" s="139"/>
      <c r="AC171" s="140"/>
      <c r="AD171" s="140"/>
      <c r="AE171" s="140"/>
    </row>
    <row r="172">
      <c r="A172" s="130"/>
      <c r="B172" s="131"/>
      <c r="C172" s="131"/>
      <c r="D172" s="130"/>
      <c r="E172" s="132"/>
      <c r="F172" s="132"/>
      <c r="G172" s="133"/>
      <c r="H172" s="134"/>
      <c r="I172" s="134"/>
      <c r="J172" s="134"/>
      <c r="K172" s="134"/>
      <c r="L172" s="134"/>
      <c r="M172" s="134"/>
      <c r="N172" s="135"/>
      <c r="O172" s="136"/>
      <c r="P172" s="136"/>
      <c r="Q172" s="137"/>
      <c r="R172" s="138"/>
      <c r="S172" s="138"/>
      <c r="T172" s="139"/>
      <c r="U172" s="139"/>
      <c r="V172" s="139"/>
      <c r="W172" s="140"/>
      <c r="X172" s="141"/>
      <c r="Y172" s="140"/>
      <c r="Z172" s="142"/>
      <c r="AA172" s="139"/>
      <c r="AB172" s="139"/>
      <c r="AC172" s="140"/>
      <c r="AD172" s="140"/>
      <c r="AE172" s="140"/>
    </row>
    <row r="173">
      <c r="A173" s="130"/>
      <c r="B173" s="131"/>
      <c r="C173" s="131"/>
      <c r="D173" s="130"/>
      <c r="E173" s="132"/>
      <c r="F173" s="132"/>
      <c r="G173" s="133"/>
      <c r="H173" s="134"/>
      <c r="I173" s="134"/>
      <c r="J173" s="134"/>
      <c r="K173" s="134"/>
      <c r="L173" s="134"/>
      <c r="M173" s="134"/>
      <c r="N173" s="135"/>
      <c r="O173" s="136"/>
      <c r="P173" s="136"/>
      <c r="Q173" s="137"/>
      <c r="R173" s="138"/>
      <c r="S173" s="138"/>
      <c r="T173" s="139"/>
      <c r="U173" s="139"/>
      <c r="V173" s="139"/>
      <c r="W173" s="140"/>
      <c r="X173" s="141"/>
      <c r="Y173" s="140"/>
      <c r="Z173" s="142"/>
      <c r="AA173" s="139"/>
      <c r="AB173" s="139"/>
      <c r="AC173" s="140"/>
      <c r="AD173" s="140"/>
      <c r="AE173" s="140"/>
    </row>
    <row r="174">
      <c r="A174" s="130"/>
      <c r="B174" s="131"/>
      <c r="C174" s="131"/>
      <c r="D174" s="130"/>
      <c r="E174" s="132"/>
      <c r="F174" s="132"/>
      <c r="G174" s="133"/>
      <c r="H174" s="134"/>
      <c r="I174" s="134"/>
      <c r="J174" s="134"/>
      <c r="K174" s="134"/>
      <c r="L174" s="134"/>
      <c r="M174" s="134"/>
      <c r="N174" s="135"/>
      <c r="O174" s="136"/>
      <c r="P174" s="136"/>
      <c r="Q174" s="137"/>
      <c r="R174" s="138"/>
      <c r="S174" s="138"/>
      <c r="T174" s="139"/>
      <c r="U174" s="139"/>
      <c r="V174" s="139"/>
      <c r="W174" s="140"/>
      <c r="X174" s="141"/>
      <c r="Y174" s="140"/>
      <c r="Z174" s="142"/>
      <c r="AA174" s="139"/>
      <c r="AB174" s="139"/>
      <c r="AC174" s="140"/>
      <c r="AD174" s="140"/>
      <c r="AE174" s="140"/>
    </row>
    <row r="175">
      <c r="A175" s="130"/>
      <c r="B175" s="131"/>
      <c r="C175" s="131"/>
      <c r="D175" s="130"/>
      <c r="E175" s="132"/>
      <c r="F175" s="132"/>
      <c r="G175" s="133"/>
      <c r="H175" s="134"/>
      <c r="I175" s="134"/>
      <c r="J175" s="134"/>
      <c r="K175" s="134"/>
      <c r="L175" s="134"/>
      <c r="M175" s="134"/>
      <c r="N175" s="135"/>
      <c r="O175" s="136"/>
      <c r="P175" s="136"/>
      <c r="Q175" s="137"/>
      <c r="R175" s="138"/>
      <c r="S175" s="138"/>
      <c r="T175" s="139"/>
      <c r="U175" s="139"/>
      <c r="V175" s="139"/>
      <c r="W175" s="140"/>
      <c r="X175" s="141"/>
      <c r="Y175" s="140"/>
      <c r="Z175" s="142"/>
      <c r="AA175" s="139"/>
      <c r="AB175" s="139"/>
      <c r="AC175" s="140"/>
      <c r="AD175" s="140"/>
      <c r="AE175" s="140"/>
    </row>
    <row r="176">
      <c r="A176" s="130"/>
      <c r="B176" s="131"/>
      <c r="C176" s="131"/>
      <c r="D176" s="130"/>
      <c r="E176" s="132"/>
      <c r="F176" s="132"/>
      <c r="G176" s="133"/>
      <c r="H176" s="134"/>
      <c r="I176" s="134"/>
      <c r="J176" s="134"/>
      <c r="K176" s="134"/>
      <c r="L176" s="134"/>
      <c r="M176" s="134"/>
      <c r="N176" s="135"/>
      <c r="O176" s="136"/>
      <c r="P176" s="136"/>
      <c r="Q176" s="137"/>
      <c r="R176" s="138"/>
      <c r="S176" s="138"/>
      <c r="T176" s="139"/>
      <c r="U176" s="139"/>
      <c r="V176" s="139"/>
      <c r="W176" s="140"/>
      <c r="X176" s="141"/>
      <c r="Y176" s="140"/>
      <c r="Z176" s="142"/>
      <c r="AA176" s="139"/>
      <c r="AB176" s="139"/>
      <c r="AC176" s="140"/>
      <c r="AD176" s="140"/>
      <c r="AE176" s="140"/>
    </row>
    <row r="177">
      <c r="A177" s="130"/>
      <c r="B177" s="131"/>
      <c r="C177" s="131"/>
      <c r="D177" s="130"/>
      <c r="E177" s="132"/>
      <c r="F177" s="132"/>
      <c r="G177" s="133"/>
      <c r="H177" s="134"/>
      <c r="I177" s="134"/>
      <c r="J177" s="134"/>
      <c r="K177" s="134"/>
      <c r="L177" s="134"/>
      <c r="M177" s="134"/>
      <c r="N177" s="135"/>
      <c r="O177" s="136"/>
      <c r="P177" s="136"/>
      <c r="Q177" s="137"/>
      <c r="R177" s="138"/>
      <c r="S177" s="138"/>
      <c r="T177" s="139"/>
      <c r="U177" s="139"/>
      <c r="V177" s="139"/>
      <c r="W177" s="140"/>
      <c r="X177" s="141"/>
      <c r="Y177" s="140"/>
      <c r="Z177" s="142"/>
      <c r="AA177" s="139"/>
      <c r="AB177" s="139"/>
      <c r="AC177" s="140"/>
      <c r="AD177" s="140"/>
      <c r="AE177" s="140"/>
    </row>
    <row r="178">
      <c r="A178" s="130"/>
      <c r="B178" s="131"/>
      <c r="C178" s="131"/>
      <c r="D178" s="130"/>
      <c r="E178" s="132"/>
      <c r="F178" s="132"/>
      <c r="G178" s="133"/>
      <c r="H178" s="134"/>
      <c r="I178" s="134"/>
      <c r="J178" s="134"/>
      <c r="K178" s="134"/>
      <c r="L178" s="134"/>
      <c r="M178" s="134"/>
      <c r="N178" s="135"/>
      <c r="O178" s="136"/>
      <c r="P178" s="136"/>
      <c r="Q178" s="137"/>
      <c r="R178" s="138"/>
      <c r="S178" s="138"/>
      <c r="T178" s="139"/>
      <c r="U178" s="139"/>
      <c r="V178" s="139"/>
      <c r="W178" s="140"/>
      <c r="X178" s="141"/>
      <c r="Y178" s="140"/>
      <c r="Z178" s="142"/>
      <c r="AA178" s="139"/>
      <c r="AB178" s="139"/>
      <c r="AC178" s="140"/>
      <c r="AD178" s="140"/>
      <c r="AE178" s="140"/>
    </row>
    <row r="179">
      <c r="A179" s="130"/>
      <c r="B179" s="131"/>
      <c r="C179" s="131"/>
      <c r="D179" s="130"/>
      <c r="E179" s="132"/>
      <c r="F179" s="132"/>
      <c r="G179" s="133"/>
      <c r="H179" s="134"/>
      <c r="I179" s="134"/>
      <c r="J179" s="134"/>
      <c r="K179" s="134"/>
      <c r="L179" s="134"/>
      <c r="M179" s="134"/>
      <c r="N179" s="135"/>
      <c r="O179" s="136"/>
      <c r="P179" s="136"/>
      <c r="Q179" s="137"/>
      <c r="R179" s="138"/>
      <c r="S179" s="138"/>
      <c r="T179" s="139"/>
      <c r="U179" s="139"/>
      <c r="V179" s="139"/>
      <c r="W179" s="140"/>
      <c r="X179" s="141"/>
      <c r="Y179" s="140"/>
      <c r="Z179" s="142"/>
      <c r="AA179" s="139"/>
      <c r="AB179" s="139"/>
      <c r="AC179" s="140"/>
      <c r="AD179" s="140"/>
      <c r="AE179" s="140"/>
    </row>
    <row r="180">
      <c r="A180" s="130"/>
      <c r="B180" s="131"/>
      <c r="C180" s="131"/>
      <c r="D180" s="130"/>
      <c r="E180" s="132"/>
      <c r="F180" s="132"/>
      <c r="G180" s="133"/>
      <c r="H180" s="134"/>
      <c r="I180" s="134"/>
      <c r="J180" s="134"/>
      <c r="K180" s="134"/>
      <c r="L180" s="134"/>
      <c r="M180" s="134"/>
      <c r="N180" s="135"/>
      <c r="O180" s="136"/>
      <c r="P180" s="136"/>
      <c r="Q180" s="137"/>
      <c r="R180" s="138"/>
      <c r="S180" s="138"/>
      <c r="T180" s="139"/>
      <c r="U180" s="139"/>
      <c r="V180" s="139"/>
      <c r="W180" s="140"/>
      <c r="X180" s="141"/>
      <c r="Y180" s="140"/>
      <c r="Z180" s="142"/>
      <c r="AA180" s="139"/>
      <c r="AB180" s="139"/>
      <c r="AC180" s="140"/>
      <c r="AD180" s="140"/>
      <c r="AE180" s="140"/>
    </row>
    <row r="181">
      <c r="A181" s="130"/>
      <c r="B181" s="131"/>
      <c r="C181" s="131"/>
      <c r="D181" s="130"/>
      <c r="E181" s="132"/>
      <c r="F181" s="132"/>
      <c r="G181" s="133"/>
      <c r="H181" s="134"/>
      <c r="I181" s="134"/>
      <c r="J181" s="134"/>
      <c r="K181" s="134"/>
      <c r="L181" s="134"/>
      <c r="M181" s="134"/>
      <c r="N181" s="135"/>
      <c r="O181" s="136"/>
      <c r="P181" s="136"/>
      <c r="Q181" s="137"/>
      <c r="R181" s="138"/>
      <c r="S181" s="138"/>
      <c r="T181" s="139"/>
      <c r="U181" s="139"/>
      <c r="V181" s="139"/>
      <c r="W181" s="140"/>
      <c r="X181" s="141"/>
      <c r="Y181" s="140"/>
      <c r="Z181" s="142"/>
      <c r="AA181" s="139"/>
      <c r="AB181" s="139"/>
      <c r="AC181" s="140"/>
      <c r="AD181" s="140"/>
      <c r="AE181" s="140"/>
    </row>
    <row r="182">
      <c r="A182" s="130"/>
      <c r="B182" s="131"/>
      <c r="C182" s="131"/>
      <c r="D182" s="130"/>
      <c r="E182" s="132"/>
      <c r="F182" s="132"/>
      <c r="G182" s="133"/>
      <c r="H182" s="134"/>
      <c r="I182" s="134"/>
      <c r="J182" s="134"/>
      <c r="K182" s="134"/>
      <c r="L182" s="134"/>
      <c r="M182" s="134"/>
      <c r="N182" s="135"/>
      <c r="O182" s="136"/>
      <c r="P182" s="136"/>
      <c r="Q182" s="137"/>
      <c r="R182" s="138"/>
      <c r="S182" s="138"/>
      <c r="T182" s="139"/>
      <c r="U182" s="139"/>
      <c r="V182" s="139"/>
      <c r="W182" s="140"/>
      <c r="X182" s="141"/>
      <c r="Y182" s="140"/>
      <c r="Z182" s="142"/>
      <c r="AA182" s="139"/>
      <c r="AB182" s="139"/>
      <c r="AC182" s="140"/>
      <c r="AD182" s="140"/>
      <c r="AE182" s="140"/>
    </row>
    <row r="183">
      <c r="A183" s="130"/>
      <c r="B183" s="131"/>
      <c r="C183" s="131"/>
      <c r="D183" s="130"/>
      <c r="E183" s="132"/>
      <c r="F183" s="132"/>
      <c r="G183" s="133"/>
      <c r="H183" s="134"/>
      <c r="I183" s="134"/>
      <c r="J183" s="134"/>
      <c r="K183" s="134"/>
      <c r="L183" s="134"/>
      <c r="M183" s="134"/>
      <c r="N183" s="135"/>
      <c r="O183" s="136"/>
      <c r="P183" s="136"/>
      <c r="Q183" s="137"/>
      <c r="R183" s="138"/>
      <c r="S183" s="138"/>
      <c r="T183" s="139"/>
      <c r="U183" s="139"/>
      <c r="V183" s="139"/>
      <c r="W183" s="140"/>
      <c r="X183" s="141"/>
      <c r="Y183" s="140"/>
      <c r="Z183" s="142"/>
      <c r="AA183" s="139"/>
      <c r="AB183" s="139"/>
      <c r="AC183" s="140"/>
      <c r="AD183" s="140"/>
      <c r="AE183" s="140"/>
    </row>
    <row r="184">
      <c r="A184" s="130"/>
      <c r="B184" s="131"/>
      <c r="C184" s="131"/>
      <c r="D184" s="130"/>
      <c r="E184" s="132"/>
      <c r="F184" s="132"/>
      <c r="G184" s="133"/>
      <c r="H184" s="134"/>
      <c r="I184" s="134"/>
      <c r="J184" s="134"/>
      <c r="K184" s="134"/>
      <c r="L184" s="134"/>
      <c r="M184" s="134"/>
      <c r="N184" s="135"/>
      <c r="O184" s="136"/>
      <c r="P184" s="136"/>
      <c r="Q184" s="137"/>
      <c r="R184" s="138"/>
      <c r="S184" s="138"/>
      <c r="T184" s="139"/>
      <c r="U184" s="139"/>
      <c r="V184" s="139"/>
      <c r="W184" s="140"/>
      <c r="X184" s="141"/>
      <c r="Y184" s="140"/>
      <c r="Z184" s="142"/>
      <c r="AA184" s="139"/>
      <c r="AB184" s="139"/>
      <c r="AC184" s="140"/>
      <c r="AD184" s="140"/>
      <c r="AE184" s="140"/>
    </row>
    <row r="185">
      <c r="A185" s="130"/>
      <c r="B185" s="131"/>
      <c r="C185" s="131"/>
      <c r="D185" s="130"/>
      <c r="E185" s="132"/>
      <c r="F185" s="132"/>
      <c r="G185" s="133"/>
      <c r="H185" s="134"/>
      <c r="I185" s="134"/>
      <c r="J185" s="134"/>
      <c r="K185" s="134"/>
      <c r="L185" s="134"/>
      <c r="M185" s="134"/>
      <c r="N185" s="135"/>
      <c r="O185" s="136"/>
      <c r="P185" s="136"/>
      <c r="Q185" s="137"/>
      <c r="R185" s="138"/>
      <c r="S185" s="138"/>
      <c r="T185" s="139"/>
      <c r="U185" s="139"/>
      <c r="V185" s="139"/>
      <c r="W185" s="140"/>
      <c r="X185" s="141"/>
      <c r="Y185" s="140"/>
      <c r="Z185" s="142"/>
      <c r="AA185" s="139"/>
      <c r="AB185" s="139"/>
      <c r="AC185" s="140"/>
      <c r="AD185" s="140"/>
      <c r="AE185" s="140"/>
    </row>
    <row r="186">
      <c r="A186" s="130"/>
      <c r="B186" s="131"/>
      <c r="C186" s="131"/>
      <c r="D186" s="130"/>
      <c r="E186" s="132"/>
      <c r="F186" s="132"/>
      <c r="G186" s="133"/>
      <c r="H186" s="134"/>
      <c r="I186" s="134"/>
      <c r="J186" s="134"/>
      <c r="K186" s="134"/>
      <c r="L186" s="134"/>
      <c r="M186" s="134"/>
      <c r="N186" s="135"/>
      <c r="O186" s="136"/>
      <c r="P186" s="136"/>
      <c r="Q186" s="137"/>
      <c r="R186" s="138"/>
      <c r="S186" s="138"/>
      <c r="T186" s="139"/>
      <c r="U186" s="139"/>
      <c r="V186" s="139"/>
      <c r="W186" s="140"/>
      <c r="X186" s="141"/>
      <c r="Y186" s="140"/>
      <c r="Z186" s="142"/>
      <c r="AA186" s="139"/>
      <c r="AB186" s="139"/>
      <c r="AC186" s="140"/>
      <c r="AD186" s="140"/>
      <c r="AE186" s="140"/>
    </row>
    <row r="187">
      <c r="A187" s="130"/>
      <c r="B187" s="131"/>
      <c r="C187" s="131"/>
      <c r="D187" s="130"/>
      <c r="E187" s="132"/>
      <c r="F187" s="132"/>
      <c r="G187" s="133"/>
      <c r="H187" s="134"/>
      <c r="I187" s="134"/>
      <c r="J187" s="134"/>
      <c r="K187" s="134"/>
      <c r="L187" s="134"/>
      <c r="M187" s="134"/>
      <c r="N187" s="135"/>
      <c r="O187" s="136"/>
      <c r="P187" s="136"/>
      <c r="Q187" s="137"/>
      <c r="R187" s="138"/>
      <c r="S187" s="138"/>
      <c r="T187" s="139"/>
      <c r="U187" s="139"/>
      <c r="V187" s="139"/>
      <c r="W187" s="140"/>
      <c r="X187" s="141"/>
      <c r="Y187" s="140"/>
      <c r="Z187" s="142"/>
      <c r="AA187" s="139"/>
      <c r="AB187" s="139"/>
      <c r="AC187" s="140"/>
      <c r="AD187" s="140"/>
      <c r="AE187" s="140"/>
    </row>
    <row r="188">
      <c r="A188" s="130"/>
      <c r="B188" s="131"/>
      <c r="C188" s="131"/>
      <c r="D188" s="130"/>
      <c r="E188" s="132"/>
      <c r="F188" s="132"/>
      <c r="G188" s="133"/>
      <c r="H188" s="134"/>
      <c r="I188" s="134"/>
      <c r="J188" s="134"/>
      <c r="K188" s="134"/>
      <c r="L188" s="134"/>
      <c r="M188" s="134"/>
      <c r="N188" s="135"/>
      <c r="O188" s="136"/>
      <c r="P188" s="136"/>
      <c r="Q188" s="137"/>
      <c r="R188" s="138"/>
      <c r="S188" s="138"/>
      <c r="T188" s="139"/>
      <c r="U188" s="139"/>
      <c r="V188" s="139"/>
      <c r="W188" s="140"/>
      <c r="X188" s="141"/>
      <c r="Y188" s="140"/>
      <c r="Z188" s="142"/>
      <c r="AA188" s="139"/>
      <c r="AB188" s="139"/>
      <c r="AC188" s="140"/>
      <c r="AD188" s="140"/>
      <c r="AE188" s="140"/>
    </row>
    <row r="189">
      <c r="A189" s="130"/>
      <c r="B189" s="131"/>
      <c r="C189" s="131"/>
      <c r="D189" s="130"/>
      <c r="E189" s="132"/>
      <c r="F189" s="132"/>
      <c r="G189" s="133"/>
      <c r="H189" s="134"/>
      <c r="I189" s="134"/>
      <c r="J189" s="134"/>
      <c r="K189" s="134"/>
      <c r="L189" s="134"/>
      <c r="M189" s="134"/>
      <c r="N189" s="135"/>
      <c r="O189" s="136"/>
      <c r="P189" s="136"/>
      <c r="Q189" s="137"/>
      <c r="R189" s="138"/>
      <c r="S189" s="138"/>
      <c r="T189" s="139"/>
      <c r="U189" s="139"/>
      <c r="V189" s="139"/>
      <c r="W189" s="140"/>
      <c r="X189" s="141"/>
      <c r="Y189" s="140"/>
      <c r="Z189" s="142"/>
      <c r="AA189" s="139"/>
      <c r="AB189" s="139"/>
      <c r="AC189" s="140"/>
      <c r="AD189" s="140"/>
      <c r="AE189" s="140"/>
    </row>
    <row r="190">
      <c r="A190" s="130"/>
      <c r="B190" s="131"/>
      <c r="C190" s="131"/>
      <c r="D190" s="130"/>
      <c r="E190" s="132"/>
      <c r="F190" s="132"/>
      <c r="G190" s="133"/>
      <c r="H190" s="134"/>
      <c r="I190" s="134"/>
      <c r="J190" s="134"/>
      <c r="K190" s="134"/>
      <c r="L190" s="134"/>
      <c r="M190" s="134"/>
      <c r="N190" s="135"/>
      <c r="O190" s="136"/>
      <c r="P190" s="136"/>
      <c r="Q190" s="137"/>
      <c r="R190" s="138"/>
      <c r="S190" s="138"/>
      <c r="T190" s="139"/>
      <c r="U190" s="139"/>
      <c r="V190" s="139"/>
      <c r="W190" s="140"/>
      <c r="X190" s="141"/>
      <c r="Y190" s="140"/>
      <c r="Z190" s="142"/>
      <c r="AA190" s="139"/>
      <c r="AB190" s="139"/>
      <c r="AC190" s="140"/>
      <c r="AD190" s="140"/>
      <c r="AE190" s="140"/>
    </row>
    <row r="191">
      <c r="A191" s="130"/>
      <c r="B191" s="131"/>
      <c r="C191" s="131"/>
      <c r="D191" s="130"/>
      <c r="E191" s="132"/>
      <c r="F191" s="132"/>
      <c r="G191" s="133"/>
      <c r="H191" s="134"/>
      <c r="I191" s="134"/>
      <c r="J191" s="134"/>
      <c r="K191" s="134"/>
      <c r="L191" s="134"/>
      <c r="M191" s="134"/>
      <c r="N191" s="135"/>
      <c r="O191" s="136"/>
      <c r="P191" s="136"/>
      <c r="Q191" s="137"/>
      <c r="R191" s="138"/>
      <c r="S191" s="138"/>
      <c r="T191" s="139"/>
      <c r="U191" s="139"/>
      <c r="V191" s="139"/>
      <c r="W191" s="140"/>
      <c r="X191" s="141"/>
      <c r="Y191" s="140"/>
      <c r="Z191" s="142"/>
      <c r="AA191" s="139"/>
      <c r="AB191" s="139"/>
      <c r="AC191" s="140"/>
      <c r="AD191" s="140"/>
      <c r="AE191" s="140"/>
    </row>
    <row r="192">
      <c r="A192" s="130"/>
      <c r="B192" s="131"/>
      <c r="C192" s="131"/>
      <c r="D192" s="130"/>
      <c r="E192" s="132"/>
      <c r="F192" s="132"/>
      <c r="G192" s="133"/>
      <c r="H192" s="134"/>
      <c r="I192" s="134"/>
      <c r="J192" s="134"/>
      <c r="K192" s="134"/>
      <c r="L192" s="134"/>
      <c r="M192" s="134"/>
      <c r="N192" s="135"/>
      <c r="O192" s="136"/>
      <c r="P192" s="136"/>
      <c r="Q192" s="137"/>
      <c r="R192" s="138"/>
      <c r="S192" s="138"/>
      <c r="T192" s="139"/>
      <c r="U192" s="139"/>
      <c r="V192" s="139"/>
      <c r="W192" s="140"/>
      <c r="X192" s="141"/>
      <c r="Y192" s="140"/>
      <c r="Z192" s="142"/>
      <c r="AA192" s="139"/>
      <c r="AB192" s="139"/>
      <c r="AC192" s="140"/>
      <c r="AD192" s="140"/>
      <c r="AE192" s="140"/>
    </row>
    <row r="193">
      <c r="A193" s="130"/>
      <c r="B193" s="131"/>
      <c r="C193" s="131"/>
      <c r="D193" s="130"/>
      <c r="E193" s="132"/>
      <c r="F193" s="132"/>
      <c r="G193" s="133"/>
      <c r="H193" s="134"/>
      <c r="I193" s="134"/>
      <c r="J193" s="134"/>
      <c r="K193" s="134"/>
      <c r="L193" s="134"/>
      <c r="M193" s="134"/>
      <c r="N193" s="135"/>
      <c r="O193" s="136"/>
      <c r="P193" s="136"/>
      <c r="Q193" s="137"/>
      <c r="R193" s="138"/>
      <c r="S193" s="138"/>
      <c r="T193" s="139"/>
      <c r="U193" s="139"/>
      <c r="V193" s="139"/>
      <c r="W193" s="140"/>
      <c r="X193" s="141"/>
      <c r="Y193" s="140"/>
      <c r="Z193" s="142"/>
      <c r="AA193" s="139"/>
      <c r="AB193" s="139"/>
      <c r="AC193" s="140"/>
      <c r="AD193" s="140"/>
      <c r="AE193" s="140"/>
    </row>
    <row r="194">
      <c r="A194" s="130"/>
      <c r="B194" s="131"/>
      <c r="C194" s="131"/>
      <c r="D194" s="130"/>
      <c r="E194" s="132"/>
      <c r="F194" s="132"/>
      <c r="G194" s="133"/>
      <c r="H194" s="134"/>
      <c r="I194" s="134"/>
      <c r="J194" s="134"/>
      <c r="K194" s="134"/>
      <c r="L194" s="134"/>
      <c r="M194" s="134"/>
      <c r="N194" s="135"/>
      <c r="O194" s="136"/>
      <c r="P194" s="136"/>
      <c r="Q194" s="137"/>
      <c r="R194" s="138"/>
      <c r="S194" s="138"/>
      <c r="T194" s="139"/>
      <c r="U194" s="139"/>
      <c r="V194" s="139"/>
      <c r="W194" s="140"/>
      <c r="X194" s="141"/>
      <c r="Y194" s="140"/>
      <c r="Z194" s="142"/>
      <c r="AA194" s="139"/>
      <c r="AB194" s="139"/>
      <c r="AC194" s="140"/>
      <c r="AD194" s="140"/>
      <c r="AE194" s="140"/>
    </row>
    <row r="195">
      <c r="A195" s="130"/>
      <c r="B195" s="131"/>
      <c r="C195" s="131"/>
      <c r="D195" s="130"/>
      <c r="E195" s="132"/>
      <c r="F195" s="132"/>
      <c r="G195" s="133"/>
      <c r="H195" s="134"/>
      <c r="I195" s="134"/>
      <c r="J195" s="134"/>
      <c r="K195" s="134"/>
      <c r="L195" s="134"/>
      <c r="M195" s="134"/>
      <c r="N195" s="135"/>
      <c r="O195" s="136"/>
      <c r="P195" s="136"/>
      <c r="Q195" s="137"/>
      <c r="R195" s="138"/>
      <c r="S195" s="138"/>
      <c r="T195" s="139"/>
      <c r="U195" s="139"/>
      <c r="V195" s="139"/>
      <c r="W195" s="140"/>
      <c r="X195" s="141"/>
      <c r="Y195" s="140"/>
      <c r="Z195" s="142"/>
      <c r="AA195" s="139"/>
      <c r="AB195" s="139"/>
      <c r="AC195" s="140"/>
      <c r="AD195" s="140"/>
      <c r="AE195" s="140"/>
    </row>
    <row r="196">
      <c r="A196" s="130"/>
      <c r="B196" s="131"/>
      <c r="C196" s="131"/>
      <c r="D196" s="130"/>
      <c r="E196" s="132"/>
      <c r="F196" s="132"/>
      <c r="G196" s="133"/>
      <c r="H196" s="134"/>
      <c r="I196" s="134"/>
      <c r="J196" s="134"/>
      <c r="K196" s="134"/>
      <c r="L196" s="134"/>
      <c r="M196" s="134"/>
      <c r="N196" s="135"/>
      <c r="O196" s="136"/>
      <c r="P196" s="136"/>
      <c r="Q196" s="137"/>
      <c r="R196" s="138"/>
      <c r="S196" s="138"/>
      <c r="T196" s="139"/>
      <c r="U196" s="139"/>
      <c r="V196" s="139"/>
      <c r="W196" s="140"/>
      <c r="X196" s="141"/>
      <c r="Y196" s="140"/>
      <c r="Z196" s="142"/>
      <c r="AA196" s="139"/>
      <c r="AB196" s="139"/>
      <c r="AC196" s="140"/>
      <c r="AD196" s="140"/>
      <c r="AE196" s="140"/>
    </row>
    <row r="197">
      <c r="A197" s="130"/>
      <c r="B197" s="131"/>
      <c r="C197" s="131"/>
      <c r="D197" s="130"/>
      <c r="E197" s="132"/>
      <c r="F197" s="132"/>
      <c r="G197" s="133"/>
      <c r="H197" s="134"/>
      <c r="I197" s="134"/>
      <c r="J197" s="134"/>
      <c r="K197" s="134"/>
      <c r="L197" s="134"/>
      <c r="M197" s="134"/>
      <c r="N197" s="135"/>
      <c r="O197" s="136"/>
      <c r="P197" s="136"/>
      <c r="Q197" s="137"/>
      <c r="R197" s="138"/>
      <c r="S197" s="138"/>
      <c r="T197" s="139"/>
      <c r="U197" s="139"/>
      <c r="V197" s="139"/>
      <c r="W197" s="140"/>
      <c r="X197" s="141"/>
      <c r="Y197" s="140"/>
      <c r="Z197" s="142"/>
      <c r="AA197" s="139"/>
      <c r="AB197" s="139"/>
      <c r="AC197" s="140"/>
      <c r="AD197" s="140"/>
      <c r="AE197" s="140"/>
    </row>
    <row r="198">
      <c r="A198" s="130"/>
      <c r="B198" s="131"/>
      <c r="C198" s="131"/>
      <c r="D198" s="130"/>
      <c r="E198" s="132"/>
      <c r="F198" s="132"/>
      <c r="G198" s="133"/>
      <c r="H198" s="134"/>
      <c r="I198" s="134"/>
      <c r="J198" s="134"/>
      <c r="K198" s="134"/>
      <c r="L198" s="134"/>
      <c r="M198" s="134"/>
      <c r="N198" s="135"/>
      <c r="O198" s="136"/>
      <c r="P198" s="136"/>
      <c r="Q198" s="137"/>
      <c r="R198" s="138"/>
      <c r="S198" s="138"/>
      <c r="T198" s="139"/>
      <c r="U198" s="139"/>
      <c r="V198" s="139"/>
      <c r="W198" s="140"/>
      <c r="X198" s="141"/>
      <c r="Y198" s="140"/>
      <c r="Z198" s="142"/>
      <c r="AA198" s="139"/>
      <c r="AB198" s="139"/>
      <c r="AC198" s="140"/>
      <c r="AD198" s="140"/>
      <c r="AE198" s="140"/>
    </row>
    <row r="199">
      <c r="A199" s="130"/>
      <c r="B199" s="131"/>
      <c r="C199" s="131"/>
      <c r="D199" s="130"/>
      <c r="E199" s="132"/>
      <c r="F199" s="132"/>
      <c r="G199" s="133"/>
      <c r="H199" s="134"/>
      <c r="I199" s="134"/>
      <c r="J199" s="134"/>
      <c r="K199" s="134"/>
      <c r="L199" s="134"/>
      <c r="M199" s="134"/>
      <c r="N199" s="135"/>
      <c r="O199" s="136"/>
      <c r="P199" s="136"/>
      <c r="Q199" s="137"/>
      <c r="R199" s="138"/>
      <c r="S199" s="138"/>
      <c r="T199" s="139"/>
      <c r="U199" s="139"/>
      <c r="V199" s="139"/>
      <c r="W199" s="140"/>
      <c r="X199" s="141"/>
      <c r="Y199" s="140"/>
      <c r="Z199" s="142"/>
      <c r="AA199" s="139"/>
      <c r="AB199" s="139"/>
      <c r="AC199" s="140"/>
      <c r="AD199" s="140"/>
      <c r="AE199" s="140"/>
    </row>
    <row r="200">
      <c r="A200" s="130"/>
      <c r="B200" s="131"/>
      <c r="C200" s="131"/>
      <c r="D200" s="130"/>
      <c r="E200" s="132"/>
      <c r="F200" s="132"/>
      <c r="G200" s="133"/>
      <c r="H200" s="134"/>
      <c r="I200" s="134"/>
      <c r="J200" s="134"/>
      <c r="K200" s="134"/>
      <c r="L200" s="134"/>
      <c r="M200" s="134"/>
      <c r="N200" s="135"/>
      <c r="O200" s="136"/>
      <c r="P200" s="136"/>
      <c r="Q200" s="137"/>
      <c r="R200" s="138"/>
      <c r="S200" s="138"/>
      <c r="T200" s="139"/>
      <c r="U200" s="139"/>
      <c r="V200" s="139"/>
      <c r="W200" s="140"/>
      <c r="X200" s="141"/>
      <c r="Y200" s="140"/>
      <c r="Z200" s="142"/>
      <c r="AA200" s="139"/>
      <c r="AB200" s="139"/>
      <c r="AC200" s="140"/>
      <c r="AD200" s="140"/>
      <c r="AE200" s="140"/>
    </row>
    <row r="201">
      <c r="A201" s="130"/>
      <c r="B201" s="131"/>
      <c r="C201" s="131"/>
      <c r="D201" s="130"/>
      <c r="E201" s="132"/>
      <c r="F201" s="132"/>
      <c r="G201" s="133"/>
      <c r="H201" s="134"/>
      <c r="I201" s="134"/>
      <c r="J201" s="134"/>
      <c r="K201" s="134"/>
      <c r="L201" s="134"/>
      <c r="M201" s="134"/>
      <c r="N201" s="135"/>
      <c r="O201" s="136"/>
      <c r="P201" s="136"/>
      <c r="Q201" s="137"/>
      <c r="R201" s="138"/>
      <c r="S201" s="138"/>
      <c r="T201" s="139"/>
      <c r="U201" s="139"/>
      <c r="V201" s="139"/>
      <c r="W201" s="140"/>
      <c r="X201" s="141"/>
      <c r="Y201" s="140"/>
      <c r="Z201" s="142"/>
      <c r="AA201" s="139"/>
      <c r="AB201" s="139"/>
      <c r="AC201" s="140"/>
      <c r="AD201" s="140"/>
      <c r="AE201" s="140"/>
    </row>
    <row r="202">
      <c r="A202" s="130"/>
      <c r="B202" s="131"/>
      <c r="C202" s="131"/>
      <c r="D202" s="130"/>
      <c r="E202" s="132"/>
      <c r="F202" s="132"/>
      <c r="G202" s="133"/>
      <c r="H202" s="134"/>
      <c r="I202" s="134"/>
      <c r="J202" s="134"/>
      <c r="K202" s="134"/>
      <c r="L202" s="134"/>
      <c r="M202" s="134"/>
      <c r="N202" s="135"/>
      <c r="O202" s="136"/>
      <c r="P202" s="136"/>
      <c r="Q202" s="137"/>
      <c r="R202" s="138"/>
      <c r="S202" s="138"/>
      <c r="T202" s="139"/>
      <c r="U202" s="139"/>
      <c r="V202" s="139"/>
      <c r="W202" s="140"/>
      <c r="X202" s="141"/>
      <c r="Y202" s="140"/>
      <c r="Z202" s="142"/>
      <c r="AA202" s="139"/>
      <c r="AB202" s="139"/>
      <c r="AC202" s="140"/>
      <c r="AD202" s="140"/>
      <c r="AE202" s="140"/>
    </row>
    <row r="203">
      <c r="A203" s="130"/>
      <c r="B203" s="131"/>
      <c r="C203" s="131"/>
      <c r="D203" s="130"/>
      <c r="E203" s="132"/>
      <c r="F203" s="132"/>
      <c r="G203" s="133"/>
      <c r="H203" s="134"/>
      <c r="I203" s="134"/>
      <c r="J203" s="134"/>
      <c r="K203" s="134"/>
      <c r="L203" s="134"/>
      <c r="M203" s="134"/>
      <c r="N203" s="135"/>
      <c r="O203" s="136"/>
      <c r="P203" s="136"/>
      <c r="Q203" s="137"/>
      <c r="R203" s="138"/>
      <c r="S203" s="138"/>
      <c r="T203" s="139"/>
      <c r="U203" s="139"/>
      <c r="V203" s="139"/>
      <c r="W203" s="140"/>
      <c r="X203" s="141"/>
      <c r="Y203" s="140"/>
      <c r="Z203" s="142"/>
      <c r="AA203" s="139"/>
      <c r="AB203" s="139"/>
      <c r="AC203" s="140"/>
      <c r="AD203" s="140"/>
      <c r="AE203" s="140"/>
    </row>
    <row r="204">
      <c r="A204" s="130"/>
      <c r="B204" s="131"/>
      <c r="C204" s="131"/>
      <c r="D204" s="130"/>
      <c r="E204" s="132"/>
      <c r="F204" s="132"/>
      <c r="G204" s="133"/>
      <c r="H204" s="134"/>
      <c r="I204" s="134"/>
      <c r="J204" s="134"/>
      <c r="K204" s="134"/>
      <c r="L204" s="134"/>
      <c r="M204" s="134"/>
      <c r="N204" s="135"/>
      <c r="O204" s="136"/>
      <c r="P204" s="136"/>
      <c r="Q204" s="137"/>
      <c r="R204" s="138"/>
      <c r="S204" s="138"/>
      <c r="T204" s="139"/>
      <c r="U204" s="139"/>
      <c r="V204" s="139"/>
      <c r="W204" s="140"/>
      <c r="X204" s="141"/>
      <c r="Y204" s="140"/>
      <c r="Z204" s="142"/>
      <c r="AA204" s="139"/>
      <c r="AB204" s="139"/>
      <c r="AC204" s="140"/>
      <c r="AD204" s="140"/>
      <c r="AE204" s="140"/>
    </row>
    <row r="205">
      <c r="A205" s="130"/>
      <c r="B205" s="131"/>
      <c r="C205" s="131"/>
      <c r="D205" s="130"/>
      <c r="E205" s="132"/>
      <c r="F205" s="132"/>
      <c r="G205" s="133"/>
      <c r="H205" s="134"/>
      <c r="I205" s="134"/>
      <c r="J205" s="134"/>
      <c r="K205" s="134"/>
      <c r="L205" s="134"/>
      <c r="M205" s="134"/>
      <c r="N205" s="135"/>
      <c r="O205" s="136"/>
      <c r="P205" s="136"/>
      <c r="Q205" s="137"/>
      <c r="R205" s="138"/>
      <c r="S205" s="138"/>
      <c r="T205" s="139"/>
      <c r="U205" s="139"/>
      <c r="V205" s="139"/>
      <c r="W205" s="140"/>
      <c r="X205" s="141"/>
      <c r="Y205" s="140"/>
      <c r="Z205" s="142"/>
      <c r="AA205" s="139"/>
      <c r="AB205" s="139"/>
      <c r="AC205" s="140"/>
      <c r="AD205" s="140"/>
      <c r="AE205" s="140"/>
    </row>
    <row r="206">
      <c r="A206" s="130"/>
      <c r="B206" s="131"/>
      <c r="C206" s="131"/>
      <c r="D206" s="130"/>
      <c r="E206" s="132"/>
      <c r="F206" s="132"/>
      <c r="G206" s="133"/>
      <c r="H206" s="134"/>
      <c r="I206" s="134"/>
      <c r="J206" s="134"/>
      <c r="K206" s="134"/>
      <c r="L206" s="134"/>
      <c r="M206" s="134"/>
      <c r="N206" s="135"/>
      <c r="O206" s="136"/>
      <c r="P206" s="136"/>
      <c r="Q206" s="137"/>
      <c r="R206" s="138"/>
      <c r="S206" s="138"/>
      <c r="T206" s="139"/>
      <c r="U206" s="139"/>
      <c r="V206" s="139"/>
      <c r="W206" s="140"/>
      <c r="X206" s="141"/>
      <c r="Y206" s="140"/>
      <c r="Z206" s="142"/>
      <c r="AA206" s="139"/>
      <c r="AB206" s="139"/>
      <c r="AC206" s="140"/>
      <c r="AD206" s="140"/>
      <c r="AE206" s="140"/>
    </row>
    <row r="207">
      <c r="A207" s="130"/>
      <c r="B207" s="131"/>
      <c r="C207" s="131"/>
      <c r="D207" s="130"/>
      <c r="E207" s="132"/>
      <c r="F207" s="132"/>
      <c r="G207" s="133"/>
      <c r="H207" s="134"/>
      <c r="I207" s="134"/>
      <c r="J207" s="134"/>
      <c r="K207" s="134"/>
      <c r="L207" s="134"/>
      <c r="M207" s="134"/>
      <c r="N207" s="135"/>
      <c r="O207" s="136"/>
      <c r="P207" s="136"/>
      <c r="Q207" s="137"/>
      <c r="R207" s="138"/>
      <c r="S207" s="138"/>
      <c r="T207" s="139"/>
      <c r="U207" s="139"/>
      <c r="V207" s="139"/>
      <c r="W207" s="140"/>
      <c r="X207" s="141"/>
      <c r="Y207" s="140"/>
      <c r="Z207" s="142"/>
      <c r="AA207" s="139"/>
      <c r="AB207" s="139"/>
      <c r="AC207" s="140"/>
      <c r="AD207" s="140"/>
      <c r="AE207" s="140"/>
    </row>
    <row r="208">
      <c r="A208" s="130"/>
      <c r="B208" s="131"/>
      <c r="C208" s="131"/>
      <c r="D208" s="130"/>
      <c r="E208" s="132"/>
      <c r="F208" s="132"/>
      <c r="G208" s="133"/>
      <c r="H208" s="134"/>
      <c r="I208" s="134"/>
      <c r="J208" s="134"/>
      <c r="K208" s="134"/>
      <c r="L208" s="134"/>
      <c r="M208" s="134"/>
      <c r="N208" s="135"/>
      <c r="O208" s="136"/>
      <c r="P208" s="136"/>
      <c r="Q208" s="137"/>
      <c r="R208" s="138"/>
      <c r="S208" s="138"/>
      <c r="T208" s="139"/>
      <c r="U208" s="139"/>
      <c r="V208" s="139"/>
      <c r="W208" s="140"/>
      <c r="X208" s="141"/>
      <c r="Y208" s="140"/>
      <c r="Z208" s="142"/>
      <c r="AA208" s="139"/>
      <c r="AB208" s="139"/>
      <c r="AC208" s="140"/>
      <c r="AD208" s="140"/>
      <c r="AE208" s="140"/>
    </row>
    <row r="209">
      <c r="A209" s="130"/>
      <c r="B209" s="131"/>
      <c r="C209" s="131"/>
      <c r="D209" s="130"/>
      <c r="E209" s="132"/>
      <c r="F209" s="132"/>
      <c r="G209" s="133"/>
      <c r="H209" s="134"/>
      <c r="I209" s="134"/>
      <c r="J209" s="134"/>
      <c r="K209" s="134"/>
      <c r="L209" s="134"/>
      <c r="M209" s="134"/>
      <c r="N209" s="135"/>
      <c r="O209" s="136"/>
      <c r="P209" s="136"/>
      <c r="Q209" s="137"/>
      <c r="R209" s="138"/>
      <c r="S209" s="138"/>
      <c r="T209" s="139"/>
      <c r="U209" s="139"/>
      <c r="V209" s="139"/>
      <c r="W209" s="140"/>
      <c r="X209" s="141"/>
      <c r="Y209" s="140"/>
      <c r="Z209" s="142"/>
      <c r="AA209" s="139"/>
      <c r="AB209" s="139"/>
      <c r="AC209" s="140"/>
      <c r="AD209" s="140"/>
      <c r="AE209" s="140"/>
    </row>
    <row r="210">
      <c r="A210" s="130"/>
      <c r="B210" s="131"/>
      <c r="C210" s="131"/>
      <c r="D210" s="130"/>
      <c r="E210" s="132"/>
      <c r="F210" s="132"/>
      <c r="G210" s="133"/>
      <c r="H210" s="134"/>
      <c r="I210" s="134"/>
      <c r="J210" s="134"/>
      <c r="K210" s="134"/>
      <c r="L210" s="134"/>
      <c r="M210" s="134"/>
      <c r="N210" s="135"/>
      <c r="O210" s="136"/>
      <c r="P210" s="136"/>
      <c r="Q210" s="137"/>
      <c r="R210" s="138"/>
      <c r="S210" s="138"/>
      <c r="T210" s="139"/>
      <c r="U210" s="139"/>
      <c r="V210" s="139"/>
      <c r="W210" s="140"/>
      <c r="X210" s="141"/>
      <c r="Y210" s="140"/>
      <c r="Z210" s="142"/>
      <c r="AA210" s="139"/>
      <c r="AB210" s="139"/>
      <c r="AC210" s="140"/>
      <c r="AD210" s="140"/>
      <c r="AE210" s="140"/>
    </row>
    <row r="211">
      <c r="A211" s="130"/>
      <c r="B211" s="131"/>
      <c r="C211" s="131"/>
      <c r="D211" s="130"/>
      <c r="E211" s="132"/>
      <c r="F211" s="132"/>
      <c r="G211" s="133"/>
      <c r="H211" s="134"/>
      <c r="I211" s="134"/>
      <c r="J211" s="134"/>
      <c r="K211" s="134"/>
      <c r="L211" s="134"/>
      <c r="M211" s="134"/>
      <c r="N211" s="135"/>
      <c r="O211" s="136"/>
      <c r="P211" s="136"/>
      <c r="Q211" s="137"/>
      <c r="R211" s="138"/>
      <c r="S211" s="138"/>
      <c r="T211" s="139"/>
      <c r="U211" s="139"/>
      <c r="V211" s="139"/>
      <c r="W211" s="140"/>
      <c r="X211" s="141"/>
      <c r="Y211" s="140"/>
      <c r="Z211" s="142"/>
      <c r="AA211" s="139"/>
      <c r="AB211" s="139"/>
      <c r="AC211" s="140"/>
      <c r="AD211" s="140"/>
      <c r="AE211" s="140"/>
    </row>
    <row r="212">
      <c r="A212" s="130"/>
      <c r="B212" s="131"/>
      <c r="C212" s="131"/>
      <c r="D212" s="130"/>
      <c r="E212" s="132"/>
      <c r="F212" s="132"/>
      <c r="G212" s="133"/>
      <c r="H212" s="134"/>
      <c r="I212" s="134"/>
      <c r="J212" s="134"/>
      <c r="K212" s="134"/>
      <c r="L212" s="134"/>
      <c r="M212" s="134"/>
      <c r="N212" s="135"/>
      <c r="O212" s="136"/>
      <c r="P212" s="136"/>
      <c r="Q212" s="137"/>
      <c r="R212" s="138"/>
      <c r="S212" s="138"/>
      <c r="T212" s="139"/>
      <c r="U212" s="139"/>
      <c r="V212" s="139"/>
      <c r="W212" s="140"/>
      <c r="X212" s="141"/>
      <c r="Y212" s="140"/>
      <c r="Z212" s="142"/>
      <c r="AA212" s="139"/>
      <c r="AB212" s="139"/>
      <c r="AC212" s="140"/>
      <c r="AD212" s="140"/>
      <c r="AE212" s="140"/>
    </row>
    <row r="213">
      <c r="A213" s="130"/>
      <c r="B213" s="131"/>
      <c r="C213" s="131"/>
      <c r="D213" s="130"/>
      <c r="E213" s="132"/>
      <c r="F213" s="132"/>
      <c r="G213" s="133"/>
      <c r="H213" s="134"/>
      <c r="I213" s="134"/>
      <c r="J213" s="134"/>
      <c r="K213" s="134"/>
      <c r="L213" s="134"/>
      <c r="M213" s="134"/>
      <c r="N213" s="135"/>
      <c r="O213" s="136"/>
      <c r="P213" s="136"/>
      <c r="Q213" s="137"/>
      <c r="R213" s="138"/>
      <c r="S213" s="138"/>
      <c r="T213" s="139"/>
      <c r="U213" s="139"/>
      <c r="V213" s="139"/>
      <c r="W213" s="140"/>
      <c r="X213" s="141"/>
      <c r="Y213" s="140"/>
      <c r="Z213" s="142"/>
      <c r="AA213" s="139"/>
      <c r="AB213" s="139"/>
      <c r="AC213" s="140"/>
      <c r="AD213" s="140"/>
      <c r="AE213" s="140"/>
    </row>
    <row r="214">
      <c r="A214" s="130"/>
      <c r="B214" s="131"/>
      <c r="C214" s="131"/>
      <c r="D214" s="130"/>
      <c r="E214" s="132"/>
      <c r="F214" s="132"/>
      <c r="G214" s="133"/>
      <c r="H214" s="134"/>
      <c r="I214" s="134"/>
      <c r="J214" s="134"/>
      <c r="K214" s="134"/>
      <c r="L214" s="134"/>
      <c r="M214" s="134"/>
      <c r="N214" s="135"/>
      <c r="O214" s="136"/>
      <c r="P214" s="136"/>
      <c r="Q214" s="137"/>
      <c r="R214" s="138"/>
      <c r="S214" s="138"/>
      <c r="T214" s="139"/>
      <c r="U214" s="139"/>
      <c r="V214" s="139"/>
      <c r="W214" s="140"/>
      <c r="X214" s="141"/>
      <c r="Y214" s="140"/>
      <c r="Z214" s="142"/>
      <c r="AA214" s="139"/>
      <c r="AB214" s="139"/>
      <c r="AC214" s="140"/>
      <c r="AD214" s="140"/>
      <c r="AE214" s="140"/>
    </row>
    <row r="215">
      <c r="A215" s="130"/>
      <c r="B215" s="131"/>
      <c r="C215" s="131"/>
      <c r="D215" s="130"/>
      <c r="E215" s="132"/>
      <c r="F215" s="132"/>
      <c r="G215" s="133"/>
      <c r="H215" s="134"/>
      <c r="I215" s="134"/>
      <c r="J215" s="134"/>
      <c r="K215" s="134"/>
      <c r="L215" s="134"/>
      <c r="M215" s="134"/>
      <c r="N215" s="135"/>
      <c r="O215" s="136"/>
      <c r="P215" s="136"/>
      <c r="Q215" s="137"/>
      <c r="R215" s="138"/>
      <c r="S215" s="138"/>
      <c r="T215" s="139"/>
      <c r="U215" s="139"/>
      <c r="V215" s="139"/>
      <c r="W215" s="140"/>
      <c r="X215" s="141"/>
      <c r="Y215" s="140"/>
      <c r="Z215" s="142"/>
      <c r="AA215" s="139"/>
      <c r="AB215" s="139"/>
      <c r="AC215" s="140"/>
      <c r="AD215" s="140"/>
      <c r="AE215" s="140"/>
    </row>
    <row r="216">
      <c r="A216" s="130"/>
      <c r="B216" s="131"/>
      <c r="C216" s="131"/>
      <c r="D216" s="130"/>
      <c r="E216" s="132"/>
      <c r="F216" s="132"/>
      <c r="G216" s="133"/>
      <c r="H216" s="134"/>
      <c r="I216" s="134"/>
      <c r="J216" s="134"/>
      <c r="K216" s="134"/>
      <c r="L216" s="134"/>
      <c r="M216" s="134"/>
      <c r="N216" s="135"/>
      <c r="O216" s="136"/>
      <c r="P216" s="136"/>
      <c r="Q216" s="137"/>
      <c r="R216" s="138"/>
      <c r="S216" s="138"/>
      <c r="T216" s="139"/>
      <c r="U216" s="139"/>
      <c r="V216" s="139"/>
      <c r="W216" s="140"/>
      <c r="X216" s="141"/>
      <c r="Y216" s="140"/>
      <c r="Z216" s="142"/>
      <c r="AA216" s="139"/>
      <c r="AB216" s="139"/>
      <c r="AC216" s="140"/>
      <c r="AD216" s="140"/>
      <c r="AE216" s="140"/>
    </row>
    <row r="217">
      <c r="A217" s="130"/>
      <c r="B217" s="131"/>
      <c r="C217" s="131"/>
      <c r="D217" s="130"/>
      <c r="E217" s="132"/>
      <c r="F217" s="132"/>
      <c r="G217" s="133"/>
      <c r="H217" s="134"/>
      <c r="I217" s="134"/>
      <c r="J217" s="134"/>
      <c r="K217" s="134"/>
      <c r="L217" s="134"/>
      <c r="M217" s="134"/>
      <c r="N217" s="135"/>
      <c r="O217" s="136"/>
      <c r="P217" s="136"/>
      <c r="Q217" s="137"/>
      <c r="R217" s="138"/>
      <c r="S217" s="138"/>
      <c r="T217" s="139"/>
      <c r="U217" s="139"/>
      <c r="V217" s="139"/>
      <c r="W217" s="140"/>
      <c r="X217" s="141"/>
      <c r="Y217" s="140"/>
      <c r="Z217" s="142"/>
      <c r="AA217" s="139"/>
      <c r="AB217" s="139"/>
      <c r="AC217" s="140"/>
      <c r="AD217" s="140"/>
      <c r="AE217" s="140"/>
    </row>
    <row r="218">
      <c r="A218" s="130"/>
      <c r="B218" s="131"/>
      <c r="C218" s="131"/>
      <c r="D218" s="130"/>
      <c r="E218" s="132"/>
      <c r="F218" s="132"/>
      <c r="G218" s="133"/>
      <c r="H218" s="134"/>
      <c r="I218" s="134"/>
      <c r="J218" s="134"/>
      <c r="K218" s="134"/>
      <c r="L218" s="134"/>
      <c r="M218" s="134"/>
      <c r="N218" s="135"/>
      <c r="O218" s="136"/>
      <c r="P218" s="136"/>
      <c r="Q218" s="137"/>
      <c r="R218" s="138"/>
      <c r="S218" s="138"/>
      <c r="T218" s="139"/>
      <c r="U218" s="139"/>
      <c r="V218" s="139"/>
      <c r="W218" s="140"/>
      <c r="X218" s="141"/>
      <c r="Y218" s="140"/>
      <c r="Z218" s="142"/>
      <c r="AA218" s="139"/>
      <c r="AB218" s="139"/>
      <c r="AC218" s="140"/>
      <c r="AD218" s="140"/>
      <c r="AE218" s="140"/>
    </row>
    <row r="219">
      <c r="A219" s="130"/>
      <c r="B219" s="131"/>
      <c r="C219" s="131"/>
      <c r="D219" s="130"/>
      <c r="E219" s="132"/>
      <c r="F219" s="132"/>
      <c r="G219" s="133"/>
      <c r="H219" s="134"/>
      <c r="I219" s="134"/>
      <c r="J219" s="134"/>
      <c r="K219" s="134"/>
      <c r="L219" s="134"/>
      <c r="M219" s="134"/>
      <c r="N219" s="135"/>
      <c r="O219" s="136"/>
      <c r="P219" s="136"/>
      <c r="Q219" s="137"/>
      <c r="R219" s="138"/>
      <c r="S219" s="138"/>
      <c r="T219" s="139"/>
      <c r="U219" s="139"/>
      <c r="V219" s="139"/>
      <c r="W219" s="140"/>
      <c r="X219" s="141"/>
      <c r="Y219" s="140"/>
      <c r="Z219" s="142"/>
      <c r="AA219" s="139"/>
      <c r="AB219" s="139"/>
      <c r="AC219" s="140"/>
      <c r="AD219" s="140"/>
      <c r="AE219" s="140"/>
    </row>
    <row r="220">
      <c r="A220" s="130"/>
      <c r="B220" s="131"/>
      <c r="C220" s="131"/>
      <c r="D220" s="130"/>
      <c r="E220" s="132"/>
      <c r="F220" s="132"/>
      <c r="G220" s="133"/>
      <c r="H220" s="134"/>
      <c r="I220" s="134"/>
      <c r="J220" s="134"/>
      <c r="K220" s="134"/>
      <c r="L220" s="134"/>
      <c r="M220" s="134"/>
      <c r="N220" s="135"/>
      <c r="O220" s="136"/>
      <c r="P220" s="136"/>
      <c r="Q220" s="137"/>
      <c r="R220" s="138"/>
      <c r="S220" s="138"/>
      <c r="T220" s="139"/>
      <c r="U220" s="139"/>
      <c r="V220" s="139"/>
      <c r="W220" s="140"/>
      <c r="X220" s="141"/>
      <c r="Y220" s="140"/>
      <c r="Z220" s="142"/>
      <c r="AA220" s="139"/>
      <c r="AB220" s="139"/>
      <c r="AC220" s="140"/>
      <c r="AD220" s="140"/>
      <c r="AE220" s="140"/>
    </row>
    <row r="221">
      <c r="A221" s="130"/>
      <c r="B221" s="131"/>
      <c r="C221" s="131"/>
      <c r="D221" s="130"/>
      <c r="E221" s="132"/>
      <c r="F221" s="132"/>
      <c r="G221" s="133"/>
      <c r="H221" s="134"/>
      <c r="I221" s="134"/>
      <c r="J221" s="134"/>
      <c r="K221" s="134"/>
      <c r="L221" s="134"/>
      <c r="M221" s="134"/>
      <c r="N221" s="135"/>
      <c r="O221" s="136"/>
      <c r="P221" s="136"/>
      <c r="Q221" s="137"/>
      <c r="R221" s="138"/>
      <c r="S221" s="138"/>
      <c r="T221" s="139"/>
      <c r="U221" s="139"/>
      <c r="V221" s="139"/>
      <c r="W221" s="140"/>
      <c r="X221" s="141"/>
      <c r="Y221" s="140"/>
      <c r="Z221" s="142"/>
      <c r="AA221" s="139"/>
      <c r="AB221" s="139"/>
      <c r="AC221" s="140"/>
      <c r="AD221" s="140"/>
      <c r="AE221" s="140"/>
    </row>
    <row r="222">
      <c r="A222" s="130"/>
      <c r="B222" s="131"/>
      <c r="C222" s="131"/>
      <c r="D222" s="130"/>
      <c r="E222" s="132"/>
      <c r="F222" s="132"/>
      <c r="G222" s="133"/>
      <c r="H222" s="134"/>
      <c r="I222" s="134"/>
      <c r="J222" s="134"/>
      <c r="K222" s="134"/>
      <c r="L222" s="134"/>
      <c r="M222" s="134"/>
      <c r="N222" s="135"/>
      <c r="O222" s="136"/>
      <c r="P222" s="136"/>
      <c r="Q222" s="137"/>
      <c r="R222" s="138"/>
      <c r="S222" s="138"/>
      <c r="T222" s="139"/>
      <c r="U222" s="139"/>
      <c r="V222" s="139"/>
      <c r="W222" s="140"/>
      <c r="X222" s="141"/>
      <c r="Y222" s="140"/>
      <c r="Z222" s="142"/>
      <c r="AA222" s="139"/>
      <c r="AB222" s="139"/>
      <c r="AC222" s="140"/>
      <c r="AD222" s="140"/>
      <c r="AE222" s="140"/>
    </row>
    <row r="223">
      <c r="A223" s="130"/>
      <c r="B223" s="131"/>
      <c r="C223" s="131"/>
      <c r="D223" s="130"/>
      <c r="E223" s="132"/>
      <c r="F223" s="132"/>
      <c r="G223" s="133"/>
      <c r="H223" s="134"/>
      <c r="I223" s="134"/>
      <c r="J223" s="134"/>
      <c r="K223" s="134"/>
      <c r="L223" s="134"/>
      <c r="M223" s="134"/>
      <c r="N223" s="135"/>
      <c r="O223" s="136"/>
      <c r="P223" s="136"/>
      <c r="Q223" s="137"/>
      <c r="R223" s="138"/>
      <c r="S223" s="138"/>
      <c r="T223" s="139"/>
      <c r="U223" s="139"/>
      <c r="V223" s="139"/>
      <c r="W223" s="140"/>
      <c r="X223" s="141"/>
      <c r="Y223" s="140"/>
      <c r="Z223" s="142"/>
      <c r="AA223" s="139"/>
      <c r="AB223" s="139"/>
      <c r="AC223" s="140"/>
      <c r="AD223" s="140"/>
      <c r="AE223" s="140"/>
    </row>
    <row r="224">
      <c r="A224" s="130"/>
      <c r="B224" s="131"/>
      <c r="C224" s="131"/>
      <c r="D224" s="130"/>
      <c r="E224" s="132"/>
      <c r="F224" s="132"/>
      <c r="G224" s="133"/>
      <c r="H224" s="134"/>
      <c r="I224" s="134"/>
      <c r="J224" s="134"/>
      <c r="K224" s="134"/>
      <c r="L224" s="134"/>
      <c r="M224" s="134"/>
      <c r="N224" s="135"/>
      <c r="O224" s="136"/>
      <c r="P224" s="136"/>
      <c r="Q224" s="137"/>
      <c r="R224" s="138"/>
      <c r="S224" s="138"/>
      <c r="T224" s="139"/>
      <c r="U224" s="139"/>
      <c r="V224" s="139"/>
      <c r="W224" s="140"/>
      <c r="X224" s="141"/>
      <c r="Y224" s="140"/>
      <c r="Z224" s="142"/>
      <c r="AA224" s="139"/>
      <c r="AB224" s="139"/>
      <c r="AC224" s="140"/>
      <c r="AD224" s="140"/>
      <c r="AE224" s="140"/>
    </row>
    <row r="225">
      <c r="A225" s="130"/>
      <c r="B225" s="131"/>
      <c r="C225" s="131"/>
      <c r="D225" s="130"/>
      <c r="E225" s="132"/>
      <c r="F225" s="132"/>
      <c r="G225" s="133"/>
      <c r="H225" s="134"/>
      <c r="I225" s="134"/>
      <c r="J225" s="134"/>
      <c r="K225" s="134"/>
      <c r="L225" s="134"/>
      <c r="M225" s="134"/>
      <c r="N225" s="135"/>
      <c r="O225" s="136"/>
      <c r="P225" s="136"/>
      <c r="Q225" s="137"/>
      <c r="R225" s="138"/>
      <c r="S225" s="138"/>
      <c r="T225" s="139"/>
      <c r="U225" s="139"/>
      <c r="V225" s="139"/>
      <c r="W225" s="140"/>
      <c r="X225" s="141"/>
      <c r="Y225" s="140"/>
      <c r="Z225" s="142"/>
      <c r="AA225" s="139"/>
      <c r="AB225" s="139"/>
      <c r="AC225" s="140"/>
      <c r="AD225" s="140"/>
      <c r="AE225" s="140"/>
    </row>
    <row r="226">
      <c r="A226" s="130"/>
      <c r="B226" s="131"/>
      <c r="C226" s="131"/>
      <c r="D226" s="130"/>
      <c r="E226" s="132"/>
      <c r="F226" s="132"/>
      <c r="G226" s="133"/>
      <c r="H226" s="134"/>
      <c r="I226" s="134"/>
      <c r="J226" s="134"/>
      <c r="K226" s="134"/>
      <c r="L226" s="134"/>
      <c r="M226" s="134"/>
      <c r="N226" s="135"/>
      <c r="O226" s="136"/>
      <c r="P226" s="136"/>
      <c r="Q226" s="137"/>
      <c r="R226" s="138"/>
      <c r="S226" s="138"/>
      <c r="T226" s="139"/>
      <c r="U226" s="139"/>
      <c r="V226" s="139"/>
      <c r="W226" s="140"/>
      <c r="X226" s="141"/>
      <c r="Y226" s="140"/>
      <c r="Z226" s="142"/>
      <c r="AA226" s="139"/>
      <c r="AB226" s="139"/>
      <c r="AC226" s="140"/>
      <c r="AD226" s="140"/>
      <c r="AE226" s="140"/>
    </row>
    <row r="227">
      <c r="A227" s="130"/>
      <c r="B227" s="131"/>
      <c r="C227" s="131"/>
      <c r="D227" s="130"/>
      <c r="E227" s="132"/>
      <c r="F227" s="132"/>
      <c r="G227" s="133"/>
      <c r="H227" s="134"/>
      <c r="I227" s="134"/>
      <c r="J227" s="134"/>
      <c r="K227" s="134"/>
      <c r="L227" s="134"/>
      <c r="M227" s="134"/>
      <c r="N227" s="135"/>
      <c r="O227" s="136"/>
      <c r="P227" s="136"/>
      <c r="Q227" s="137"/>
      <c r="R227" s="138"/>
      <c r="S227" s="138"/>
      <c r="T227" s="139"/>
      <c r="U227" s="139"/>
      <c r="V227" s="139"/>
      <c r="W227" s="140"/>
      <c r="X227" s="141"/>
      <c r="Y227" s="140"/>
      <c r="Z227" s="142"/>
      <c r="AA227" s="139"/>
      <c r="AB227" s="139"/>
      <c r="AC227" s="140"/>
      <c r="AD227" s="140"/>
      <c r="AE227" s="140"/>
    </row>
    <row r="228">
      <c r="A228" s="130"/>
      <c r="B228" s="131"/>
      <c r="C228" s="131"/>
      <c r="D228" s="130"/>
      <c r="E228" s="132"/>
      <c r="F228" s="132"/>
      <c r="G228" s="133"/>
      <c r="H228" s="134"/>
      <c r="I228" s="134"/>
      <c r="J228" s="134"/>
      <c r="K228" s="134"/>
      <c r="L228" s="134"/>
      <c r="M228" s="134"/>
      <c r="N228" s="135"/>
      <c r="O228" s="136"/>
      <c r="P228" s="136"/>
      <c r="Q228" s="137"/>
      <c r="R228" s="138"/>
      <c r="S228" s="138"/>
      <c r="T228" s="139"/>
      <c r="U228" s="139"/>
      <c r="V228" s="139"/>
      <c r="W228" s="140"/>
      <c r="X228" s="141"/>
      <c r="Y228" s="140"/>
      <c r="Z228" s="142"/>
      <c r="AA228" s="139"/>
      <c r="AB228" s="139"/>
      <c r="AC228" s="140"/>
      <c r="AD228" s="140"/>
      <c r="AE228" s="140"/>
    </row>
    <row r="229">
      <c r="A229" s="130"/>
      <c r="B229" s="131"/>
      <c r="C229" s="131"/>
      <c r="D229" s="130"/>
      <c r="E229" s="132"/>
      <c r="F229" s="132"/>
      <c r="G229" s="133"/>
      <c r="H229" s="134"/>
      <c r="I229" s="134"/>
      <c r="J229" s="134"/>
      <c r="K229" s="134"/>
      <c r="L229" s="134"/>
      <c r="M229" s="134"/>
      <c r="N229" s="135"/>
      <c r="O229" s="136"/>
      <c r="P229" s="136"/>
      <c r="Q229" s="137"/>
      <c r="R229" s="138"/>
      <c r="S229" s="138"/>
      <c r="T229" s="139"/>
      <c r="U229" s="139"/>
      <c r="V229" s="139"/>
      <c r="W229" s="140"/>
      <c r="X229" s="141"/>
      <c r="Y229" s="140"/>
      <c r="Z229" s="142"/>
      <c r="AA229" s="139"/>
      <c r="AB229" s="139"/>
      <c r="AC229" s="140"/>
      <c r="AD229" s="140"/>
      <c r="AE229" s="140"/>
    </row>
    <row r="230">
      <c r="A230" s="130"/>
      <c r="B230" s="131"/>
      <c r="C230" s="131"/>
      <c r="D230" s="130"/>
      <c r="E230" s="132"/>
      <c r="F230" s="132"/>
      <c r="G230" s="133"/>
      <c r="H230" s="134"/>
      <c r="I230" s="134"/>
      <c r="J230" s="134"/>
      <c r="K230" s="134"/>
      <c r="L230" s="134"/>
      <c r="M230" s="134"/>
      <c r="N230" s="135"/>
      <c r="O230" s="136"/>
      <c r="P230" s="136"/>
      <c r="Q230" s="137"/>
      <c r="R230" s="138"/>
      <c r="S230" s="138"/>
      <c r="T230" s="139"/>
      <c r="U230" s="139"/>
      <c r="V230" s="139"/>
      <c r="W230" s="140"/>
      <c r="X230" s="141"/>
      <c r="Y230" s="140"/>
      <c r="Z230" s="142"/>
      <c r="AA230" s="139"/>
      <c r="AB230" s="139"/>
      <c r="AC230" s="140"/>
      <c r="AD230" s="140"/>
      <c r="AE230" s="140"/>
    </row>
    <row r="231">
      <c r="A231" s="130"/>
      <c r="B231" s="131"/>
      <c r="C231" s="131"/>
      <c r="D231" s="130"/>
      <c r="E231" s="132"/>
      <c r="F231" s="132"/>
      <c r="G231" s="133"/>
      <c r="H231" s="134"/>
      <c r="I231" s="134"/>
      <c r="J231" s="134"/>
      <c r="K231" s="134"/>
      <c r="L231" s="134"/>
      <c r="M231" s="134"/>
      <c r="N231" s="135"/>
      <c r="O231" s="136"/>
      <c r="P231" s="136"/>
      <c r="Q231" s="137"/>
      <c r="R231" s="138"/>
      <c r="S231" s="138"/>
      <c r="T231" s="139"/>
      <c r="U231" s="139"/>
      <c r="V231" s="139"/>
      <c r="W231" s="140"/>
      <c r="X231" s="141"/>
      <c r="Y231" s="140"/>
      <c r="Z231" s="142"/>
      <c r="AA231" s="139"/>
      <c r="AB231" s="139"/>
      <c r="AC231" s="140"/>
      <c r="AD231" s="140"/>
      <c r="AE231" s="140"/>
    </row>
    <row r="232">
      <c r="A232" s="130"/>
      <c r="B232" s="131"/>
      <c r="C232" s="131"/>
      <c r="D232" s="130"/>
      <c r="E232" s="132"/>
      <c r="F232" s="132"/>
      <c r="G232" s="133"/>
      <c r="H232" s="134"/>
      <c r="I232" s="134"/>
      <c r="J232" s="134"/>
      <c r="K232" s="134"/>
      <c r="L232" s="134"/>
      <c r="M232" s="134"/>
      <c r="N232" s="135"/>
      <c r="O232" s="136"/>
      <c r="P232" s="136"/>
      <c r="Q232" s="137"/>
      <c r="R232" s="138"/>
      <c r="S232" s="138"/>
      <c r="T232" s="139"/>
      <c r="U232" s="139"/>
      <c r="V232" s="139"/>
      <c r="W232" s="140"/>
      <c r="X232" s="141"/>
      <c r="Y232" s="140"/>
      <c r="Z232" s="142"/>
      <c r="AA232" s="139"/>
      <c r="AB232" s="139"/>
      <c r="AC232" s="140"/>
      <c r="AD232" s="140"/>
      <c r="AE232" s="140"/>
    </row>
    <row r="233">
      <c r="A233" s="130"/>
      <c r="B233" s="131"/>
      <c r="C233" s="131"/>
      <c r="D233" s="130"/>
      <c r="E233" s="132"/>
      <c r="F233" s="132"/>
      <c r="G233" s="133"/>
      <c r="H233" s="134"/>
      <c r="I233" s="134"/>
      <c r="J233" s="134"/>
      <c r="K233" s="134"/>
      <c r="L233" s="134"/>
      <c r="M233" s="134"/>
      <c r="N233" s="135"/>
      <c r="O233" s="136"/>
      <c r="P233" s="136"/>
      <c r="Q233" s="137"/>
      <c r="R233" s="138"/>
      <c r="S233" s="138"/>
      <c r="T233" s="139"/>
      <c r="U233" s="139"/>
      <c r="V233" s="139"/>
      <c r="W233" s="140"/>
      <c r="X233" s="141"/>
      <c r="Y233" s="140"/>
      <c r="Z233" s="142"/>
      <c r="AA233" s="139"/>
      <c r="AB233" s="139"/>
      <c r="AC233" s="140"/>
      <c r="AD233" s="140"/>
      <c r="AE233" s="140"/>
    </row>
    <row r="234">
      <c r="A234" s="130"/>
      <c r="B234" s="131"/>
      <c r="C234" s="131"/>
      <c r="D234" s="130"/>
      <c r="E234" s="132"/>
      <c r="F234" s="132"/>
      <c r="G234" s="133"/>
      <c r="H234" s="134"/>
      <c r="I234" s="134"/>
      <c r="J234" s="134"/>
      <c r="K234" s="134"/>
      <c r="L234" s="134"/>
      <c r="M234" s="134"/>
      <c r="N234" s="135"/>
      <c r="O234" s="136"/>
      <c r="P234" s="136"/>
      <c r="Q234" s="137"/>
      <c r="R234" s="138"/>
      <c r="S234" s="138"/>
      <c r="T234" s="139"/>
      <c r="U234" s="139"/>
      <c r="V234" s="139"/>
      <c r="W234" s="140"/>
      <c r="X234" s="141"/>
      <c r="Y234" s="140"/>
      <c r="Z234" s="142"/>
      <c r="AA234" s="139"/>
      <c r="AB234" s="139"/>
      <c r="AC234" s="140"/>
      <c r="AD234" s="140"/>
      <c r="AE234" s="140"/>
    </row>
    <row r="235">
      <c r="A235" s="130"/>
      <c r="B235" s="131"/>
      <c r="C235" s="131"/>
      <c r="D235" s="130"/>
      <c r="E235" s="132"/>
      <c r="F235" s="132"/>
      <c r="G235" s="133"/>
      <c r="H235" s="134"/>
      <c r="I235" s="134"/>
      <c r="J235" s="134"/>
      <c r="K235" s="134"/>
      <c r="L235" s="134"/>
      <c r="M235" s="134"/>
      <c r="N235" s="135"/>
      <c r="O235" s="136"/>
      <c r="P235" s="136"/>
      <c r="Q235" s="137"/>
      <c r="R235" s="138"/>
      <c r="S235" s="138"/>
      <c r="T235" s="139"/>
      <c r="U235" s="139"/>
      <c r="V235" s="139"/>
      <c r="W235" s="140"/>
      <c r="X235" s="141"/>
      <c r="Y235" s="140"/>
      <c r="Z235" s="142"/>
      <c r="AA235" s="139"/>
      <c r="AB235" s="139"/>
      <c r="AC235" s="140"/>
      <c r="AD235" s="140"/>
      <c r="AE235" s="140"/>
    </row>
    <row r="236">
      <c r="A236" s="130"/>
      <c r="B236" s="131"/>
      <c r="C236" s="131"/>
      <c r="D236" s="130"/>
      <c r="E236" s="132"/>
      <c r="F236" s="132"/>
      <c r="G236" s="133"/>
      <c r="H236" s="134"/>
      <c r="I236" s="134"/>
      <c r="J236" s="134"/>
      <c r="K236" s="134"/>
      <c r="L236" s="134"/>
      <c r="M236" s="134"/>
      <c r="N236" s="135"/>
      <c r="O236" s="136"/>
      <c r="P236" s="136"/>
      <c r="Q236" s="137"/>
      <c r="R236" s="138"/>
      <c r="S236" s="138"/>
      <c r="T236" s="139"/>
      <c r="U236" s="139"/>
      <c r="V236" s="139"/>
      <c r="W236" s="140"/>
      <c r="X236" s="141"/>
      <c r="Y236" s="140"/>
      <c r="Z236" s="142"/>
      <c r="AA236" s="139"/>
      <c r="AB236" s="139"/>
      <c r="AC236" s="140"/>
      <c r="AD236" s="140"/>
      <c r="AE236" s="140"/>
    </row>
    <row r="237">
      <c r="A237" s="130"/>
      <c r="B237" s="131"/>
      <c r="C237" s="131"/>
      <c r="D237" s="130"/>
      <c r="E237" s="132"/>
      <c r="F237" s="132"/>
      <c r="G237" s="133"/>
      <c r="H237" s="134"/>
      <c r="I237" s="134"/>
      <c r="J237" s="134"/>
      <c r="K237" s="134"/>
      <c r="L237" s="134"/>
      <c r="M237" s="134"/>
      <c r="N237" s="135"/>
      <c r="O237" s="136"/>
      <c r="P237" s="136"/>
      <c r="Q237" s="137"/>
      <c r="R237" s="138"/>
      <c r="S237" s="138"/>
      <c r="T237" s="139"/>
      <c r="U237" s="139"/>
      <c r="V237" s="139"/>
      <c r="W237" s="140"/>
      <c r="X237" s="141"/>
      <c r="Y237" s="140"/>
      <c r="Z237" s="142"/>
      <c r="AA237" s="139"/>
      <c r="AB237" s="139"/>
      <c r="AC237" s="140"/>
      <c r="AD237" s="140"/>
      <c r="AE237" s="140"/>
    </row>
    <row r="238">
      <c r="A238" s="130"/>
      <c r="B238" s="131"/>
      <c r="C238" s="131"/>
      <c r="D238" s="130"/>
      <c r="E238" s="132"/>
      <c r="F238" s="132"/>
      <c r="G238" s="133"/>
      <c r="H238" s="134"/>
      <c r="I238" s="134"/>
      <c r="J238" s="134"/>
      <c r="K238" s="134"/>
      <c r="L238" s="134"/>
      <c r="M238" s="134"/>
      <c r="N238" s="135"/>
      <c r="O238" s="136"/>
      <c r="P238" s="136"/>
      <c r="Q238" s="137"/>
      <c r="R238" s="138"/>
      <c r="S238" s="138"/>
      <c r="T238" s="139"/>
      <c r="U238" s="139"/>
      <c r="V238" s="139"/>
      <c r="W238" s="140"/>
      <c r="X238" s="141"/>
      <c r="Y238" s="140"/>
      <c r="Z238" s="142"/>
      <c r="AA238" s="139"/>
      <c r="AB238" s="139"/>
      <c r="AC238" s="140"/>
      <c r="AD238" s="140"/>
      <c r="AE238" s="140"/>
    </row>
    <row r="239">
      <c r="A239" s="130"/>
      <c r="B239" s="131"/>
      <c r="C239" s="131"/>
      <c r="D239" s="130"/>
      <c r="E239" s="132"/>
      <c r="F239" s="132"/>
      <c r="G239" s="133"/>
      <c r="H239" s="134"/>
      <c r="I239" s="134"/>
      <c r="J239" s="134"/>
      <c r="K239" s="134"/>
      <c r="L239" s="134"/>
      <c r="M239" s="134"/>
      <c r="N239" s="135"/>
      <c r="O239" s="136"/>
      <c r="P239" s="136"/>
      <c r="Q239" s="137"/>
      <c r="R239" s="138"/>
      <c r="S239" s="138"/>
      <c r="T239" s="139"/>
      <c r="U239" s="139"/>
      <c r="V239" s="139"/>
      <c r="W239" s="140"/>
      <c r="X239" s="141"/>
      <c r="Y239" s="140"/>
      <c r="Z239" s="142"/>
      <c r="AA239" s="139"/>
      <c r="AB239" s="139"/>
      <c r="AC239" s="140"/>
      <c r="AD239" s="140"/>
      <c r="AE239" s="140"/>
    </row>
    <row r="240">
      <c r="A240" s="130"/>
      <c r="B240" s="131"/>
      <c r="C240" s="131"/>
      <c r="D240" s="130"/>
      <c r="E240" s="132"/>
      <c r="F240" s="132"/>
      <c r="G240" s="133"/>
      <c r="H240" s="134"/>
      <c r="I240" s="134"/>
      <c r="J240" s="134"/>
      <c r="K240" s="134"/>
      <c r="L240" s="134"/>
      <c r="M240" s="134"/>
      <c r="N240" s="135"/>
      <c r="O240" s="136"/>
      <c r="P240" s="136"/>
      <c r="Q240" s="137"/>
      <c r="R240" s="138"/>
      <c r="S240" s="138"/>
      <c r="T240" s="139"/>
      <c r="U240" s="139"/>
      <c r="V240" s="139"/>
      <c r="W240" s="140"/>
      <c r="X240" s="141"/>
      <c r="Y240" s="140"/>
      <c r="Z240" s="142"/>
      <c r="AA240" s="139"/>
      <c r="AB240" s="139"/>
      <c r="AC240" s="140"/>
      <c r="AD240" s="140"/>
      <c r="AE240" s="140"/>
    </row>
    <row r="241">
      <c r="A241" s="130"/>
      <c r="B241" s="131"/>
      <c r="C241" s="131"/>
      <c r="D241" s="130"/>
      <c r="E241" s="132"/>
      <c r="F241" s="132"/>
      <c r="G241" s="133"/>
      <c r="H241" s="134"/>
      <c r="I241" s="134"/>
      <c r="J241" s="134"/>
      <c r="K241" s="134"/>
      <c r="L241" s="134"/>
      <c r="M241" s="134"/>
      <c r="N241" s="135"/>
      <c r="O241" s="136"/>
      <c r="P241" s="136"/>
      <c r="Q241" s="137"/>
      <c r="R241" s="138"/>
      <c r="S241" s="138"/>
      <c r="T241" s="139"/>
      <c r="U241" s="139"/>
      <c r="V241" s="139"/>
      <c r="W241" s="140"/>
      <c r="X241" s="141"/>
      <c r="Y241" s="140"/>
      <c r="Z241" s="142"/>
      <c r="AA241" s="139"/>
      <c r="AB241" s="139"/>
      <c r="AC241" s="140"/>
      <c r="AD241" s="140"/>
      <c r="AE241" s="140"/>
    </row>
    <row r="242">
      <c r="A242" s="130"/>
      <c r="B242" s="131"/>
      <c r="C242" s="131"/>
      <c r="D242" s="130"/>
      <c r="E242" s="132"/>
      <c r="F242" s="132"/>
      <c r="G242" s="133"/>
      <c r="H242" s="134"/>
      <c r="I242" s="134"/>
      <c r="J242" s="134"/>
      <c r="K242" s="134"/>
      <c r="L242" s="134"/>
      <c r="M242" s="134"/>
      <c r="N242" s="135"/>
      <c r="O242" s="136"/>
      <c r="P242" s="136"/>
      <c r="Q242" s="137"/>
      <c r="R242" s="138"/>
      <c r="S242" s="138"/>
      <c r="T242" s="139"/>
      <c r="U242" s="139"/>
      <c r="V242" s="139"/>
      <c r="W242" s="140"/>
      <c r="X242" s="141"/>
      <c r="Y242" s="140"/>
      <c r="Z242" s="142"/>
      <c r="AA242" s="139"/>
      <c r="AB242" s="139"/>
      <c r="AC242" s="140"/>
      <c r="AD242" s="140"/>
      <c r="AE242" s="140"/>
    </row>
    <row r="243">
      <c r="A243" s="130"/>
      <c r="B243" s="131"/>
      <c r="C243" s="131"/>
      <c r="D243" s="130"/>
      <c r="E243" s="132"/>
      <c r="F243" s="132"/>
      <c r="G243" s="133"/>
      <c r="H243" s="134"/>
      <c r="I243" s="134"/>
      <c r="J243" s="134"/>
      <c r="K243" s="134"/>
      <c r="L243" s="134"/>
      <c r="M243" s="134"/>
      <c r="N243" s="135"/>
      <c r="O243" s="136"/>
      <c r="P243" s="136"/>
      <c r="Q243" s="137"/>
      <c r="R243" s="138"/>
      <c r="S243" s="138"/>
      <c r="T243" s="139"/>
      <c r="U243" s="139"/>
      <c r="V243" s="139"/>
      <c r="W243" s="140"/>
      <c r="X243" s="141"/>
      <c r="Y243" s="140"/>
      <c r="Z243" s="142"/>
      <c r="AA243" s="139"/>
      <c r="AB243" s="139"/>
      <c r="AC243" s="140"/>
      <c r="AD243" s="140"/>
      <c r="AE243" s="140"/>
    </row>
    <row r="244">
      <c r="A244" s="130"/>
      <c r="B244" s="131"/>
      <c r="C244" s="131"/>
      <c r="D244" s="130"/>
      <c r="E244" s="132"/>
      <c r="F244" s="132"/>
      <c r="G244" s="133"/>
      <c r="H244" s="134"/>
      <c r="I244" s="134"/>
      <c r="J244" s="134"/>
      <c r="K244" s="134"/>
      <c r="L244" s="134"/>
      <c r="M244" s="134"/>
      <c r="N244" s="135"/>
      <c r="O244" s="136"/>
      <c r="P244" s="136"/>
      <c r="Q244" s="137"/>
      <c r="R244" s="138"/>
      <c r="S244" s="138"/>
      <c r="T244" s="139"/>
      <c r="U244" s="139"/>
      <c r="V244" s="139"/>
      <c r="W244" s="140"/>
      <c r="X244" s="141"/>
      <c r="Y244" s="140"/>
      <c r="Z244" s="142"/>
      <c r="AA244" s="139"/>
      <c r="AB244" s="139"/>
      <c r="AC244" s="140"/>
      <c r="AD244" s="140"/>
      <c r="AE244" s="140"/>
    </row>
    <row r="245">
      <c r="A245" s="130"/>
      <c r="B245" s="131"/>
      <c r="C245" s="131"/>
      <c r="D245" s="130"/>
      <c r="E245" s="132"/>
      <c r="F245" s="132"/>
      <c r="G245" s="133"/>
      <c r="H245" s="134"/>
      <c r="I245" s="134"/>
      <c r="J245" s="134"/>
      <c r="K245" s="134"/>
      <c r="L245" s="134"/>
      <c r="M245" s="134"/>
      <c r="N245" s="135"/>
      <c r="O245" s="136"/>
      <c r="P245" s="136"/>
      <c r="Q245" s="137"/>
      <c r="R245" s="138"/>
      <c r="S245" s="138"/>
      <c r="T245" s="139"/>
      <c r="U245" s="139"/>
      <c r="V245" s="139"/>
      <c r="W245" s="140"/>
      <c r="X245" s="141"/>
      <c r="Y245" s="140"/>
      <c r="Z245" s="142"/>
      <c r="AA245" s="139"/>
      <c r="AB245" s="139"/>
      <c r="AC245" s="140"/>
      <c r="AD245" s="140"/>
      <c r="AE245" s="140"/>
    </row>
    <row r="246">
      <c r="A246" s="130"/>
      <c r="B246" s="131"/>
      <c r="C246" s="131"/>
      <c r="D246" s="130"/>
      <c r="E246" s="132"/>
      <c r="F246" s="132"/>
      <c r="G246" s="133"/>
      <c r="H246" s="134"/>
      <c r="I246" s="134"/>
      <c r="J246" s="134"/>
      <c r="K246" s="134"/>
      <c r="L246" s="134"/>
      <c r="M246" s="134"/>
      <c r="N246" s="135"/>
      <c r="O246" s="136"/>
      <c r="P246" s="136"/>
      <c r="Q246" s="137"/>
      <c r="R246" s="138"/>
      <c r="S246" s="138"/>
      <c r="T246" s="139"/>
      <c r="U246" s="139"/>
      <c r="V246" s="139"/>
      <c r="W246" s="140"/>
      <c r="X246" s="141"/>
      <c r="Y246" s="140"/>
      <c r="Z246" s="142"/>
      <c r="AA246" s="139"/>
      <c r="AB246" s="139"/>
      <c r="AC246" s="140"/>
      <c r="AD246" s="140"/>
      <c r="AE246" s="140"/>
    </row>
    <row r="247">
      <c r="A247" s="130"/>
      <c r="B247" s="131"/>
      <c r="C247" s="131"/>
      <c r="D247" s="130"/>
      <c r="E247" s="132"/>
      <c r="F247" s="132"/>
      <c r="G247" s="133"/>
      <c r="H247" s="134"/>
      <c r="I247" s="134"/>
      <c r="J247" s="134"/>
      <c r="K247" s="134"/>
      <c r="L247" s="134"/>
      <c r="M247" s="134"/>
      <c r="N247" s="135"/>
      <c r="O247" s="136"/>
      <c r="P247" s="136"/>
      <c r="Q247" s="137"/>
      <c r="R247" s="138"/>
      <c r="S247" s="138"/>
      <c r="T247" s="139"/>
      <c r="U247" s="139"/>
      <c r="V247" s="139"/>
      <c r="W247" s="140"/>
      <c r="X247" s="141"/>
      <c r="Y247" s="140"/>
      <c r="Z247" s="142"/>
      <c r="AA247" s="139"/>
      <c r="AB247" s="139"/>
      <c r="AC247" s="140"/>
      <c r="AD247" s="140"/>
      <c r="AE247" s="140"/>
    </row>
    <row r="248">
      <c r="A248" s="130"/>
      <c r="B248" s="131"/>
      <c r="C248" s="131"/>
      <c r="D248" s="130"/>
      <c r="E248" s="132"/>
      <c r="F248" s="132"/>
      <c r="G248" s="133"/>
      <c r="H248" s="134"/>
      <c r="I248" s="134"/>
      <c r="J248" s="134"/>
      <c r="K248" s="134"/>
      <c r="L248" s="134"/>
      <c r="M248" s="134"/>
      <c r="N248" s="135"/>
      <c r="O248" s="136"/>
      <c r="P248" s="136"/>
      <c r="Q248" s="137"/>
      <c r="R248" s="138"/>
      <c r="S248" s="138"/>
      <c r="T248" s="139"/>
      <c r="U248" s="139"/>
      <c r="V248" s="139"/>
      <c r="W248" s="140"/>
      <c r="X248" s="141"/>
      <c r="Y248" s="140"/>
      <c r="Z248" s="142"/>
      <c r="AA248" s="139"/>
      <c r="AB248" s="139"/>
      <c r="AC248" s="140"/>
      <c r="AD248" s="140"/>
      <c r="AE248" s="140"/>
    </row>
    <row r="249">
      <c r="A249" s="130"/>
      <c r="B249" s="131"/>
      <c r="C249" s="131"/>
      <c r="D249" s="130"/>
      <c r="E249" s="132"/>
      <c r="F249" s="132"/>
      <c r="G249" s="133"/>
      <c r="H249" s="134"/>
      <c r="I249" s="134"/>
      <c r="J249" s="134"/>
      <c r="K249" s="134"/>
      <c r="L249" s="134"/>
      <c r="M249" s="134"/>
      <c r="N249" s="135"/>
      <c r="O249" s="136"/>
      <c r="P249" s="136"/>
      <c r="Q249" s="137"/>
      <c r="R249" s="138"/>
      <c r="S249" s="138"/>
      <c r="T249" s="139"/>
      <c r="U249" s="139"/>
      <c r="V249" s="139"/>
      <c r="W249" s="140"/>
      <c r="X249" s="141"/>
      <c r="Y249" s="140"/>
      <c r="Z249" s="142"/>
      <c r="AA249" s="139"/>
      <c r="AB249" s="139"/>
      <c r="AC249" s="140"/>
      <c r="AD249" s="140"/>
      <c r="AE249" s="140"/>
    </row>
    <row r="250">
      <c r="A250" s="130"/>
      <c r="B250" s="131"/>
      <c r="C250" s="131"/>
      <c r="D250" s="130"/>
      <c r="E250" s="132"/>
      <c r="F250" s="132"/>
      <c r="G250" s="133"/>
      <c r="H250" s="134"/>
      <c r="I250" s="134"/>
      <c r="J250" s="134"/>
      <c r="K250" s="134"/>
      <c r="L250" s="134"/>
      <c r="M250" s="134"/>
      <c r="N250" s="135"/>
      <c r="O250" s="136"/>
      <c r="P250" s="136"/>
      <c r="Q250" s="137"/>
      <c r="R250" s="138"/>
      <c r="S250" s="138"/>
      <c r="T250" s="139"/>
      <c r="U250" s="139"/>
      <c r="V250" s="139"/>
      <c r="W250" s="140"/>
      <c r="X250" s="141"/>
      <c r="Y250" s="140"/>
      <c r="Z250" s="142"/>
      <c r="AA250" s="139"/>
      <c r="AB250" s="139"/>
      <c r="AC250" s="140"/>
      <c r="AD250" s="140"/>
      <c r="AE250" s="140"/>
    </row>
    <row r="251">
      <c r="A251" s="130"/>
      <c r="B251" s="131"/>
      <c r="C251" s="131"/>
      <c r="D251" s="130"/>
      <c r="E251" s="132"/>
      <c r="F251" s="132"/>
      <c r="G251" s="133"/>
      <c r="H251" s="134"/>
      <c r="I251" s="134"/>
      <c r="J251" s="134"/>
      <c r="K251" s="134"/>
      <c r="L251" s="134"/>
      <c r="M251" s="134"/>
      <c r="N251" s="135"/>
      <c r="O251" s="136"/>
      <c r="P251" s="136"/>
      <c r="Q251" s="137"/>
      <c r="R251" s="138"/>
      <c r="S251" s="138"/>
      <c r="T251" s="139"/>
      <c r="U251" s="139"/>
      <c r="V251" s="139"/>
      <c r="W251" s="140"/>
      <c r="X251" s="141"/>
      <c r="Y251" s="140"/>
      <c r="Z251" s="142"/>
      <c r="AA251" s="139"/>
      <c r="AB251" s="139"/>
      <c r="AC251" s="140"/>
      <c r="AD251" s="140"/>
      <c r="AE251" s="140"/>
    </row>
    <row r="252">
      <c r="A252" s="130"/>
      <c r="B252" s="131"/>
      <c r="C252" s="131"/>
      <c r="D252" s="130"/>
      <c r="E252" s="132"/>
      <c r="F252" s="132"/>
      <c r="G252" s="133"/>
      <c r="H252" s="134"/>
      <c r="I252" s="134"/>
      <c r="J252" s="134"/>
      <c r="K252" s="134"/>
      <c r="L252" s="134"/>
      <c r="M252" s="134"/>
      <c r="N252" s="135"/>
      <c r="O252" s="136"/>
      <c r="P252" s="136"/>
      <c r="Q252" s="137"/>
      <c r="R252" s="138"/>
      <c r="S252" s="138"/>
      <c r="T252" s="139"/>
      <c r="U252" s="139"/>
      <c r="V252" s="139"/>
      <c r="W252" s="140"/>
      <c r="X252" s="141"/>
      <c r="Y252" s="140"/>
      <c r="Z252" s="142"/>
      <c r="AA252" s="139"/>
      <c r="AB252" s="139"/>
      <c r="AC252" s="140"/>
      <c r="AD252" s="140"/>
      <c r="AE252" s="140"/>
    </row>
    <row r="253">
      <c r="A253" s="130"/>
      <c r="B253" s="131"/>
      <c r="C253" s="131"/>
      <c r="D253" s="130"/>
      <c r="E253" s="132"/>
      <c r="F253" s="132"/>
      <c r="G253" s="133"/>
      <c r="H253" s="134"/>
      <c r="I253" s="134"/>
      <c r="J253" s="134"/>
      <c r="K253" s="134"/>
      <c r="L253" s="134"/>
      <c r="M253" s="134"/>
      <c r="N253" s="135"/>
      <c r="O253" s="136"/>
      <c r="P253" s="136"/>
      <c r="Q253" s="137"/>
      <c r="R253" s="138"/>
      <c r="S253" s="138"/>
      <c r="T253" s="139"/>
      <c r="U253" s="139"/>
      <c r="V253" s="139"/>
      <c r="W253" s="140"/>
      <c r="X253" s="141"/>
      <c r="Y253" s="140"/>
      <c r="Z253" s="142"/>
      <c r="AA253" s="139"/>
      <c r="AB253" s="139"/>
      <c r="AC253" s="140"/>
      <c r="AD253" s="140"/>
      <c r="AE253" s="140"/>
    </row>
    <row r="254">
      <c r="A254" s="130"/>
      <c r="B254" s="131"/>
      <c r="C254" s="131"/>
      <c r="D254" s="130"/>
      <c r="E254" s="132"/>
      <c r="F254" s="132"/>
      <c r="G254" s="133"/>
      <c r="H254" s="134"/>
      <c r="I254" s="134"/>
      <c r="J254" s="134"/>
      <c r="K254" s="134"/>
      <c r="L254" s="134"/>
      <c r="M254" s="134"/>
      <c r="N254" s="135"/>
      <c r="O254" s="136"/>
      <c r="P254" s="136"/>
      <c r="Q254" s="137"/>
      <c r="R254" s="138"/>
      <c r="S254" s="138"/>
      <c r="T254" s="139"/>
      <c r="U254" s="139"/>
      <c r="V254" s="139"/>
      <c r="W254" s="140"/>
      <c r="X254" s="141"/>
      <c r="Y254" s="140"/>
      <c r="Z254" s="142"/>
      <c r="AA254" s="139"/>
      <c r="AB254" s="139"/>
      <c r="AC254" s="140"/>
      <c r="AD254" s="140"/>
      <c r="AE254" s="140"/>
    </row>
    <row r="255">
      <c r="A255" s="130"/>
      <c r="B255" s="131"/>
      <c r="C255" s="131"/>
      <c r="D255" s="130"/>
      <c r="E255" s="132"/>
      <c r="F255" s="132"/>
      <c r="G255" s="133"/>
      <c r="H255" s="134"/>
      <c r="I255" s="134"/>
      <c r="J255" s="134"/>
      <c r="K255" s="134"/>
      <c r="L255" s="134"/>
      <c r="M255" s="134"/>
      <c r="N255" s="135"/>
      <c r="O255" s="136"/>
      <c r="P255" s="136"/>
      <c r="Q255" s="137"/>
      <c r="R255" s="138"/>
      <c r="S255" s="138"/>
      <c r="T255" s="139"/>
      <c r="U255" s="139"/>
      <c r="V255" s="139"/>
      <c r="W255" s="140"/>
      <c r="X255" s="141"/>
      <c r="Y255" s="140"/>
      <c r="Z255" s="142"/>
      <c r="AA255" s="139"/>
      <c r="AB255" s="139"/>
      <c r="AC255" s="140"/>
      <c r="AD255" s="140"/>
      <c r="AE255" s="140"/>
    </row>
    <row r="256">
      <c r="A256" s="130"/>
      <c r="B256" s="131"/>
      <c r="C256" s="131"/>
      <c r="D256" s="130"/>
      <c r="E256" s="132"/>
      <c r="F256" s="132"/>
      <c r="G256" s="133"/>
      <c r="H256" s="134"/>
      <c r="I256" s="134"/>
      <c r="J256" s="134"/>
      <c r="K256" s="134"/>
      <c r="L256" s="134"/>
      <c r="M256" s="134"/>
      <c r="N256" s="135"/>
      <c r="O256" s="136"/>
      <c r="P256" s="136"/>
      <c r="Q256" s="137"/>
      <c r="R256" s="138"/>
      <c r="S256" s="138"/>
      <c r="T256" s="139"/>
      <c r="U256" s="139"/>
      <c r="V256" s="139"/>
      <c r="W256" s="140"/>
      <c r="X256" s="141"/>
      <c r="Y256" s="140"/>
      <c r="Z256" s="142"/>
      <c r="AA256" s="139"/>
      <c r="AB256" s="139"/>
      <c r="AC256" s="140"/>
      <c r="AD256" s="140"/>
      <c r="AE256" s="140"/>
    </row>
    <row r="257">
      <c r="A257" s="130"/>
      <c r="B257" s="131"/>
      <c r="C257" s="131"/>
      <c r="D257" s="130"/>
      <c r="E257" s="132"/>
      <c r="F257" s="132"/>
      <c r="G257" s="133"/>
      <c r="H257" s="134"/>
      <c r="I257" s="134"/>
      <c r="J257" s="134"/>
      <c r="K257" s="134"/>
      <c r="L257" s="134"/>
      <c r="M257" s="134"/>
      <c r="N257" s="135"/>
      <c r="O257" s="136"/>
      <c r="P257" s="136"/>
      <c r="Q257" s="137"/>
      <c r="R257" s="138"/>
      <c r="S257" s="138"/>
      <c r="T257" s="139"/>
      <c r="U257" s="139"/>
      <c r="V257" s="139"/>
      <c r="W257" s="140"/>
      <c r="X257" s="141"/>
      <c r="Y257" s="140"/>
      <c r="Z257" s="142"/>
      <c r="AA257" s="139"/>
      <c r="AB257" s="139"/>
      <c r="AC257" s="140"/>
      <c r="AD257" s="140"/>
      <c r="AE257" s="140"/>
    </row>
    <row r="258">
      <c r="A258" s="130"/>
      <c r="B258" s="131"/>
      <c r="C258" s="131"/>
      <c r="D258" s="130"/>
      <c r="E258" s="132"/>
      <c r="F258" s="132"/>
      <c r="G258" s="133"/>
      <c r="H258" s="134"/>
      <c r="I258" s="134"/>
      <c r="J258" s="134"/>
      <c r="K258" s="134"/>
      <c r="L258" s="134"/>
      <c r="M258" s="134"/>
      <c r="N258" s="135"/>
      <c r="O258" s="136"/>
      <c r="P258" s="136"/>
      <c r="Q258" s="137"/>
      <c r="R258" s="138"/>
      <c r="S258" s="138"/>
      <c r="T258" s="139"/>
      <c r="U258" s="139"/>
      <c r="V258" s="139"/>
      <c r="W258" s="140"/>
      <c r="X258" s="141"/>
      <c r="Y258" s="140"/>
      <c r="Z258" s="142"/>
      <c r="AA258" s="139"/>
      <c r="AB258" s="139"/>
      <c r="AC258" s="140"/>
      <c r="AD258" s="140"/>
      <c r="AE258" s="140"/>
    </row>
    <row r="259">
      <c r="A259" s="130"/>
      <c r="B259" s="131"/>
      <c r="C259" s="131"/>
      <c r="D259" s="130"/>
      <c r="E259" s="132"/>
      <c r="F259" s="132"/>
      <c r="G259" s="133"/>
      <c r="H259" s="134"/>
      <c r="I259" s="134"/>
      <c r="J259" s="134"/>
      <c r="K259" s="134"/>
      <c r="L259" s="134"/>
      <c r="M259" s="134"/>
      <c r="N259" s="135"/>
      <c r="O259" s="136"/>
      <c r="P259" s="136"/>
      <c r="Q259" s="137"/>
      <c r="R259" s="138"/>
      <c r="S259" s="138"/>
      <c r="T259" s="139"/>
      <c r="U259" s="139"/>
      <c r="V259" s="139"/>
      <c r="W259" s="140"/>
      <c r="X259" s="141"/>
      <c r="Y259" s="140"/>
      <c r="Z259" s="142"/>
      <c r="AA259" s="139"/>
      <c r="AB259" s="139"/>
      <c r="AC259" s="140"/>
      <c r="AD259" s="140"/>
      <c r="AE259" s="140"/>
    </row>
    <row r="260">
      <c r="A260" s="130"/>
      <c r="B260" s="131"/>
      <c r="C260" s="131"/>
      <c r="D260" s="130"/>
      <c r="E260" s="132"/>
      <c r="F260" s="132"/>
      <c r="G260" s="133"/>
      <c r="H260" s="134"/>
      <c r="I260" s="134"/>
      <c r="J260" s="134"/>
      <c r="K260" s="134"/>
      <c r="L260" s="134"/>
      <c r="M260" s="134"/>
      <c r="N260" s="135"/>
      <c r="O260" s="136"/>
      <c r="P260" s="136"/>
      <c r="Q260" s="137"/>
      <c r="R260" s="138"/>
      <c r="S260" s="138"/>
      <c r="T260" s="139"/>
      <c r="U260" s="139"/>
      <c r="V260" s="139"/>
      <c r="W260" s="140"/>
      <c r="X260" s="141"/>
      <c r="Y260" s="140"/>
      <c r="Z260" s="142"/>
      <c r="AA260" s="139"/>
      <c r="AB260" s="139"/>
      <c r="AC260" s="140"/>
      <c r="AD260" s="140"/>
      <c r="AE260" s="140"/>
    </row>
    <row r="261">
      <c r="A261" s="130"/>
      <c r="B261" s="131"/>
      <c r="C261" s="131"/>
      <c r="D261" s="130"/>
      <c r="E261" s="132"/>
      <c r="F261" s="132"/>
      <c r="G261" s="133"/>
      <c r="H261" s="134"/>
      <c r="I261" s="134"/>
      <c r="J261" s="134"/>
      <c r="K261" s="134"/>
      <c r="L261" s="134"/>
      <c r="M261" s="134"/>
      <c r="N261" s="135"/>
      <c r="O261" s="136"/>
      <c r="P261" s="136"/>
      <c r="Q261" s="137"/>
      <c r="R261" s="138"/>
      <c r="S261" s="138"/>
      <c r="T261" s="139"/>
      <c r="U261" s="139"/>
      <c r="V261" s="139"/>
      <c r="W261" s="140"/>
      <c r="X261" s="141"/>
      <c r="Y261" s="140"/>
      <c r="Z261" s="142"/>
      <c r="AA261" s="139"/>
      <c r="AB261" s="139"/>
      <c r="AC261" s="140"/>
      <c r="AD261" s="140"/>
      <c r="AE261" s="140"/>
    </row>
    <row r="262">
      <c r="A262" s="130"/>
      <c r="B262" s="131"/>
      <c r="C262" s="131"/>
      <c r="D262" s="130"/>
      <c r="E262" s="132"/>
      <c r="F262" s="132"/>
      <c r="G262" s="133"/>
      <c r="H262" s="134"/>
      <c r="I262" s="134"/>
      <c r="J262" s="134"/>
      <c r="K262" s="134"/>
      <c r="L262" s="134"/>
      <c r="M262" s="134"/>
      <c r="N262" s="135"/>
      <c r="O262" s="136"/>
      <c r="P262" s="136"/>
      <c r="Q262" s="137"/>
      <c r="R262" s="138"/>
      <c r="S262" s="138"/>
      <c r="T262" s="139"/>
      <c r="U262" s="139"/>
      <c r="V262" s="139"/>
      <c r="W262" s="140"/>
      <c r="X262" s="141"/>
      <c r="Y262" s="140"/>
      <c r="Z262" s="142"/>
      <c r="AA262" s="139"/>
      <c r="AB262" s="139"/>
      <c r="AC262" s="140"/>
      <c r="AD262" s="140"/>
      <c r="AE262" s="140"/>
    </row>
    <row r="263">
      <c r="A263" s="130"/>
      <c r="B263" s="131"/>
      <c r="C263" s="131"/>
      <c r="D263" s="130"/>
      <c r="E263" s="132"/>
      <c r="F263" s="132"/>
      <c r="G263" s="133"/>
      <c r="H263" s="134"/>
      <c r="I263" s="134"/>
      <c r="J263" s="134"/>
      <c r="K263" s="134"/>
      <c r="L263" s="134"/>
      <c r="M263" s="134"/>
      <c r="N263" s="135"/>
      <c r="O263" s="136"/>
      <c r="P263" s="136"/>
      <c r="Q263" s="137"/>
      <c r="R263" s="138"/>
      <c r="S263" s="138"/>
      <c r="T263" s="139"/>
      <c r="U263" s="139"/>
      <c r="V263" s="139"/>
      <c r="W263" s="140"/>
      <c r="X263" s="141"/>
      <c r="Y263" s="140"/>
      <c r="Z263" s="142"/>
      <c r="AA263" s="139"/>
      <c r="AB263" s="139"/>
      <c r="AC263" s="140"/>
      <c r="AD263" s="140"/>
      <c r="AE263" s="140"/>
    </row>
    <row r="264">
      <c r="A264" s="130"/>
      <c r="B264" s="131"/>
      <c r="C264" s="131"/>
      <c r="D264" s="130"/>
      <c r="E264" s="132"/>
      <c r="F264" s="132"/>
      <c r="G264" s="133"/>
      <c r="H264" s="134"/>
      <c r="I264" s="134"/>
      <c r="J264" s="134"/>
      <c r="K264" s="134"/>
      <c r="L264" s="134"/>
      <c r="M264" s="134"/>
      <c r="N264" s="135"/>
      <c r="O264" s="136"/>
      <c r="P264" s="136"/>
      <c r="Q264" s="137"/>
      <c r="R264" s="138"/>
      <c r="S264" s="138"/>
      <c r="T264" s="139"/>
      <c r="U264" s="139"/>
      <c r="V264" s="139"/>
      <c r="W264" s="140"/>
      <c r="X264" s="141"/>
      <c r="Y264" s="140"/>
      <c r="Z264" s="142"/>
      <c r="AA264" s="139"/>
      <c r="AB264" s="139"/>
      <c r="AC264" s="140"/>
      <c r="AD264" s="140"/>
      <c r="AE264" s="140"/>
    </row>
    <row r="265">
      <c r="A265" s="130"/>
      <c r="B265" s="131"/>
      <c r="C265" s="131"/>
      <c r="D265" s="130"/>
      <c r="E265" s="132"/>
      <c r="F265" s="132"/>
      <c r="G265" s="133"/>
      <c r="H265" s="134"/>
      <c r="I265" s="134"/>
      <c r="J265" s="134"/>
      <c r="K265" s="134"/>
      <c r="L265" s="134"/>
      <c r="M265" s="134"/>
      <c r="N265" s="143"/>
      <c r="O265" s="136"/>
      <c r="P265" s="136"/>
      <c r="Q265" s="137"/>
      <c r="R265" s="138"/>
      <c r="S265" s="138"/>
      <c r="T265" s="139"/>
      <c r="U265" s="139"/>
      <c r="V265" s="139"/>
      <c r="W265" s="140"/>
      <c r="X265" s="141"/>
      <c r="Y265" s="140"/>
      <c r="Z265" s="142"/>
      <c r="AA265" s="139"/>
      <c r="AB265" s="139"/>
      <c r="AC265" s="140"/>
      <c r="AD265" s="140"/>
      <c r="AE265" s="140"/>
    </row>
    <row r="266">
      <c r="A266" s="130"/>
      <c r="B266" s="131"/>
      <c r="C266" s="131"/>
      <c r="D266" s="130"/>
      <c r="E266" s="132"/>
      <c r="F266" s="132"/>
      <c r="G266" s="133"/>
      <c r="H266" s="134"/>
      <c r="I266" s="134"/>
      <c r="J266" s="134"/>
      <c r="K266" s="134"/>
      <c r="L266" s="134"/>
      <c r="M266" s="134"/>
      <c r="N266" s="143"/>
      <c r="O266" s="136"/>
      <c r="P266" s="136"/>
      <c r="Q266" s="137"/>
      <c r="R266" s="138"/>
      <c r="S266" s="138"/>
      <c r="T266" s="139"/>
      <c r="U266" s="139"/>
      <c r="V266" s="139"/>
      <c r="W266" s="140"/>
      <c r="X266" s="141"/>
      <c r="Y266" s="140"/>
      <c r="Z266" s="142"/>
      <c r="AA266" s="139"/>
      <c r="AB266" s="139"/>
      <c r="AC266" s="140"/>
      <c r="AD266" s="140"/>
      <c r="AE266" s="140"/>
    </row>
    <row r="267">
      <c r="A267" s="130"/>
      <c r="B267" s="131"/>
      <c r="C267" s="131"/>
      <c r="D267" s="130"/>
      <c r="E267" s="132"/>
      <c r="F267" s="132"/>
      <c r="G267" s="133"/>
      <c r="H267" s="134"/>
      <c r="I267" s="134"/>
      <c r="J267" s="134"/>
      <c r="K267" s="134"/>
      <c r="L267" s="134"/>
      <c r="M267" s="134"/>
      <c r="N267" s="143"/>
      <c r="O267" s="136"/>
      <c r="P267" s="136"/>
      <c r="Q267" s="137"/>
      <c r="R267" s="138"/>
      <c r="S267" s="138"/>
      <c r="T267" s="139"/>
      <c r="U267" s="139"/>
      <c r="V267" s="139"/>
      <c r="W267" s="140"/>
      <c r="X267" s="141"/>
      <c r="Y267" s="140"/>
      <c r="Z267" s="142"/>
      <c r="AA267" s="139"/>
      <c r="AB267" s="139"/>
      <c r="AC267" s="140"/>
      <c r="AD267" s="140"/>
      <c r="AE267" s="140"/>
    </row>
    <row r="268">
      <c r="A268" s="130"/>
      <c r="B268" s="131"/>
      <c r="C268" s="131"/>
      <c r="D268" s="130"/>
      <c r="E268" s="132"/>
      <c r="F268" s="132"/>
      <c r="G268" s="133"/>
      <c r="H268" s="134"/>
      <c r="I268" s="134"/>
      <c r="J268" s="134"/>
      <c r="K268" s="134"/>
      <c r="L268" s="134"/>
      <c r="M268" s="134"/>
      <c r="N268" s="143"/>
      <c r="O268" s="136"/>
      <c r="P268" s="136"/>
      <c r="Q268" s="137"/>
      <c r="R268" s="138"/>
      <c r="S268" s="138"/>
      <c r="T268" s="139"/>
      <c r="U268" s="139"/>
      <c r="V268" s="139"/>
      <c r="W268" s="140"/>
      <c r="X268" s="141"/>
      <c r="Y268" s="140"/>
      <c r="Z268" s="142"/>
      <c r="AA268" s="139"/>
      <c r="AB268" s="139"/>
      <c r="AC268" s="140"/>
      <c r="AD268" s="140"/>
      <c r="AE268" s="140"/>
    </row>
    <row r="269">
      <c r="A269" s="130"/>
      <c r="B269" s="131"/>
      <c r="C269" s="131"/>
      <c r="D269" s="130"/>
      <c r="E269" s="132"/>
      <c r="F269" s="132"/>
      <c r="G269" s="133"/>
      <c r="H269" s="134"/>
      <c r="I269" s="134"/>
      <c r="J269" s="134"/>
      <c r="K269" s="134"/>
      <c r="L269" s="134"/>
      <c r="M269" s="134"/>
      <c r="N269" s="143"/>
      <c r="O269" s="136"/>
      <c r="P269" s="136"/>
      <c r="Q269" s="137"/>
      <c r="R269" s="138"/>
      <c r="S269" s="138"/>
      <c r="T269" s="139"/>
      <c r="U269" s="139"/>
      <c r="V269" s="139"/>
      <c r="W269" s="140"/>
      <c r="X269" s="141"/>
      <c r="Y269" s="140"/>
      <c r="Z269" s="142"/>
      <c r="AA269" s="139"/>
      <c r="AB269" s="139"/>
      <c r="AC269" s="140"/>
      <c r="AD269" s="140"/>
      <c r="AE269" s="140"/>
    </row>
    <row r="270">
      <c r="A270" s="130"/>
      <c r="B270" s="131"/>
      <c r="C270" s="131"/>
      <c r="D270" s="130"/>
      <c r="E270" s="132"/>
      <c r="F270" s="132"/>
      <c r="G270" s="133"/>
      <c r="H270" s="134"/>
      <c r="I270" s="134"/>
      <c r="J270" s="134"/>
      <c r="K270" s="134"/>
      <c r="L270" s="134"/>
      <c r="M270" s="134"/>
      <c r="N270" s="143"/>
      <c r="O270" s="136"/>
      <c r="P270" s="136"/>
      <c r="Q270" s="137"/>
      <c r="R270" s="138"/>
      <c r="S270" s="138"/>
      <c r="T270" s="139"/>
      <c r="U270" s="139"/>
      <c r="V270" s="139"/>
      <c r="W270" s="140"/>
      <c r="X270" s="141"/>
      <c r="Y270" s="140"/>
      <c r="Z270" s="142"/>
      <c r="AA270" s="139"/>
      <c r="AB270" s="139"/>
      <c r="AC270" s="140"/>
      <c r="AD270" s="140"/>
      <c r="AE270" s="140"/>
    </row>
    <row r="271">
      <c r="A271" s="130"/>
      <c r="B271" s="131"/>
      <c r="C271" s="131"/>
      <c r="D271" s="130"/>
      <c r="E271" s="132"/>
      <c r="F271" s="132"/>
      <c r="G271" s="133"/>
      <c r="H271" s="134"/>
      <c r="I271" s="134"/>
      <c r="J271" s="134"/>
      <c r="K271" s="134"/>
      <c r="L271" s="134"/>
      <c r="M271" s="134"/>
      <c r="N271" s="143"/>
      <c r="O271" s="136"/>
      <c r="P271" s="136"/>
      <c r="Q271" s="137"/>
      <c r="R271" s="138"/>
      <c r="S271" s="138"/>
      <c r="T271" s="139"/>
      <c r="U271" s="139"/>
      <c r="V271" s="139"/>
      <c r="W271" s="140"/>
      <c r="X271" s="141"/>
      <c r="Y271" s="140"/>
      <c r="Z271" s="142"/>
      <c r="AA271" s="139"/>
      <c r="AB271" s="139"/>
      <c r="AC271" s="140"/>
      <c r="AD271" s="140"/>
      <c r="AE271" s="140"/>
    </row>
    <row r="272">
      <c r="A272" s="130"/>
      <c r="B272" s="131"/>
      <c r="C272" s="131"/>
      <c r="D272" s="130"/>
      <c r="E272" s="132"/>
      <c r="F272" s="132"/>
      <c r="G272" s="133"/>
      <c r="H272" s="134"/>
      <c r="I272" s="134"/>
      <c r="J272" s="134"/>
      <c r="K272" s="134"/>
      <c r="L272" s="134"/>
      <c r="M272" s="134"/>
      <c r="N272" s="143"/>
      <c r="O272" s="136"/>
      <c r="P272" s="136"/>
      <c r="Q272" s="137"/>
      <c r="R272" s="138"/>
      <c r="S272" s="138"/>
      <c r="T272" s="139"/>
      <c r="U272" s="139"/>
      <c r="V272" s="139"/>
      <c r="W272" s="140"/>
      <c r="X272" s="141"/>
      <c r="Y272" s="140"/>
      <c r="Z272" s="142"/>
      <c r="AA272" s="139"/>
      <c r="AB272" s="139"/>
      <c r="AC272" s="140"/>
      <c r="AD272" s="140"/>
      <c r="AE272" s="140"/>
    </row>
    <row r="273">
      <c r="A273" s="130"/>
      <c r="B273" s="131"/>
      <c r="C273" s="131"/>
      <c r="D273" s="130"/>
      <c r="E273" s="132"/>
      <c r="F273" s="132"/>
      <c r="G273" s="133"/>
      <c r="H273" s="134"/>
      <c r="I273" s="134"/>
      <c r="J273" s="134"/>
      <c r="K273" s="134"/>
      <c r="L273" s="134"/>
      <c r="M273" s="134"/>
      <c r="N273" s="143"/>
      <c r="O273" s="136"/>
      <c r="P273" s="136"/>
      <c r="Q273" s="137"/>
      <c r="R273" s="138"/>
      <c r="S273" s="138"/>
      <c r="T273" s="139"/>
      <c r="U273" s="139"/>
      <c r="V273" s="139"/>
      <c r="W273" s="140"/>
      <c r="X273" s="141"/>
      <c r="Y273" s="140"/>
      <c r="Z273" s="142"/>
      <c r="AA273" s="139"/>
      <c r="AB273" s="139"/>
      <c r="AC273" s="140"/>
      <c r="AD273" s="140"/>
      <c r="AE273" s="140"/>
    </row>
    <row r="274">
      <c r="A274" s="130"/>
      <c r="B274" s="131"/>
      <c r="C274" s="131"/>
      <c r="D274" s="130"/>
      <c r="E274" s="132"/>
      <c r="F274" s="132"/>
      <c r="G274" s="133"/>
      <c r="H274" s="134"/>
      <c r="I274" s="134"/>
      <c r="J274" s="134"/>
      <c r="K274" s="134"/>
      <c r="L274" s="134"/>
      <c r="M274" s="134"/>
      <c r="N274" s="143"/>
      <c r="O274" s="136"/>
      <c r="P274" s="136"/>
      <c r="Q274" s="137"/>
      <c r="R274" s="138"/>
      <c r="S274" s="138"/>
      <c r="T274" s="139"/>
      <c r="U274" s="139"/>
      <c r="V274" s="139"/>
      <c r="W274" s="140"/>
      <c r="X274" s="141"/>
      <c r="Y274" s="140"/>
      <c r="Z274" s="142"/>
      <c r="AA274" s="139"/>
      <c r="AB274" s="139"/>
      <c r="AC274" s="140"/>
      <c r="AD274" s="140"/>
      <c r="AE274" s="140"/>
    </row>
    <row r="275">
      <c r="A275" s="130"/>
      <c r="B275" s="131"/>
      <c r="C275" s="131"/>
      <c r="D275" s="130"/>
      <c r="E275" s="132"/>
      <c r="F275" s="132"/>
      <c r="G275" s="133"/>
      <c r="H275" s="134"/>
      <c r="I275" s="134"/>
      <c r="J275" s="134"/>
      <c r="K275" s="134"/>
      <c r="L275" s="134"/>
      <c r="M275" s="134"/>
      <c r="N275" s="143"/>
      <c r="O275" s="136"/>
      <c r="P275" s="136"/>
      <c r="Q275" s="137"/>
      <c r="R275" s="138"/>
      <c r="S275" s="138"/>
      <c r="T275" s="139"/>
      <c r="U275" s="139"/>
      <c r="V275" s="139"/>
      <c r="W275" s="140"/>
      <c r="X275" s="141"/>
      <c r="Y275" s="140"/>
      <c r="Z275" s="142"/>
      <c r="AA275" s="139"/>
      <c r="AB275" s="139"/>
      <c r="AC275" s="140"/>
      <c r="AD275" s="140"/>
      <c r="AE275" s="140"/>
    </row>
    <row r="276">
      <c r="A276" s="130"/>
      <c r="B276" s="131"/>
      <c r="C276" s="131"/>
      <c r="D276" s="130"/>
      <c r="E276" s="132"/>
      <c r="F276" s="132"/>
      <c r="G276" s="133"/>
      <c r="H276" s="134"/>
      <c r="I276" s="134"/>
      <c r="J276" s="134"/>
      <c r="K276" s="134"/>
      <c r="L276" s="134"/>
      <c r="M276" s="134"/>
      <c r="N276" s="143"/>
      <c r="O276" s="136"/>
      <c r="P276" s="136"/>
      <c r="Q276" s="137"/>
      <c r="R276" s="138"/>
      <c r="S276" s="138"/>
      <c r="T276" s="139"/>
      <c r="U276" s="139"/>
      <c r="V276" s="139"/>
      <c r="W276" s="140"/>
      <c r="X276" s="141"/>
      <c r="Y276" s="140"/>
      <c r="Z276" s="142"/>
      <c r="AA276" s="139"/>
      <c r="AB276" s="139"/>
      <c r="AC276" s="140"/>
      <c r="AD276" s="140"/>
      <c r="AE276" s="140"/>
    </row>
    <row r="277">
      <c r="A277" s="130"/>
      <c r="B277" s="131"/>
      <c r="C277" s="131"/>
      <c r="D277" s="130"/>
      <c r="E277" s="132"/>
      <c r="F277" s="132"/>
      <c r="G277" s="133"/>
      <c r="H277" s="134"/>
      <c r="I277" s="134"/>
      <c r="J277" s="134"/>
      <c r="K277" s="134"/>
      <c r="L277" s="134"/>
      <c r="M277" s="134"/>
      <c r="N277" s="143"/>
      <c r="O277" s="136"/>
      <c r="P277" s="136"/>
      <c r="Q277" s="137"/>
      <c r="R277" s="138"/>
      <c r="S277" s="138"/>
      <c r="T277" s="139"/>
      <c r="U277" s="139"/>
      <c r="V277" s="139"/>
      <c r="W277" s="140"/>
      <c r="X277" s="141"/>
      <c r="Y277" s="140"/>
      <c r="Z277" s="142"/>
      <c r="AA277" s="139"/>
      <c r="AB277" s="139"/>
      <c r="AC277" s="140"/>
      <c r="AD277" s="140"/>
      <c r="AE277" s="140"/>
    </row>
    <row r="278">
      <c r="A278" s="130"/>
      <c r="B278" s="131"/>
      <c r="C278" s="131"/>
      <c r="D278" s="130"/>
      <c r="E278" s="132"/>
      <c r="F278" s="132"/>
      <c r="G278" s="133"/>
      <c r="H278" s="134"/>
      <c r="I278" s="134"/>
      <c r="J278" s="134"/>
      <c r="K278" s="134"/>
      <c r="L278" s="134"/>
      <c r="M278" s="134"/>
      <c r="N278" s="143"/>
      <c r="O278" s="136"/>
      <c r="P278" s="136"/>
      <c r="Q278" s="137"/>
      <c r="R278" s="138"/>
      <c r="S278" s="138"/>
      <c r="T278" s="139"/>
      <c r="U278" s="139"/>
      <c r="V278" s="139"/>
      <c r="W278" s="140"/>
      <c r="X278" s="141"/>
      <c r="Y278" s="140"/>
      <c r="Z278" s="142"/>
      <c r="AA278" s="139"/>
      <c r="AB278" s="139"/>
      <c r="AC278" s="140"/>
      <c r="AD278" s="140"/>
      <c r="AE278" s="140"/>
    </row>
    <row r="279">
      <c r="A279" s="130"/>
      <c r="B279" s="131"/>
      <c r="C279" s="131"/>
      <c r="D279" s="130"/>
      <c r="E279" s="132"/>
      <c r="F279" s="132"/>
      <c r="G279" s="133"/>
      <c r="H279" s="134"/>
      <c r="I279" s="134"/>
      <c r="J279" s="134"/>
      <c r="K279" s="134"/>
      <c r="L279" s="134"/>
      <c r="M279" s="134"/>
      <c r="N279" s="143"/>
      <c r="O279" s="136"/>
      <c r="P279" s="136"/>
      <c r="Q279" s="137"/>
      <c r="R279" s="138"/>
      <c r="S279" s="138"/>
      <c r="T279" s="139"/>
      <c r="U279" s="139"/>
      <c r="V279" s="139"/>
      <c r="W279" s="140"/>
      <c r="X279" s="141"/>
      <c r="Y279" s="140"/>
      <c r="Z279" s="142"/>
      <c r="AA279" s="139"/>
      <c r="AB279" s="139"/>
      <c r="AC279" s="140"/>
      <c r="AD279" s="140"/>
      <c r="AE279" s="140"/>
    </row>
    <row r="280">
      <c r="A280" s="130"/>
      <c r="B280" s="131"/>
      <c r="C280" s="131"/>
      <c r="D280" s="130"/>
      <c r="E280" s="132"/>
      <c r="F280" s="132"/>
      <c r="G280" s="133"/>
      <c r="H280" s="134"/>
      <c r="I280" s="134"/>
      <c r="J280" s="134"/>
      <c r="K280" s="134"/>
      <c r="L280" s="134"/>
      <c r="M280" s="134"/>
      <c r="N280" s="143"/>
      <c r="O280" s="136"/>
      <c r="P280" s="136"/>
      <c r="Q280" s="137"/>
      <c r="R280" s="138"/>
      <c r="S280" s="138"/>
      <c r="T280" s="139"/>
      <c r="U280" s="139"/>
      <c r="V280" s="139"/>
      <c r="W280" s="140"/>
      <c r="X280" s="141"/>
      <c r="Y280" s="140"/>
      <c r="Z280" s="142"/>
      <c r="AA280" s="139"/>
      <c r="AB280" s="139"/>
      <c r="AC280" s="140"/>
      <c r="AD280" s="140"/>
      <c r="AE280" s="140"/>
    </row>
    <row r="281">
      <c r="A281" s="130"/>
      <c r="B281" s="131"/>
      <c r="C281" s="131"/>
      <c r="D281" s="130"/>
      <c r="E281" s="132"/>
      <c r="F281" s="132"/>
      <c r="G281" s="133"/>
      <c r="H281" s="134"/>
      <c r="I281" s="134"/>
      <c r="J281" s="134"/>
      <c r="K281" s="134"/>
      <c r="L281" s="134"/>
      <c r="M281" s="134"/>
      <c r="N281" s="143"/>
      <c r="O281" s="136"/>
      <c r="P281" s="136"/>
      <c r="Q281" s="137"/>
      <c r="R281" s="138"/>
      <c r="S281" s="138"/>
      <c r="T281" s="139"/>
      <c r="U281" s="139"/>
      <c r="V281" s="139"/>
      <c r="W281" s="140"/>
      <c r="X281" s="141"/>
      <c r="Y281" s="140"/>
      <c r="Z281" s="142"/>
      <c r="AA281" s="139"/>
      <c r="AB281" s="139"/>
      <c r="AC281" s="140"/>
      <c r="AD281" s="140"/>
      <c r="AE281" s="140"/>
    </row>
    <row r="282">
      <c r="A282" s="130"/>
      <c r="B282" s="131"/>
      <c r="C282" s="131"/>
      <c r="D282" s="130"/>
      <c r="E282" s="132"/>
      <c r="F282" s="132"/>
      <c r="G282" s="133"/>
      <c r="H282" s="134"/>
      <c r="I282" s="134"/>
      <c r="J282" s="134"/>
      <c r="K282" s="134"/>
      <c r="L282" s="134"/>
      <c r="M282" s="134"/>
      <c r="N282" s="143"/>
      <c r="O282" s="136"/>
      <c r="P282" s="136"/>
      <c r="Q282" s="137"/>
      <c r="R282" s="138"/>
      <c r="S282" s="138"/>
      <c r="T282" s="139"/>
      <c r="U282" s="139"/>
      <c r="V282" s="139"/>
      <c r="W282" s="140"/>
      <c r="X282" s="141"/>
      <c r="Y282" s="140"/>
      <c r="Z282" s="142"/>
      <c r="AA282" s="139"/>
      <c r="AB282" s="139"/>
      <c r="AC282" s="140"/>
      <c r="AD282" s="140"/>
      <c r="AE282" s="140"/>
    </row>
    <row r="283">
      <c r="A283" s="130"/>
      <c r="B283" s="131"/>
      <c r="C283" s="131"/>
      <c r="D283" s="130"/>
      <c r="E283" s="132"/>
      <c r="F283" s="132"/>
      <c r="G283" s="133"/>
      <c r="H283" s="134"/>
      <c r="I283" s="134"/>
      <c r="J283" s="134"/>
      <c r="K283" s="134"/>
      <c r="L283" s="134"/>
      <c r="M283" s="134"/>
      <c r="N283" s="143"/>
      <c r="O283" s="136"/>
      <c r="P283" s="136"/>
      <c r="Q283" s="137"/>
      <c r="R283" s="138"/>
      <c r="S283" s="138"/>
      <c r="T283" s="139"/>
      <c r="U283" s="139"/>
      <c r="V283" s="139"/>
      <c r="W283" s="140"/>
      <c r="X283" s="141"/>
      <c r="Y283" s="140"/>
      <c r="Z283" s="142"/>
      <c r="AA283" s="139"/>
      <c r="AB283" s="139"/>
      <c r="AC283" s="140"/>
      <c r="AD283" s="140"/>
      <c r="AE283" s="140"/>
    </row>
    <row r="284">
      <c r="A284" s="130"/>
      <c r="B284" s="131"/>
      <c r="C284" s="131"/>
      <c r="D284" s="130"/>
      <c r="E284" s="132"/>
      <c r="F284" s="132"/>
      <c r="G284" s="133"/>
      <c r="H284" s="134"/>
      <c r="I284" s="134"/>
      <c r="J284" s="134"/>
      <c r="K284" s="134"/>
      <c r="L284" s="134"/>
      <c r="M284" s="134"/>
      <c r="N284" s="143"/>
      <c r="O284" s="136"/>
      <c r="P284" s="136"/>
      <c r="Q284" s="137"/>
      <c r="R284" s="138"/>
      <c r="S284" s="138"/>
      <c r="T284" s="139"/>
      <c r="U284" s="139"/>
      <c r="V284" s="139"/>
      <c r="W284" s="140"/>
      <c r="X284" s="141"/>
      <c r="Y284" s="140"/>
      <c r="Z284" s="142"/>
      <c r="AA284" s="139"/>
      <c r="AB284" s="139"/>
      <c r="AC284" s="140"/>
      <c r="AD284" s="140"/>
      <c r="AE284" s="140"/>
    </row>
    <row r="285">
      <c r="A285" s="130"/>
      <c r="B285" s="131"/>
      <c r="C285" s="131"/>
      <c r="D285" s="130"/>
      <c r="E285" s="132"/>
      <c r="F285" s="132"/>
      <c r="G285" s="133"/>
      <c r="H285" s="134"/>
      <c r="I285" s="134"/>
      <c r="J285" s="134"/>
      <c r="K285" s="134"/>
      <c r="L285" s="134"/>
      <c r="M285" s="134"/>
      <c r="N285" s="143"/>
      <c r="O285" s="136"/>
      <c r="P285" s="136"/>
      <c r="Q285" s="137"/>
      <c r="R285" s="138"/>
      <c r="S285" s="138"/>
      <c r="T285" s="139"/>
      <c r="U285" s="139"/>
      <c r="V285" s="139"/>
      <c r="W285" s="140"/>
      <c r="X285" s="141"/>
      <c r="Y285" s="140"/>
      <c r="Z285" s="142"/>
      <c r="AA285" s="139"/>
      <c r="AB285" s="139"/>
      <c r="AC285" s="140"/>
      <c r="AD285" s="140"/>
      <c r="AE285" s="140"/>
    </row>
    <row r="286">
      <c r="A286" s="130"/>
      <c r="B286" s="131"/>
      <c r="C286" s="131"/>
      <c r="D286" s="130"/>
      <c r="E286" s="132"/>
      <c r="F286" s="132"/>
      <c r="G286" s="133"/>
      <c r="H286" s="134"/>
      <c r="I286" s="134"/>
      <c r="J286" s="134"/>
      <c r="K286" s="134"/>
      <c r="L286" s="134"/>
      <c r="M286" s="134"/>
      <c r="N286" s="143"/>
      <c r="O286" s="136"/>
      <c r="P286" s="136"/>
      <c r="Q286" s="137"/>
      <c r="R286" s="138"/>
      <c r="S286" s="138"/>
      <c r="T286" s="139"/>
      <c r="U286" s="139"/>
      <c r="V286" s="139"/>
      <c r="W286" s="140"/>
      <c r="X286" s="141"/>
      <c r="Y286" s="140"/>
      <c r="Z286" s="142"/>
      <c r="AA286" s="139"/>
      <c r="AB286" s="139"/>
      <c r="AC286" s="140"/>
      <c r="AD286" s="140"/>
      <c r="AE286" s="140"/>
    </row>
    <row r="287">
      <c r="A287" s="130"/>
      <c r="B287" s="131"/>
      <c r="C287" s="131"/>
      <c r="D287" s="130"/>
      <c r="E287" s="132"/>
      <c r="F287" s="132"/>
      <c r="G287" s="133"/>
      <c r="H287" s="134"/>
      <c r="I287" s="134"/>
      <c r="J287" s="134"/>
      <c r="K287" s="134"/>
      <c r="L287" s="134"/>
      <c r="M287" s="134"/>
      <c r="N287" s="143"/>
      <c r="O287" s="136"/>
      <c r="P287" s="136"/>
      <c r="Q287" s="137"/>
      <c r="R287" s="138"/>
      <c r="S287" s="138"/>
      <c r="T287" s="139"/>
      <c r="U287" s="139"/>
      <c r="V287" s="139"/>
      <c r="W287" s="140"/>
      <c r="X287" s="141"/>
      <c r="Y287" s="140"/>
      <c r="Z287" s="142"/>
      <c r="AA287" s="139"/>
      <c r="AB287" s="139"/>
      <c r="AC287" s="140"/>
      <c r="AD287" s="140"/>
      <c r="AE287" s="140"/>
    </row>
    <row r="288">
      <c r="A288" s="130"/>
      <c r="B288" s="131"/>
      <c r="C288" s="131"/>
      <c r="D288" s="130"/>
      <c r="E288" s="132"/>
      <c r="F288" s="132"/>
      <c r="G288" s="133"/>
      <c r="H288" s="134"/>
      <c r="I288" s="134"/>
      <c r="J288" s="134"/>
      <c r="K288" s="134"/>
      <c r="L288" s="134"/>
      <c r="M288" s="134"/>
      <c r="N288" s="143"/>
      <c r="O288" s="136"/>
      <c r="P288" s="136"/>
      <c r="Q288" s="137"/>
      <c r="R288" s="138"/>
      <c r="S288" s="138"/>
      <c r="T288" s="139"/>
      <c r="U288" s="139"/>
      <c r="V288" s="139"/>
      <c r="W288" s="140"/>
      <c r="X288" s="141"/>
      <c r="Y288" s="140"/>
      <c r="Z288" s="142"/>
      <c r="AA288" s="139"/>
      <c r="AB288" s="139"/>
      <c r="AC288" s="140"/>
      <c r="AD288" s="140"/>
      <c r="AE288" s="140"/>
    </row>
    <row r="289">
      <c r="A289" s="130"/>
      <c r="B289" s="131"/>
      <c r="C289" s="131"/>
      <c r="D289" s="130"/>
      <c r="E289" s="132"/>
      <c r="F289" s="132"/>
      <c r="G289" s="133"/>
      <c r="H289" s="134"/>
      <c r="I289" s="134"/>
      <c r="J289" s="134"/>
      <c r="K289" s="134"/>
      <c r="L289" s="134"/>
      <c r="M289" s="134"/>
      <c r="N289" s="143"/>
      <c r="O289" s="136"/>
      <c r="P289" s="136"/>
      <c r="Q289" s="137"/>
      <c r="R289" s="138"/>
      <c r="S289" s="138"/>
      <c r="T289" s="139"/>
      <c r="U289" s="139"/>
      <c r="V289" s="139"/>
      <c r="W289" s="140"/>
      <c r="X289" s="141"/>
      <c r="Y289" s="140"/>
      <c r="Z289" s="142"/>
      <c r="AA289" s="139"/>
      <c r="AB289" s="139"/>
      <c r="AC289" s="140"/>
      <c r="AD289" s="140"/>
      <c r="AE289" s="140"/>
    </row>
    <row r="290">
      <c r="A290" s="130"/>
      <c r="B290" s="131"/>
      <c r="C290" s="131"/>
      <c r="D290" s="130"/>
      <c r="E290" s="132"/>
      <c r="F290" s="132"/>
      <c r="G290" s="133"/>
      <c r="H290" s="134"/>
      <c r="I290" s="134"/>
      <c r="J290" s="134"/>
      <c r="K290" s="134"/>
      <c r="L290" s="134"/>
      <c r="M290" s="134"/>
      <c r="N290" s="143"/>
      <c r="O290" s="136"/>
      <c r="P290" s="136"/>
      <c r="Q290" s="137"/>
      <c r="R290" s="138"/>
      <c r="S290" s="138"/>
      <c r="T290" s="139"/>
      <c r="U290" s="139"/>
      <c r="V290" s="139"/>
      <c r="W290" s="140"/>
      <c r="X290" s="141"/>
      <c r="Y290" s="140"/>
      <c r="Z290" s="142"/>
      <c r="AA290" s="139"/>
      <c r="AB290" s="139"/>
      <c r="AC290" s="140"/>
      <c r="AD290" s="140"/>
      <c r="AE290" s="140"/>
    </row>
    <row r="291">
      <c r="A291" s="130"/>
      <c r="B291" s="131"/>
      <c r="C291" s="131"/>
      <c r="D291" s="130"/>
      <c r="E291" s="132"/>
      <c r="F291" s="132"/>
      <c r="G291" s="133"/>
      <c r="H291" s="134"/>
      <c r="I291" s="134"/>
      <c r="J291" s="134"/>
      <c r="K291" s="134"/>
      <c r="L291" s="134"/>
      <c r="M291" s="134"/>
      <c r="N291" s="143"/>
      <c r="O291" s="136"/>
      <c r="P291" s="136"/>
      <c r="Q291" s="137"/>
      <c r="R291" s="138"/>
      <c r="S291" s="138"/>
      <c r="T291" s="139"/>
      <c r="U291" s="139"/>
      <c r="V291" s="139"/>
      <c r="W291" s="140"/>
      <c r="X291" s="141"/>
      <c r="Y291" s="140"/>
      <c r="Z291" s="142"/>
      <c r="AA291" s="139"/>
      <c r="AB291" s="139"/>
      <c r="AC291" s="140"/>
      <c r="AD291" s="140"/>
      <c r="AE291" s="140"/>
    </row>
    <row r="292">
      <c r="A292" s="130"/>
      <c r="B292" s="131"/>
      <c r="C292" s="131"/>
      <c r="D292" s="130"/>
      <c r="E292" s="132"/>
      <c r="F292" s="132"/>
      <c r="G292" s="133"/>
      <c r="H292" s="134"/>
      <c r="I292" s="134"/>
      <c r="J292" s="134"/>
      <c r="K292" s="134"/>
      <c r="L292" s="134"/>
      <c r="M292" s="134"/>
      <c r="N292" s="143"/>
      <c r="O292" s="136"/>
      <c r="P292" s="136"/>
      <c r="Q292" s="137"/>
      <c r="R292" s="138"/>
      <c r="S292" s="138"/>
      <c r="T292" s="139"/>
      <c r="U292" s="139"/>
      <c r="V292" s="139"/>
      <c r="W292" s="140"/>
      <c r="X292" s="141"/>
      <c r="Y292" s="140"/>
      <c r="Z292" s="142"/>
      <c r="AA292" s="139"/>
      <c r="AB292" s="139"/>
      <c r="AC292" s="140"/>
      <c r="AD292" s="140"/>
      <c r="AE292" s="140"/>
    </row>
    <row r="293">
      <c r="A293" s="130"/>
      <c r="B293" s="131"/>
      <c r="C293" s="131"/>
      <c r="D293" s="130"/>
      <c r="E293" s="132"/>
      <c r="F293" s="132"/>
      <c r="G293" s="133"/>
      <c r="H293" s="134"/>
      <c r="I293" s="134"/>
      <c r="J293" s="134"/>
      <c r="K293" s="134"/>
      <c r="L293" s="134"/>
      <c r="M293" s="134"/>
      <c r="N293" s="143"/>
      <c r="O293" s="136"/>
      <c r="P293" s="136"/>
      <c r="Q293" s="137"/>
      <c r="R293" s="138"/>
      <c r="S293" s="138"/>
      <c r="T293" s="139"/>
      <c r="U293" s="139"/>
      <c r="V293" s="139"/>
      <c r="W293" s="140"/>
      <c r="X293" s="141"/>
      <c r="Y293" s="140"/>
      <c r="Z293" s="142"/>
      <c r="AA293" s="139"/>
      <c r="AB293" s="139"/>
      <c r="AC293" s="140"/>
      <c r="AD293" s="140"/>
      <c r="AE293" s="140"/>
    </row>
    <row r="294">
      <c r="A294" s="130"/>
      <c r="B294" s="131"/>
      <c r="C294" s="131"/>
      <c r="D294" s="130"/>
      <c r="E294" s="132"/>
      <c r="F294" s="132"/>
      <c r="G294" s="133"/>
      <c r="H294" s="134"/>
      <c r="I294" s="134"/>
      <c r="J294" s="134"/>
      <c r="K294" s="134"/>
      <c r="L294" s="134"/>
      <c r="M294" s="134"/>
      <c r="N294" s="143"/>
      <c r="O294" s="136"/>
      <c r="P294" s="136"/>
      <c r="Q294" s="137"/>
      <c r="R294" s="138"/>
      <c r="S294" s="138"/>
      <c r="T294" s="139"/>
      <c r="U294" s="139"/>
      <c r="V294" s="139"/>
      <c r="W294" s="140"/>
      <c r="X294" s="141"/>
      <c r="Y294" s="140"/>
      <c r="Z294" s="142"/>
      <c r="AA294" s="139"/>
      <c r="AB294" s="139"/>
      <c r="AC294" s="140"/>
      <c r="AD294" s="140"/>
      <c r="AE294" s="140"/>
    </row>
    <row r="295">
      <c r="A295" s="130"/>
      <c r="B295" s="131"/>
      <c r="C295" s="131"/>
      <c r="D295" s="130"/>
      <c r="E295" s="132"/>
      <c r="F295" s="132"/>
      <c r="G295" s="133"/>
      <c r="H295" s="134"/>
      <c r="I295" s="134"/>
      <c r="J295" s="134"/>
      <c r="K295" s="134"/>
      <c r="L295" s="134"/>
      <c r="M295" s="134"/>
      <c r="N295" s="143"/>
      <c r="O295" s="136"/>
      <c r="P295" s="136"/>
      <c r="Q295" s="137"/>
      <c r="R295" s="138"/>
      <c r="S295" s="138"/>
      <c r="T295" s="139"/>
      <c r="U295" s="139"/>
      <c r="V295" s="139"/>
      <c r="W295" s="140"/>
      <c r="X295" s="141"/>
      <c r="Y295" s="140"/>
      <c r="Z295" s="142"/>
      <c r="AA295" s="139"/>
      <c r="AB295" s="139"/>
      <c r="AC295" s="140"/>
      <c r="AD295" s="140"/>
      <c r="AE295" s="140"/>
    </row>
    <row r="296">
      <c r="A296" s="130"/>
      <c r="B296" s="131"/>
      <c r="C296" s="131"/>
      <c r="D296" s="130"/>
      <c r="E296" s="132"/>
      <c r="F296" s="132"/>
      <c r="G296" s="133"/>
      <c r="H296" s="134"/>
      <c r="I296" s="134"/>
      <c r="J296" s="134"/>
      <c r="K296" s="134"/>
      <c r="L296" s="134"/>
      <c r="M296" s="134"/>
      <c r="N296" s="143"/>
      <c r="O296" s="136"/>
      <c r="P296" s="136"/>
      <c r="Q296" s="137"/>
      <c r="R296" s="138"/>
      <c r="S296" s="138"/>
      <c r="T296" s="139"/>
      <c r="U296" s="139"/>
      <c r="V296" s="139"/>
      <c r="W296" s="140"/>
      <c r="X296" s="141"/>
      <c r="Y296" s="140"/>
      <c r="Z296" s="142"/>
      <c r="AA296" s="139"/>
      <c r="AB296" s="139"/>
      <c r="AC296" s="140"/>
      <c r="AD296" s="140"/>
      <c r="AE296" s="140"/>
    </row>
    <row r="297">
      <c r="A297" s="130"/>
      <c r="B297" s="131"/>
      <c r="C297" s="131"/>
      <c r="D297" s="130"/>
      <c r="E297" s="132"/>
      <c r="F297" s="132"/>
      <c r="G297" s="133"/>
      <c r="H297" s="134"/>
      <c r="I297" s="134"/>
      <c r="J297" s="134"/>
      <c r="K297" s="134"/>
      <c r="L297" s="134"/>
      <c r="M297" s="134"/>
      <c r="N297" s="143"/>
      <c r="O297" s="136"/>
      <c r="P297" s="136"/>
      <c r="Q297" s="137"/>
      <c r="R297" s="138"/>
      <c r="S297" s="138"/>
      <c r="T297" s="139"/>
      <c r="U297" s="139"/>
      <c r="V297" s="139"/>
      <c r="W297" s="140"/>
      <c r="X297" s="141"/>
      <c r="Y297" s="140"/>
      <c r="Z297" s="142"/>
      <c r="AA297" s="139"/>
      <c r="AB297" s="139"/>
      <c r="AC297" s="140"/>
      <c r="AD297" s="140"/>
      <c r="AE297" s="140"/>
    </row>
    <row r="298">
      <c r="A298" s="130"/>
      <c r="B298" s="131"/>
      <c r="C298" s="131"/>
      <c r="D298" s="130"/>
      <c r="E298" s="132"/>
      <c r="F298" s="132"/>
      <c r="G298" s="133"/>
      <c r="H298" s="134"/>
      <c r="I298" s="134"/>
      <c r="J298" s="134"/>
      <c r="K298" s="134"/>
      <c r="L298" s="134"/>
      <c r="M298" s="134"/>
      <c r="N298" s="143"/>
      <c r="O298" s="136"/>
      <c r="P298" s="136"/>
      <c r="Q298" s="137"/>
      <c r="R298" s="138"/>
      <c r="S298" s="138"/>
      <c r="T298" s="139"/>
      <c r="U298" s="139"/>
      <c r="V298" s="139"/>
      <c r="W298" s="140"/>
      <c r="X298" s="141"/>
      <c r="Y298" s="140"/>
      <c r="Z298" s="142"/>
      <c r="AA298" s="139"/>
      <c r="AB298" s="139"/>
      <c r="AC298" s="140"/>
      <c r="AD298" s="140"/>
      <c r="AE298" s="140"/>
    </row>
    <row r="299">
      <c r="A299" s="130"/>
      <c r="B299" s="131"/>
      <c r="C299" s="131"/>
      <c r="D299" s="130"/>
      <c r="E299" s="132"/>
      <c r="F299" s="132"/>
      <c r="G299" s="133"/>
      <c r="H299" s="134"/>
      <c r="I299" s="134"/>
      <c r="J299" s="134"/>
      <c r="K299" s="134"/>
      <c r="L299" s="134"/>
      <c r="M299" s="134"/>
      <c r="N299" s="143"/>
      <c r="O299" s="136"/>
      <c r="P299" s="136"/>
      <c r="Q299" s="137"/>
      <c r="R299" s="138"/>
      <c r="S299" s="138"/>
      <c r="T299" s="139"/>
      <c r="U299" s="139"/>
      <c r="V299" s="139"/>
      <c r="W299" s="140"/>
      <c r="X299" s="141"/>
      <c r="Y299" s="140"/>
      <c r="Z299" s="142"/>
      <c r="AA299" s="139"/>
      <c r="AB299" s="139"/>
      <c r="AC299" s="140"/>
      <c r="AD299" s="140"/>
      <c r="AE299" s="140"/>
    </row>
    <row r="300">
      <c r="A300" s="130"/>
      <c r="B300" s="131"/>
      <c r="C300" s="131"/>
      <c r="D300" s="130"/>
      <c r="E300" s="132"/>
      <c r="F300" s="132"/>
      <c r="G300" s="133"/>
      <c r="H300" s="134"/>
      <c r="I300" s="134"/>
      <c r="J300" s="134"/>
      <c r="K300" s="134"/>
      <c r="L300" s="134"/>
      <c r="M300" s="134"/>
      <c r="N300" s="143"/>
      <c r="O300" s="136"/>
      <c r="P300" s="136"/>
      <c r="Q300" s="137"/>
      <c r="R300" s="138"/>
      <c r="S300" s="138"/>
      <c r="T300" s="139"/>
      <c r="U300" s="139"/>
      <c r="V300" s="139"/>
      <c r="W300" s="140"/>
      <c r="X300" s="141"/>
      <c r="Y300" s="140"/>
      <c r="Z300" s="142"/>
      <c r="AA300" s="139"/>
      <c r="AB300" s="139"/>
      <c r="AC300" s="140"/>
      <c r="AD300" s="140"/>
      <c r="AE300" s="140"/>
    </row>
    <row r="301">
      <c r="A301" s="130"/>
      <c r="B301" s="131"/>
      <c r="C301" s="131"/>
      <c r="D301" s="130"/>
      <c r="E301" s="132"/>
      <c r="F301" s="132"/>
      <c r="G301" s="133"/>
      <c r="H301" s="134"/>
      <c r="I301" s="134"/>
      <c r="J301" s="134"/>
      <c r="K301" s="134"/>
      <c r="L301" s="134"/>
      <c r="M301" s="134"/>
      <c r="N301" s="143"/>
      <c r="O301" s="136"/>
      <c r="P301" s="136"/>
      <c r="Q301" s="137"/>
      <c r="R301" s="138"/>
      <c r="S301" s="138"/>
      <c r="T301" s="139"/>
      <c r="U301" s="139"/>
      <c r="V301" s="139"/>
      <c r="W301" s="140"/>
      <c r="X301" s="141"/>
      <c r="Y301" s="140"/>
      <c r="Z301" s="142"/>
      <c r="AA301" s="139"/>
      <c r="AB301" s="139"/>
      <c r="AC301" s="140"/>
      <c r="AD301" s="140"/>
      <c r="AE301" s="140"/>
    </row>
    <row r="302">
      <c r="A302" s="130"/>
      <c r="B302" s="131"/>
      <c r="C302" s="131"/>
      <c r="D302" s="130"/>
      <c r="E302" s="132"/>
      <c r="F302" s="132"/>
      <c r="G302" s="133"/>
      <c r="H302" s="134"/>
      <c r="I302" s="134"/>
      <c r="J302" s="134"/>
      <c r="K302" s="134"/>
      <c r="L302" s="134"/>
      <c r="M302" s="134"/>
      <c r="N302" s="143"/>
      <c r="O302" s="136"/>
      <c r="P302" s="136"/>
      <c r="Q302" s="137"/>
      <c r="R302" s="138"/>
      <c r="S302" s="138"/>
      <c r="T302" s="139"/>
      <c r="U302" s="139"/>
      <c r="V302" s="139"/>
      <c r="W302" s="140"/>
      <c r="X302" s="141"/>
      <c r="Y302" s="140"/>
      <c r="Z302" s="142"/>
      <c r="AA302" s="139"/>
      <c r="AB302" s="139"/>
      <c r="AC302" s="140"/>
      <c r="AD302" s="140"/>
      <c r="AE302" s="140"/>
    </row>
    <row r="303">
      <c r="A303" s="130"/>
      <c r="B303" s="131"/>
      <c r="C303" s="131"/>
      <c r="D303" s="130"/>
      <c r="E303" s="132"/>
      <c r="F303" s="132"/>
      <c r="G303" s="133"/>
      <c r="H303" s="134"/>
      <c r="I303" s="134"/>
      <c r="J303" s="134"/>
      <c r="K303" s="134"/>
      <c r="L303" s="134"/>
      <c r="M303" s="134"/>
      <c r="N303" s="143"/>
      <c r="O303" s="136"/>
      <c r="P303" s="136"/>
      <c r="Q303" s="137"/>
      <c r="R303" s="138"/>
      <c r="S303" s="138"/>
      <c r="T303" s="139"/>
      <c r="U303" s="139"/>
      <c r="V303" s="139"/>
      <c r="W303" s="140"/>
      <c r="X303" s="141"/>
      <c r="Y303" s="140"/>
      <c r="Z303" s="142"/>
      <c r="AA303" s="139"/>
      <c r="AB303" s="139"/>
      <c r="AC303" s="140"/>
      <c r="AD303" s="140"/>
      <c r="AE303" s="140"/>
    </row>
    <row r="304">
      <c r="A304" s="130"/>
      <c r="B304" s="131"/>
      <c r="C304" s="131"/>
      <c r="D304" s="130"/>
      <c r="E304" s="132"/>
      <c r="F304" s="132"/>
      <c r="G304" s="133"/>
      <c r="H304" s="134"/>
      <c r="I304" s="134"/>
      <c r="J304" s="134"/>
      <c r="K304" s="134"/>
      <c r="L304" s="134"/>
      <c r="M304" s="134"/>
      <c r="N304" s="143"/>
      <c r="O304" s="136"/>
      <c r="P304" s="136"/>
      <c r="Q304" s="137"/>
      <c r="R304" s="138"/>
      <c r="S304" s="138"/>
      <c r="T304" s="139"/>
      <c r="U304" s="139"/>
      <c r="V304" s="139"/>
      <c r="W304" s="140"/>
      <c r="X304" s="141"/>
      <c r="Y304" s="140"/>
      <c r="Z304" s="142"/>
      <c r="AA304" s="139"/>
      <c r="AB304" s="139"/>
      <c r="AC304" s="140"/>
      <c r="AD304" s="140"/>
      <c r="AE304" s="140"/>
    </row>
    <row r="305">
      <c r="A305" s="130"/>
      <c r="B305" s="131"/>
      <c r="C305" s="131"/>
      <c r="D305" s="130"/>
      <c r="E305" s="132"/>
      <c r="F305" s="132"/>
      <c r="G305" s="133"/>
      <c r="H305" s="134"/>
      <c r="I305" s="134"/>
      <c r="J305" s="134"/>
      <c r="K305" s="134"/>
      <c r="L305" s="134"/>
      <c r="M305" s="134"/>
      <c r="N305" s="143"/>
      <c r="O305" s="136"/>
      <c r="P305" s="136"/>
      <c r="Q305" s="137"/>
      <c r="R305" s="138"/>
      <c r="S305" s="138"/>
      <c r="T305" s="139"/>
      <c r="U305" s="139"/>
      <c r="V305" s="139"/>
      <c r="W305" s="140"/>
      <c r="X305" s="141"/>
      <c r="Y305" s="140"/>
      <c r="Z305" s="142"/>
      <c r="AA305" s="139"/>
      <c r="AB305" s="139"/>
      <c r="AC305" s="140"/>
      <c r="AD305" s="140"/>
      <c r="AE305" s="140"/>
    </row>
    <row r="306">
      <c r="A306" s="130"/>
      <c r="B306" s="131"/>
      <c r="C306" s="131"/>
      <c r="D306" s="130"/>
      <c r="E306" s="132"/>
      <c r="F306" s="132"/>
      <c r="G306" s="133"/>
      <c r="H306" s="134"/>
      <c r="I306" s="134"/>
      <c r="J306" s="134"/>
      <c r="K306" s="134"/>
      <c r="L306" s="134"/>
      <c r="M306" s="134"/>
      <c r="N306" s="143"/>
      <c r="O306" s="136"/>
      <c r="P306" s="136"/>
      <c r="Q306" s="137"/>
      <c r="R306" s="138"/>
      <c r="S306" s="138"/>
      <c r="T306" s="139"/>
      <c r="U306" s="139"/>
      <c r="V306" s="139"/>
      <c r="W306" s="140"/>
      <c r="X306" s="141"/>
      <c r="Y306" s="140"/>
      <c r="Z306" s="142"/>
      <c r="AA306" s="139"/>
      <c r="AB306" s="139"/>
      <c r="AC306" s="140"/>
      <c r="AD306" s="140"/>
      <c r="AE306" s="140"/>
    </row>
    <row r="307">
      <c r="A307" s="130"/>
      <c r="B307" s="131"/>
      <c r="C307" s="131"/>
      <c r="D307" s="130"/>
      <c r="E307" s="132"/>
      <c r="F307" s="132"/>
      <c r="G307" s="133"/>
      <c r="H307" s="134"/>
      <c r="I307" s="134"/>
      <c r="J307" s="134"/>
      <c r="K307" s="134"/>
      <c r="L307" s="134"/>
      <c r="M307" s="134"/>
      <c r="N307" s="143"/>
      <c r="O307" s="136"/>
      <c r="P307" s="136"/>
      <c r="Q307" s="137"/>
      <c r="R307" s="138"/>
      <c r="S307" s="138"/>
      <c r="T307" s="139"/>
      <c r="U307" s="139"/>
      <c r="V307" s="139"/>
      <c r="W307" s="140"/>
      <c r="X307" s="141"/>
      <c r="Y307" s="140"/>
      <c r="Z307" s="142"/>
      <c r="AA307" s="139"/>
      <c r="AB307" s="139"/>
      <c r="AC307" s="140"/>
      <c r="AD307" s="140"/>
      <c r="AE307" s="140"/>
    </row>
    <row r="308">
      <c r="A308" s="130"/>
      <c r="B308" s="131"/>
      <c r="C308" s="131"/>
      <c r="D308" s="130"/>
      <c r="E308" s="132"/>
      <c r="F308" s="132"/>
      <c r="G308" s="133"/>
      <c r="H308" s="134"/>
      <c r="I308" s="134"/>
      <c r="J308" s="134"/>
      <c r="K308" s="134"/>
      <c r="L308" s="134"/>
      <c r="M308" s="134"/>
      <c r="N308" s="143"/>
      <c r="O308" s="136"/>
      <c r="P308" s="136"/>
      <c r="Q308" s="137"/>
      <c r="R308" s="138"/>
      <c r="S308" s="138"/>
      <c r="T308" s="139"/>
      <c r="U308" s="139"/>
      <c r="V308" s="139"/>
      <c r="W308" s="140"/>
      <c r="X308" s="141"/>
      <c r="Y308" s="140"/>
      <c r="Z308" s="142"/>
      <c r="AA308" s="139"/>
      <c r="AB308" s="139"/>
      <c r="AC308" s="140"/>
      <c r="AD308" s="140"/>
      <c r="AE308" s="140"/>
    </row>
    <row r="309">
      <c r="A309" s="130"/>
      <c r="B309" s="131"/>
      <c r="C309" s="131"/>
      <c r="D309" s="130"/>
      <c r="E309" s="132"/>
      <c r="F309" s="132"/>
      <c r="G309" s="133"/>
      <c r="H309" s="134"/>
      <c r="I309" s="134"/>
      <c r="J309" s="134"/>
      <c r="K309" s="134"/>
      <c r="L309" s="134"/>
      <c r="M309" s="134"/>
      <c r="N309" s="143"/>
      <c r="O309" s="136"/>
      <c r="P309" s="136"/>
      <c r="Q309" s="137"/>
      <c r="R309" s="138"/>
      <c r="S309" s="138"/>
      <c r="T309" s="139"/>
      <c r="U309" s="139"/>
      <c r="V309" s="139"/>
      <c r="W309" s="140"/>
      <c r="X309" s="141"/>
      <c r="Y309" s="140"/>
      <c r="Z309" s="142"/>
      <c r="AA309" s="139"/>
      <c r="AB309" s="139"/>
      <c r="AC309" s="140"/>
      <c r="AD309" s="140"/>
      <c r="AE309" s="140"/>
    </row>
    <row r="310">
      <c r="A310" s="130"/>
      <c r="B310" s="131"/>
      <c r="C310" s="131"/>
      <c r="D310" s="130"/>
      <c r="E310" s="132"/>
      <c r="F310" s="132"/>
      <c r="G310" s="133"/>
      <c r="H310" s="134"/>
      <c r="I310" s="134"/>
      <c r="J310" s="134"/>
      <c r="K310" s="134"/>
      <c r="L310" s="134"/>
      <c r="M310" s="134"/>
      <c r="N310" s="143"/>
      <c r="O310" s="136"/>
      <c r="P310" s="136"/>
      <c r="Q310" s="137"/>
      <c r="R310" s="138"/>
      <c r="S310" s="138"/>
      <c r="T310" s="139"/>
      <c r="U310" s="139"/>
      <c r="V310" s="139"/>
      <c r="W310" s="140"/>
      <c r="X310" s="141"/>
      <c r="Y310" s="140"/>
      <c r="Z310" s="142"/>
      <c r="AA310" s="139"/>
      <c r="AB310" s="139"/>
      <c r="AC310" s="140"/>
      <c r="AD310" s="140"/>
      <c r="AE310" s="140"/>
    </row>
    <row r="311">
      <c r="A311" s="130"/>
      <c r="B311" s="131"/>
      <c r="C311" s="131"/>
      <c r="D311" s="130"/>
      <c r="E311" s="132"/>
      <c r="F311" s="132"/>
      <c r="G311" s="133"/>
      <c r="H311" s="134"/>
      <c r="I311" s="134"/>
      <c r="J311" s="134"/>
      <c r="K311" s="134"/>
      <c r="L311" s="134"/>
      <c r="M311" s="134"/>
      <c r="N311" s="143"/>
      <c r="O311" s="136"/>
      <c r="P311" s="136"/>
      <c r="Q311" s="137"/>
      <c r="R311" s="138"/>
      <c r="S311" s="138"/>
      <c r="T311" s="139"/>
      <c r="U311" s="139"/>
      <c r="V311" s="139"/>
      <c r="W311" s="140"/>
      <c r="X311" s="141"/>
      <c r="Y311" s="140"/>
      <c r="Z311" s="142"/>
      <c r="AA311" s="139"/>
      <c r="AB311" s="139"/>
      <c r="AC311" s="140"/>
      <c r="AD311" s="140"/>
      <c r="AE311" s="140"/>
    </row>
    <row r="312">
      <c r="A312" s="130"/>
      <c r="B312" s="131"/>
      <c r="C312" s="131"/>
      <c r="D312" s="130"/>
      <c r="E312" s="132"/>
      <c r="F312" s="132"/>
      <c r="G312" s="133"/>
      <c r="H312" s="134"/>
      <c r="I312" s="134"/>
      <c r="J312" s="134"/>
      <c r="K312" s="134"/>
      <c r="L312" s="134"/>
      <c r="M312" s="134"/>
      <c r="N312" s="143"/>
      <c r="O312" s="136"/>
      <c r="P312" s="136"/>
      <c r="Q312" s="137"/>
      <c r="R312" s="138"/>
      <c r="S312" s="138"/>
      <c r="T312" s="139"/>
      <c r="U312" s="139"/>
      <c r="V312" s="139"/>
      <c r="W312" s="140"/>
      <c r="X312" s="141"/>
      <c r="Y312" s="140"/>
      <c r="Z312" s="142"/>
      <c r="AA312" s="139"/>
      <c r="AB312" s="139"/>
      <c r="AC312" s="140"/>
      <c r="AD312" s="140"/>
      <c r="AE312" s="140"/>
    </row>
    <row r="313">
      <c r="A313" s="130"/>
      <c r="B313" s="131"/>
      <c r="C313" s="131"/>
      <c r="D313" s="130"/>
      <c r="E313" s="132"/>
      <c r="F313" s="132"/>
      <c r="G313" s="133"/>
      <c r="H313" s="134"/>
      <c r="I313" s="134"/>
      <c r="J313" s="134"/>
      <c r="K313" s="134"/>
      <c r="L313" s="134"/>
      <c r="M313" s="134"/>
      <c r="N313" s="143"/>
      <c r="O313" s="136"/>
      <c r="P313" s="136"/>
      <c r="Q313" s="137"/>
      <c r="R313" s="138"/>
      <c r="S313" s="138"/>
      <c r="T313" s="139"/>
      <c r="U313" s="139"/>
      <c r="V313" s="139"/>
      <c r="W313" s="140"/>
      <c r="X313" s="141"/>
      <c r="Y313" s="140"/>
      <c r="Z313" s="142"/>
      <c r="AA313" s="139"/>
      <c r="AB313" s="139"/>
      <c r="AC313" s="140"/>
      <c r="AD313" s="140"/>
      <c r="AE313" s="140"/>
    </row>
    <row r="314">
      <c r="A314" s="130"/>
      <c r="B314" s="131"/>
      <c r="C314" s="131"/>
      <c r="D314" s="130"/>
      <c r="E314" s="132"/>
      <c r="F314" s="132"/>
      <c r="G314" s="133"/>
      <c r="H314" s="134"/>
      <c r="I314" s="134"/>
      <c r="J314" s="134"/>
      <c r="K314" s="134"/>
      <c r="L314" s="134"/>
      <c r="M314" s="134"/>
      <c r="N314" s="143"/>
      <c r="O314" s="136"/>
      <c r="P314" s="136"/>
      <c r="Q314" s="137"/>
      <c r="R314" s="138"/>
      <c r="S314" s="138"/>
      <c r="T314" s="139"/>
      <c r="U314" s="139"/>
      <c r="V314" s="139"/>
      <c r="W314" s="140"/>
      <c r="X314" s="141"/>
      <c r="Y314" s="140"/>
      <c r="Z314" s="142"/>
      <c r="AA314" s="139"/>
      <c r="AB314" s="139"/>
      <c r="AC314" s="140"/>
      <c r="AD314" s="140"/>
      <c r="AE314" s="140"/>
    </row>
    <row r="315">
      <c r="A315" s="130"/>
      <c r="B315" s="131"/>
      <c r="C315" s="131"/>
      <c r="D315" s="130"/>
      <c r="E315" s="132"/>
      <c r="F315" s="132"/>
      <c r="G315" s="133"/>
      <c r="H315" s="134"/>
      <c r="I315" s="134"/>
      <c r="J315" s="134"/>
      <c r="K315" s="134"/>
      <c r="L315" s="134"/>
      <c r="M315" s="134"/>
      <c r="N315" s="143"/>
      <c r="O315" s="136"/>
      <c r="P315" s="136"/>
      <c r="Q315" s="137"/>
      <c r="R315" s="138"/>
      <c r="S315" s="138"/>
      <c r="T315" s="139"/>
      <c r="U315" s="139"/>
      <c r="V315" s="139"/>
      <c r="W315" s="140"/>
      <c r="X315" s="141"/>
      <c r="Y315" s="140"/>
      <c r="Z315" s="142"/>
      <c r="AA315" s="139"/>
      <c r="AB315" s="139"/>
      <c r="AC315" s="140"/>
      <c r="AD315" s="140"/>
      <c r="AE315" s="140"/>
    </row>
    <row r="316">
      <c r="A316" s="130"/>
      <c r="B316" s="131"/>
      <c r="C316" s="131"/>
      <c r="D316" s="130"/>
      <c r="E316" s="132"/>
      <c r="F316" s="132"/>
      <c r="G316" s="133"/>
      <c r="H316" s="134"/>
      <c r="I316" s="134"/>
      <c r="J316" s="134"/>
      <c r="K316" s="134"/>
      <c r="L316" s="134"/>
      <c r="M316" s="134"/>
      <c r="N316" s="143"/>
      <c r="O316" s="136"/>
      <c r="P316" s="136"/>
      <c r="Q316" s="137"/>
      <c r="R316" s="138"/>
      <c r="S316" s="138"/>
      <c r="T316" s="139"/>
      <c r="U316" s="139"/>
      <c r="V316" s="139"/>
      <c r="W316" s="140"/>
      <c r="X316" s="141"/>
      <c r="Y316" s="140"/>
      <c r="Z316" s="142"/>
      <c r="AA316" s="139"/>
      <c r="AB316" s="139"/>
      <c r="AC316" s="140"/>
      <c r="AD316" s="140"/>
      <c r="AE316" s="140"/>
    </row>
    <row r="317">
      <c r="A317" s="130"/>
      <c r="B317" s="131"/>
      <c r="C317" s="131"/>
      <c r="D317" s="130"/>
      <c r="E317" s="132"/>
      <c r="F317" s="132"/>
      <c r="G317" s="133"/>
      <c r="H317" s="134"/>
      <c r="I317" s="134"/>
      <c r="J317" s="134"/>
      <c r="K317" s="134"/>
      <c r="L317" s="134"/>
      <c r="M317" s="134"/>
      <c r="N317" s="143"/>
      <c r="O317" s="136"/>
      <c r="P317" s="136"/>
      <c r="Q317" s="137"/>
      <c r="R317" s="138"/>
      <c r="S317" s="138"/>
      <c r="T317" s="139"/>
      <c r="U317" s="139"/>
      <c r="V317" s="139"/>
      <c r="W317" s="140"/>
      <c r="X317" s="141"/>
      <c r="Y317" s="140"/>
      <c r="Z317" s="142"/>
      <c r="AA317" s="139"/>
      <c r="AB317" s="139"/>
      <c r="AC317" s="140"/>
      <c r="AD317" s="140"/>
      <c r="AE317" s="140"/>
    </row>
    <row r="318">
      <c r="A318" s="130"/>
      <c r="B318" s="131"/>
      <c r="C318" s="131"/>
      <c r="D318" s="130"/>
      <c r="E318" s="132"/>
      <c r="F318" s="132"/>
      <c r="G318" s="133"/>
      <c r="H318" s="134"/>
      <c r="I318" s="134"/>
      <c r="J318" s="134"/>
      <c r="K318" s="134"/>
      <c r="L318" s="134"/>
      <c r="M318" s="134"/>
      <c r="N318" s="143"/>
      <c r="O318" s="136"/>
      <c r="P318" s="136"/>
      <c r="Q318" s="137"/>
      <c r="R318" s="138"/>
      <c r="S318" s="138"/>
      <c r="T318" s="139"/>
      <c r="U318" s="139"/>
      <c r="V318" s="139"/>
      <c r="W318" s="140"/>
      <c r="X318" s="141"/>
      <c r="Y318" s="140"/>
      <c r="Z318" s="142"/>
      <c r="AA318" s="139"/>
      <c r="AB318" s="139"/>
      <c r="AC318" s="140"/>
      <c r="AD318" s="140"/>
      <c r="AE318" s="140"/>
    </row>
    <row r="319">
      <c r="A319" s="130"/>
      <c r="B319" s="131"/>
      <c r="C319" s="131"/>
      <c r="D319" s="130"/>
      <c r="E319" s="132"/>
      <c r="F319" s="132"/>
      <c r="G319" s="133"/>
      <c r="H319" s="134"/>
      <c r="I319" s="134"/>
      <c r="J319" s="134"/>
      <c r="K319" s="134"/>
      <c r="L319" s="134"/>
      <c r="M319" s="134"/>
      <c r="N319" s="143"/>
      <c r="O319" s="136"/>
      <c r="P319" s="136"/>
      <c r="Q319" s="137"/>
      <c r="R319" s="138"/>
      <c r="S319" s="138"/>
      <c r="T319" s="139"/>
      <c r="U319" s="139"/>
      <c r="V319" s="139"/>
      <c r="W319" s="140"/>
      <c r="X319" s="141"/>
      <c r="Y319" s="140"/>
      <c r="Z319" s="142"/>
      <c r="AA319" s="139"/>
      <c r="AB319" s="139"/>
      <c r="AC319" s="140"/>
      <c r="AD319" s="140"/>
      <c r="AE319" s="140"/>
    </row>
    <row r="320">
      <c r="A320" s="130"/>
      <c r="B320" s="131"/>
      <c r="C320" s="131"/>
      <c r="D320" s="130"/>
      <c r="E320" s="132"/>
      <c r="F320" s="132"/>
      <c r="G320" s="133"/>
      <c r="H320" s="134"/>
      <c r="I320" s="134"/>
      <c r="J320" s="134"/>
      <c r="K320" s="134"/>
      <c r="L320" s="134"/>
      <c r="M320" s="134"/>
      <c r="N320" s="143"/>
      <c r="O320" s="136"/>
      <c r="P320" s="136"/>
      <c r="Q320" s="137"/>
      <c r="R320" s="138"/>
      <c r="S320" s="138"/>
      <c r="T320" s="139"/>
      <c r="U320" s="139"/>
      <c r="V320" s="139"/>
      <c r="W320" s="140"/>
      <c r="X320" s="141"/>
      <c r="Y320" s="140"/>
      <c r="Z320" s="142"/>
      <c r="AA320" s="139"/>
      <c r="AB320" s="139"/>
      <c r="AC320" s="140"/>
      <c r="AD320" s="140"/>
      <c r="AE320" s="140"/>
    </row>
    <row r="321">
      <c r="A321" s="130"/>
      <c r="B321" s="131"/>
      <c r="C321" s="131"/>
      <c r="D321" s="130"/>
      <c r="E321" s="132"/>
      <c r="F321" s="132"/>
      <c r="G321" s="133"/>
      <c r="H321" s="134"/>
      <c r="I321" s="134"/>
      <c r="J321" s="134"/>
      <c r="K321" s="134"/>
      <c r="L321" s="134"/>
      <c r="M321" s="134"/>
      <c r="N321" s="143"/>
      <c r="O321" s="136"/>
      <c r="P321" s="136"/>
      <c r="Q321" s="137"/>
      <c r="R321" s="138"/>
      <c r="S321" s="138"/>
      <c r="T321" s="139"/>
      <c r="U321" s="139"/>
      <c r="V321" s="139"/>
      <c r="W321" s="140"/>
      <c r="X321" s="141"/>
      <c r="Y321" s="140"/>
      <c r="Z321" s="142"/>
      <c r="AA321" s="139"/>
      <c r="AB321" s="139"/>
      <c r="AC321" s="140"/>
      <c r="AD321" s="140"/>
      <c r="AE321" s="140"/>
    </row>
    <row r="322">
      <c r="A322" s="130"/>
      <c r="B322" s="131"/>
      <c r="C322" s="131"/>
      <c r="D322" s="130"/>
      <c r="E322" s="132"/>
      <c r="F322" s="132"/>
      <c r="G322" s="133"/>
      <c r="H322" s="134"/>
      <c r="I322" s="134"/>
      <c r="J322" s="134"/>
      <c r="K322" s="134"/>
      <c r="L322" s="134"/>
      <c r="M322" s="134"/>
      <c r="N322" s="143"/>
      <c r="O322" s="136"/>
      <c r="P322" s="136"/>
      <c r="Q322" s="137"/>
      <c r="R322" s="138"/>
      <c r="S322" s="138"/>
      <c r="T322" s="139"/>
      <c r="U322" s="139"/>
      <c r="V322" s="139"/>
      <c r="W322" s="140"/>
      <c r="X322" s="141"/>
      <c r="Y322" s="140"/>
      <c r="Z322" s="142"/>
      <c r="AA322" s="139"/>
      <c r="AB322" s="139"/>
      <c r="AC322" s="140"/>
      <c r="AD322" s="140"/>
      <c r="AE322" s="140"/>
    </row>
    <row r="323">
      <c r="A323" s="130"/>
      <c r="B323" s="131"/>
      <c r="C323" s="131"/>
      <c r="D323" s="130"/>
      <c r="E323" s="132"/>
      <c r="F323" s="132"/>
      <c r="G323" s="133"/>
      <c r="H323" s="134"/>
      <c r="I323" s="134"/>
      <c r="J323" s="134"/>
      <c r="K323" s="134"/>
      <c r="L323" s="134"/>
      <c r="M323" s="134"/>
      <c r="N323" s="143"/>
      <c r="O323" s="136"/>
      <c r="P323" s="136"/>
      <c r="Q323" s="137"/>
      <c r="R323" s="138"/>
      <c r="S323" s="138"/>
      <c r="T323" s="139"/>
      <c r="U323" s="139"/>
      <c r="V323" s="139"/>
      <c r="W323" s="140"/>
      <c r="X323" s="141"/>
      <c r="Y323" s="140"/>
      <c r="Z323" s="142"/>
      <c r="AA323" s="139"/>
      <c r="AB323" s="139"/>
      <c r="AC323" s="140"/>
      <c r="AD323" s="140"/>
      <c r="AE323" s="140"/>
    </row>
    <row r="324">
      <c r="A324" s="130"/>
      <c r="B324" s="131"/>
      <c r="C324" s="131"/>
      <c r="D324" s="130"/>
      <c r="E324" s="132"/>
      <c r="F324" s="132"/>
      <c r="G324" s="133"/>
      <c r="H324" s="134"/>
      <c r="I324" s="134"/>
      <c r="J324" s="134"/>
      <c r="K324" s="134"/>
      <c r="L324" s="134"/>
      <c r="M324" s="134"/>
      <c r="N324" s="143"/>
      <c r="O324" s="136"/>
      <c r="P324" s="136"/>
      <c r="Q324" s="137"/>
      <c r="R324" s="138"/>
      <c r="S324" s="138"/>
      <c r="T324" s="139"/>
      <c r="U324" s="139"/>
      <c r="V324" s="139"/>
      <c r="W324" s="140"/>
      <c r="X324" s="141"/>
      <c r="Y324" s="140"/>
      <c r="Z324" s="142"/>
      <c r="AA324" s="139"/>
      <c r="AB324" s="139"/>
      <c r="AC324" s="140"/>
      <c r="AD324" s="140"/>
      <c r="AE324" s="140"/>
    </row>
    <row r="325">
      <c r="A325" s="130"/>
      <c r="B325" s="131"/>
      <c r="C325" s="131"/>
      <c r="D325" s="130"/>
      <c r="E325" s="132"/>
      <c r="F325" s="132"/>
      <c r="G325" s="133"/>
      <c r="H325" s="134"/>
      <c r="I325" s="134"/>
      <c r="J325" s="134"/>
      <c r="K325" s="134"/>
      <c r="L325" s="134"/>
      <c r="M325" s="134"/>
      <c r="N325" s="143"/>
      <c r="O325" s="136"/>
      <c r="P325" s="136"/>
      <c r="Q325" s="137"/>
      <c r="R325" s="138"/>
      <c r="S325" s="138"/>
      <c r="T325" s="139"/>
      <c r="U325" s="139"/>
      <c r="V325" s="139"/>
      <c r="W325" s="140"/>
      <c r="X325" s="141"/>
      <c r="Y325" s="140"/>
      <c r="Z325" s="142"/>
      <c r="AA325" s="139"/>
      <c r="AB325" s="139"/>
      <c r="AC325" s="140"/>
      <c r="AD325" s="140"/>
      <c r="AE325" s="140"/>
    </row>
    <row r="326">
      <c r="A326" s="130"/>
      <c r="B326" s="131"/>
      <c r="C326" s="131"/>
      <c r="D326" s="130"/>
      <c r="E326" s="132"/>
      <c r="F326" s="132"/>
      <c r="G326" s="133"/>
      <c r="H326" s="134"/>
      <c r="I326" s="134"/>
      <c r="J326" s="134"/>
      <c r="K326" s="134"/>
      <c r="L326" s="134"/>
      <c r="M326" s="134"/>
      <c r="N326" s="143"/>
      <c r="O326" s="136"/>
      <c r="P326" s="136"/>
      <c r="Q326" s="137"/>
      <c r="R326" s="138"/>
      <c r="S326" s="138"/>
      <c r="T326" s="139"/>
      <c r="U326" s="139"/>
      <c r="V326" s="139"/>
      <c r="W326" s="140"/>
      <c r="X326" s="141"/>
      <c r="Y326" s="140"/>
      <c r="Z326" s="142"/>
      <c r="AA326" s="139"/>
      <c r="AB326" s="139"/>
      <c r="AC326" s="140"/>
      <c r="AD326" s="140"/>
      <c r="AE326" s="140"/>
    </row>
    <row r="327">
      <c r="A327" s="130"/>
      <c r="B327" s="131"/>
      <c r="C327" s="131"/>
      <c r="D327" s="130"/>
      <c r="E327" s="132"/>
      <c r="F327" s="132"/>
      <c r="G327" s="133"/>
      <c r="H327" s="134"/>
      <c r="I327" s="134"/>
      <c r="J327" s="134"/>
      <c r="K327" s="134"/>
      <c r="L327" s="134"/>
      <c r="M327" s="134"/>
      <c r="N327" s="143"/>
      <c r="O327" s="136"/>
      <c r="P327" s="136"/>
      <c r="Q327" s="137"/>
      <c r="R327" s="138"/>
      <c r="S327" s="138"/>
      <c r="T327" s="139"/>
      <c r="U327" s="139"/>
      <c r="V327" s="139"/>
      <c r="W327" s="140"/>
      <c r="X327" s="141"/>
      <c r="Y327" s="140"/>
      <c r="Z327" s="142"/>
      <c r="AA327" s="139"/>
      <c r="AB327" s="139"/>
      <c r="AC327" s="140"/>
      <c r="AD327" s="140"/>
      <c r="AE327" s="140"/>
    </row>
    <row r="328">
      <c r="A328" s="130"/>
      <c r="B328" s="131"/>
      <c r="C328" s="131"/>
      <c r="D328" s="130"/>
      <c r="E328" s="132"/>
      <c r="F328" s="132"/>
      <c r="G328" s="133"/>
      <c r="H328" s="134"/>
      <c r="I328" s="134"/>
      <c r="J328" s="134"/>
      <c r="K328" s="134"/>
      <c r="L328" s="134"/>
      <c r="M328" s="134"/>
      <c r="N328" s="143"/>
      <c r="O328" s="136"/>
      <c r="P328" s="136"/>
      <c r="Q328" s="137"/>
      <c r="R328" s="138"/>
      <c r="S328" s="138"/>
      <c r="T328" s="139"/>
      <c r="U328" s="139"/>
      <c r="V328" s="139"/>
      <c r="W328" s="140"/>
      <c r="X328" s="141"/>
      <c r="Y328" s="140"/>
      <c r="Z328" s="142"/>
      <c r="AA328" s="139"/>
      <c r="AB328" s="139"/>
      <c r="AC328" s="140"/>
      <c r="AD328" s="140"/>
      <c r="AE328" s="140"/>
    </row>
    <row r="329">
      <c r="A329" s="130"/>
      <c r="B329" s="131"/>
      <c r="C329" s="131"/>
      <c r="D329" s="130"/>
      <c r="E329" s="132"/>
      <c r="F329" s="132"/>
      <c r="G329" s="133"/>
      <c r="H329" s="134"/>
      <c r="I329" s="134"/>
      <c r="J329" s="134"/>
      <c r="K329" s="134"/>
      <c r="L329" s="134"/>
      <c r="M329" s="134"/>
      <c r="N329" s="143"/>
      <c r="O329" s="136"/>
      <c r="P329" s="136"/>
      <c r="Q329" s="137"/>
      <c r="R329" s="138"/>
      <c r="S329" s="138"/>
      <c r="T329" s="139"/>
      <c r="U329" s="139"/>
      <c r="V329" s="139"/>
      <c r="W329" s="140"/>
      <c r="X329" s="141"/>
      <c r="Y329" s="140"/>
      <c r="Z329" s="142"/>
      <c r="AA329" s="139"/>
      <c r="AB329" s="139"/>
      <c r="AC329" s="140"/>
      <c r="AD329" s="140"/>
      <c r="AE329" s="140"/>
    </row>
    <row r="330">
      <c r="A330" s="130"/>
      <c r="B330" s="131"/>
      <c r="C330" s="131"/>
      <c r="D330" s="130"/>
      <c r="E330" s="132"/>
      <c r="F330" s="132"/>
      <c r="G330" s="133"/>
      <c r="H330" s="134"/>
      <c r="I330" s="134"/>
      <c r="J330" s="134"/>
      <c r="K330" s="134"/>
      <c r="L330" s="134"/>
      <c r="M330" s="134"/>
      <c r="N330" s="143"/>
      <c r="O330" s="136"/>
      <c r="P330" s="136"/>
      <c r="Q330" s="137"/>
      <c r="R330" s="138"/>
      <c r="S330" s="138"/>
      <c r="T330" s="139"/>
      <c r="U330" s="139"/>
      <c r="V330" s="139"/>
      <c r="W330" s="140"/>
      <c r="X330" s="141"/>
      <c r="Y330" s="140"/>
      <c r="Z330" s="142"/>
      <c r="AA330" s="139"/>
      <c r="AB330" s="139"/>
      <c r="AC330" s="140"/>
      <c r="AD330" s="140"/>
      <c r="AE330" s="140"/>
    </row>
    <row r="331">
      <c r="A331" s="130"/>
      <c r="B331" s="131"/>
      <c r="C331" s="131"/>
      <c r="D331" s="130"/>
      <c r="E331" s="132"/>
      <c r="F331" s="132"/>
      <c r="G331" s="133"/>
      <c r="H331" s="134"/>
      <c r="I331" s="134"/>
      <c r="J331" s="134"/>
      <c r="K331" s="134"/>
      <c r="L331" s="134"/>
      <c r="M331" s="134"/>
      <c r="N331" s="143"/>
      <c r="O331" s="136"/>
      <c r="P331" s="136"/>
      <c r="Q331" s="137"/>
      <c r="R331" s="138"/>
      <c r="S331" s="138"/>
      <c r="T331" s="139"/>
      <c r="U331" s="139"/>
      <c r="V331" s="139"/>
      <c r="W331" s="140"/>
      <c r="X331" s="141"/>
      <c r="Y331" s="140"/>
      <c r="Z331" s="142"/>
      <c r="AA331" s="139"/>
      <c r="AB331" s="139"/>
      <c r="AC331" s="140"/>
      <c r="AD331" s="140"/>
      <c r="AE331" s="140"/>
    </row>
    <row r="332">
      <c r="A332" s="130"/>
      <c r="B332" s="131"/>
      <c r="C332" s="131"/>
      <c r="D332" s="130"/>
      <c r="E332" s="132"/>
      <c r="F332" s="132"/>
      <c r="G332" s="133"/>
      <c r="H332" s="134"/>
      <c r="I332" s="134"/>
      <c r="J332" s="134"/>
      <c r="K332" s="134"/>
      <c r="L332" s="134"/>
      <c r="M332" s="134"/>
      <c r="N332" s="143"/>
      <c r="O332" s="136"/>
      <c r="P332" s="136"/>
      <c r="Q332" s="137"/>
      <c r="R332" s="138"/>
      <c r="S332" s="138"/>
      <c r="T332" s="139"/>
      <c r="U332" s="139"/>
      <c r="V332" s="139"/>
      <c r="W332" s="140"/>
      <c r="X332" s="141"/>
      <c r="Y332" s="140"/>
      <c r="Z332" s="142"/>
      <c r="AA332" s="139"/>
      <c r="AB332" s="139"/>
      <c r="AC332" s="140"/>
      <c r="AD332" s="140"/>
      <c r="AE332" s="140"/>
    </row>
    <row r="333">
      <c r="A333" s="130"/>
      <c r="B333" s="131"/>
      <c r="C333" s="131"/>
      <c r="D333" s="130"/>
      <c r="E333" s="132"/>
      <c r="F333" s="132"/>
      <c r="G333" s="133"/>
      <c r="H333" s="134"/>
      <c r="I333" s="134"/>
      <c r="J333" s="134"/>
      <c r="K333" s="134"/>
      <c r="L333" s="134"/>
      <c r="M333" s="134"/>
      <c r="N333" s="143"/>
      <c r="O333" s="136"/>
      <c r="P333" s="136"/>
      <c r="Q333" s="137"/>
      <c r="R333" s="138"/>
      <c r="S333" s="138"/>
      <c r="T333" s="139"/>
      <c r="U333" s="139"/>
      <c r="V333" s="139"/>
      <c r="W333" s="140"/>
      <c r="X333" s="141"/>
      <c r="Y333" s="140"/>
      <c r="Z333" s="142"/>
      <c r="AA333" s="139"/>
      <c r="AB333" s="139"/>
      <c r="AC333" s="140"/>
      <c r="AD333" s="140"/>
      <c r="AE333" s="140"/>
    </row>
    <row r="334">
      <c r="A334" s="130"/>
      <c r="B334" s="131"/>
      <c r="C334" s="131"/>
      <c r="D334" s="130"/>
      <c r="E334" s="132"/>
      <c r="F334" s="132"/>
      <c r="G334" s="133"/>
      <c r="H334" s="134"/>
      <c r="I334" s="134"/>
      <c r="J334" s="134"/>
      <c r="K334" s="134"/>
      <c r="L334" s="134"/>
      <c r="M334" s="134"/>
      <c r="N334" s="143"/>
      <c r="O334" s="136"/>
      <c r="P334" s="136"/>
      <c r="Q334" s="137"/>
      <c r="R334" s="138"/>
      <c r="S334" s="138"/>
      <c r="T334" s="139"/>
      <c r="U334" s="139"/>
      <c r="V334" s="139"/>
      <c r="W334" s="140"/>
      <c r="X334" s="141"/>
      <c r="Y334" s="140"/>
      <c r="Z334" s="142"/>
      <c r="AA334" s="139"/>
      <c r="AB334" s="139"/>
      <c r="AC334" s="140"/>
      <c r="AD334" s="140"/>
      <c r="AE334" s="140"/>
    </row>
    <row r="335">
      <c r="A335" s="130"/>
      <c r="B335" s="131"/>
      <c r="C335" s="131"/>
      <c r="D335" s="130"/>
      <c r="E335" s="132"/>
      <c r="F335" s="132"/>
      <c r="G335" s="133"/>
      <c r="H335" s="134"/>
      <c r="I335" s="134"/>
      <c r="J335" s="134"/>
      <c r="K335" s="134"/>
      <c r="L335" s="134"/>
      <c r="M335" s="134"/>
      <c r="N335" s="143"/>
      <c r="O335" s="136"/>
      <c r="P335" s="136"/>
      <c r="Q335" s="137"/>
      <c r="R335" s="138"/>
      <c r="S335" s="138"/>
      <c r="T335" s="139"/>
      <c r="U335" s="139"/>
      <c r="V335" s="139"/>
      <c r="W335" s="140"/>
      <c r="X335" s="141"/>
      <c r="Y335" s="140"/>
      <c r="Z335" s="142"/>
      <c r="AA335" s="139"/>
      <c r="AB335" s="139"/>
      <c r="AC335" s="140"/>
      <c r="AD335" s="140"/>
      <c r="AE335" s="140"/>
    </row>
    <row r="336">
      <c r="A336" s="130"/>
      <c r="B336" s="131"/>
      <c r="C336" s="131"/>
      <c r="D336" s="130"/>
      <c r="E336" s="132"/>
      <c r="F336" s="132"/>
      <c r="G336" s="133"/>
      <c r="H336" s="134"/>
      <c r="I336" s="134"/>
      <c r="J336" s="134"/>
      <c r="K336" s="134"/>
      <c r="L336" s="134"/>
      <c r="M336" s="134"/>
      <c r="N336" s="143"/>
      <c r="O336" s="136"/>
      <c r="P336" s="136"/>
      <c r="Q336" s="137"/>
      <c r="R336" s="138"/>
      <c r="S336" s="138"/>
      <c r="T336" s="139"/>
      <c r="U336" s="139"/>
      <c r="V336" s="139"/>
      <c r="W336" s="140"/>
      <c r="X336" s="141"/>
      <c r="Y336" s="140"/>
      <c r="Z336" s="142"/>
      <c r="AA336" s="139"/>
      <c r="AB336" s="139"/>
      <c r="AC336" s="140"/>
      <c r="AD336" s="140"/>
      <c r="AE336" s="140"/>
    </row>
    <row r="337">
      <c r="A337" s="130"/>
      <c r="B337" s="131"/>
      <c r="C337" s="131"/>
      <c r="D337" s="130"/>
      <c r="E337" s="132"/>
      <c r="F337" s="132"/>
      <c r="G337" s="133"/>
      <c r="H337" s="134"/>
      <c r="I337" s="134"/>
      <c r="J337" s="134"/>
      <c r="K337" s="134"/>
      <c r="L337" s="134"/>
      <c r="M337" s="134"/>
      <c r="N337" s="143"/>
      <c r="O337" s="136"/>
      <c r="P337" s="136"/>
      <c r="Q337" s="137"/>
      <c r="R337" s="138"/>
      <c r="S337" s="138"/>
      <c r="T337" s="139"/>
      <c r="U337" s="139"/>
      <c r="V337" s="139"/>
      <c r="W337" s="140"/>
      <c r="X337" s="141"/>
      <c r="Y337" s="140"/>
      <c r="Z337" s="142"/>
      <c r="AA337" s="139"/>
      <c r="AB337" s="139"/>
      <c r="AC337" s="140"/>
      <c r="AD337" s="140"/>
      <c r="AE337" s="140"/>
    </row>
    <row r="338">
      <c r="A338" s="130"/>
      <c r="B338" s="131"/>
      <c r="C338" s="131"/>
      <c r="D338" s="130"/>
      <c r="E338" s="132"/>
      <c r="F338" s="132"/>
      <c r="G338" s="133"/>
      <c r="H338" s="134"/>
      <c r="I338" s="134"/>
      <c r="J338" s="134"/>
      <c r="K338" s="134"/>
      <c r="L338" s="134"/>
      <c r="M338" s="134"/>
      <c r="N338" s="143"/>
      <c r="O338" s="136"/>
      <c r="P338" s="136"/>
      <c r="Q338" s="137"/>
      <c r="R338" s="138"/>
      <c r="S338" s="138"/>
      <c r="T338" s="139"/>
      <c r="U338" s="139"/>
      <c r="V338" s="139"/>
      <c r="W338" s="140"/>
      <c r="X338" s="141"/>
      <c r="Y338" s="140"/>
      <c r="Z338" s="142"/>
      <c r="AA338" s="139"/>
      <c r="AB338" s="139"/>
      <c r="AC338" s="140"/>
      <c r="AD338" s="140"/>
      <c r="AE338" s="140"/>
    </row>
    <row r="339">
      <c r="A339" s="130"/>
      <c r="B339" s="131"/>
      <c r="C339" s="131"/>
      <c r="D339" s="130"/>
      <c r="E339" s="132"/>
      <c r="F339" s="132"/>
      <c r="G339" s="133"/>
      <c r="H339" s="134"/>
      <c r="I339" s="134"/>
      <c r="J339" s="134"/>
      <c r="K339" s="134"/>
      <c r="L339" s="134"/>
      <c r="M339" s="134"/>
      <c r="N339" s="143"/>
      <c r="O339" s="136"/>
      <c r="P339" s="136"/>
      <c r="Q339" s="137"/>
      <c r="R339" s="138"/>
      <c r="S339" s="138"/>
      <c r="T339" s="139"/>
      <c r="U339" s="139"/>
      <c r="V339" s="139"/>
      <c r="W339" s="140"/>
      <c r="X339" s="141"/>
      <c r="Y339" s="140"/>
      <c r="Z339" s="142"/>
      <c r="AA339" s="139"/>
      <c r="AB339" s="139"/>
      <c r="AC339" s="140"/>
      <c r="AD339" s="140"/>
      <c r="AE339" s="140"/>
    </row>
    <row r="340">
      <c r="A340" s="130"/>
      <c r="B340" s="131"/>
      <c r="C340" s="131"/>
      <c r="D340" s="130"/>
      <c r="E340" s="132"/>
      <c r="F340" s="132"/>
      <c r="G340" s="133"/>
      <c r="H340" s="134"/>
      <c r="I340" s="134"/>
      <c r="J340" s="134"/>
      <c r="K340" s="134"/>
      <c r="L340" s="134"/>
      <c r="M340" s="134"/>
      <c r="N340" s="143"/>
      <c r="O340" s="136"/>
      <c r="P340" s="136"/>
      <c r="Q340" s="137"/>
      <c r="R340" s="138"/>
      <c r="S340" s="138"/>
      <c r="T340" s="139"/>
      <c r="U340" s="139"/>
      <c r="V340" s="139"/>
      <c r="W340" s="140"/>
      <c r="X340" s="141"/>
      <c r="Y340" s="140"/>
      <c r="Z340" s="142"/>
      <c r="AA340" s="139"/>
      <c r="AB340" s="139"/>
      <c r="AC340" s="140"/>
      <c r="AD340" s="140"/>
      <c r="AE340" s="140"/>
    </row>
    <row r="341">
      <c r="A341" s="130"/>
      <c r="B341" s="131"/>
      <c r="C341" s="131"/>
      <c r="D341" s="130"/>
      <c r="E341" s="132"/>
      <c r="F341" s="132"/>
      <c r="G341" s="133"/>
      <c r="H341" s="134"/>
      <c r="I341" s="134"/>
      <c r="J341" s="134"/>
      <c r="K341" s="134"/>
      <c r="L341" s="134"/>
      <c r="M341" s="134"/>
      <c r="N341" s="143"/>
      <c r="O341" s="136"/>
      <c r="P341" s="136"/>
      <c r="Q341" s="137"/>
      <c r="R341" s="138"/>
      <c r="S341" s="138"/>
      <c r="T341" s="139"/>
      <c r="U341" s="139"/>
      <c r="V341" s="139"/>
      <c r="W341" s="140"/>
      <c r="X341" s="141"/>
      <c r="Y341" s="140"/>
      <c r="Z341" s="142"/>
      <c r="AA341" s="139"/>
      <c r="AB341" s="139"/>
      <c r="AC341" s="140"/>
      <c r="AD341" s="140"/>
      <c r="AE341" s="140"/>
    </row>
    <row r="342">
      <c r="A342" s="130"/>
      <c r="B342" s="131"/>
      <c r="C342" s="131"/>
      <c r="D342" s="130"/>
      <c r="E342" s="132"/>
      <c r="F342" s="132"/>
      <c r="G342" s="133"/>
      <c r="H342" s="134"/>
      <c r="I342" s="134"/>
      <c r="J342" s="134"/>
      <c r="K342" s="134"/>
      <c r="L342" s="134"/>
      <c r="M342" s="134"/>
      <c r="N342" s="143"/>
      <c r="O342" s="136"/>
      <c r="P342" s="136"/>
      <c r="Q342" s="137"/>
      <c r="R342" s="138"/>
      <c r="S342" s="138"/>
      <c r="T342" s="139"/>
      <c r="U342" s="139"/>
      <c r="V342" s="139"/>
      <c r="W342" s="140"/>
      <c r="X342" s="141"/>
      <c r="Y342" s="140"/>
      <c r="Z342" s="142"/>
      <c r="AA342" s="139"/>
      <c r="AB342" s="139"/>
      <c r="AC342" s="140"/>
      <c r="AD342" s="140"/>
      <c r="AE342" s="140"/>
    </row>
    <row r="343">
      <c r="A343" s="130"/>
      <c r="B343" s="131"/>
      <c r="C343" s="131"/>
      <c r="D343" s="130"/>
      <c r="E343" s="132"/>
      <c r="F343" s="132"/>
      <c r="G343" s="133"/>
      <c r="H343" s="134"/>
      <c r="I343" s="134"/>
      <c r="J343" s="134"/>
      <c r="K343" s="134"/>
      <c r="L343" s="134"/>
      <c r="M343" s="134"/>
      <c r="N343" s="143"/>
      <c r="O343" s="136"/>
      <c r="P343" s="136"/>
      <c r="Q343" s="137"/>
      <c r="R343" s="138"/>
      <c r="S343" s="138"/>
      <c r="T343" s="139"/>
      <c r="U343" s="139"/>
      <c r="V343" s="139"/>
      <c r="W343" s="140"/>
      <c r="X343" s="141"/>
      <c r="Y343" s="140"/>
      <c r="Z343" s="142"/>
      <c r="AA343" s="139"/>
      <c r="AB343" s="139"/>
      <c r="AC343" s="140"/>
      <c r="AD343" s="140"/>
      <c r="AE343" s="140"/>
    </row>
    <row r="344">
      <c r="A344" s="130"/>
      <c r="B344" s="131"/>
      <c r="C344" s="131"/>
      <c r="D344" s="130"/>
      <c r="E344" s="132"/>
      <c r="F344" s="132"/>
      <c r="G344" s="133"/>
      <c r="H344" s="134"/>
      <c r="I344" s="134"/>
      <c r="J344" s="134"/>
      <c r="K344" s="134"/>
      <c r="L344" s="134"/>
      <c r="M344" s="134"/>
      <c r="N344" s="143"/>
      <c r="O344" s="136"/>
      <c r="P344" s="136"/>
      <c r="Q344" s="137"/>
      <c r="R344" s="138"/>
      <c r="S344" s="138"/>
      <c r="T344" s="139"/>
      <c r="U344" s="139"/>
      <c r="V344" s="139"/>
      <c r="W344" s="140"/>
      <c r="X344" s="141"/>
      <c r="Y344" s="140"/>
      <c r="Z344" s="142"/>
      <c r="AA344" s="139"/>
      <c r="AB344" s="139"/>
      <c r="AC344" s="140"/>
      <c r="AD344" s="140"/>
      <c r="AE344" s="140"/>
    </row>
    <row r="345">
      <c r="A345" s="130"/>
      <c r="B345" s="131"/>
      <c r="C345" s="131"/>
      <c r="D345" s="130"/>
      <c r="E345" s="132"/>
      <c r="F345" s="132"/>
      <c r="G345" s="133"/>
      <c r="H345" s="134"/>
      <c r="I345" s="134"/>
      <c r="J345" s="134"/>
      <c r="K345" s="134"/>
      <c r="L345" s="134"/>
      <c r="M345" s="134"/>
      <c r="N345" s="143"/>
      <c r="O345" s="136"/>
      <c r="P345" s="136"/>
      <c r="Q345" s="137"/>
      <c r="R345" s="138"/>
      <c r="S345" s="138"/>
      <c r="T345" s="139"/>
      <c r="U345" s="139"/>
      <c r="V345" s="139"/>
      <c r="W345" s="140"/>
      <c r="X345" s="141"/>
      <c r="Y345" s="140"/>
      <c r="Z345" s="142"/>
      <c r="AA345" s="139"/>
      <c r="AB345" s="139"/>
      <c r="AC345" s="140"/>
      <c r="AD345" s="140"/>
      <c r="AE345" s="140"/>
    </row>
    <row r="346">
      <c r="A346" s="130"/>
      <c r="B346" s="131"/>
      <c r="C346" s="131"/>
      <c r="D346" s="130"/>
      <c r="E346" s="132"/>
      <c r="F346" s="132"/>
      <c r="G346" s="133"/>
      <c r="H346" s="134"/>
      <c r="I346" s="134"/>
      <c r="J346" s="134"/>
      <c r="K346" s="134"/>
      <c r="L346" s="134"/>
      <c r="M346" s="134"/>
      <c r="N346" s="143"/>
      <c r="O346" s="136"/>
      <c r="P346" s="136"/>
      <c r="Q346" s="137"/>
      <c r="R346" s="138"/>
      <c r="S346" s="138"/>
      <c r="T346" s="139"/>
      <c r="U346" s="139"/>
      <c r="V346" s="139"/>
      <c r="W346" s="140"/>
      <c r="X346" s="141"/>
      <c r="Y346" s="140"/>
      <c r="Z346" s="142"/>
      <c r="AA346" s="139"/>
      <c r="AB346" s="139"/>
      <c r="AC346" s="140"/>
      <c r="AD346" s="140"/>
      <c r="AE346" s="140"/>
    </row>
    <row r="347">
      <c r="A347" s="130"/>
      <c r="B347" s="131"/>
      <c r="C347" s="131"/>
      <c r="D347" s="130"/>
      <c r="E347" s="132"/>
      <c r="F347" s="132"/>
      <c r="G347" s="133"/>
      <c r="H347" s="134"/>
      <c r="I347" s="134"/>
      <c r="J347" s="134"/>
      <c r="K347" s="134"/>
      <c r="L347" s="134"/>
      <c r="M347" s="134"/>
      <c r="N347" s="143"/>
      <c r="O347" s="136"/>
      <c r="P347" s="136"/>
      <c r="Q347" s="137"/>
      <c r="R347" s="138"/>
      <c r="S347" s="138"/>
      <c r="T347" s="139"/>
      <c r="U347" s="139"/>
      <c r="V347" s="139"/>
      <c r="W347" s="140"/>
      <c r="X347" s="141"/>
      <c r="Y347" s="140"/>
      <c r="Z347" s="142"/>
      <c r="AA347" s="139"/>
      <c r="AB347" s="139"/>
      <c r="AC347" s="140"/>
      <c r="AD347" s="140"/>
      <c r="AE347" s="140"/>
    </row>
    <row r="348">
      <c r="A348" s="130"/>
      <c r="B348" s="131"/>
      <c r="C348" s="131"/>
      <c r="D348" s="130"/>
      <c r="E348" s="132"/>
      <c r="F348" s="132"/>
      <c r="G348" s="133"/>
      <c r="H348" s="134"/>
      <c r="I348" s="134"/>
      <c r="J348" s="134"/>
      <c r="K348" s="134"/>
      <c r="L348" s="134"/>
      <c r="M348" s="134"/>
      <c r="N348" s="143"/>
      <c r="O348" s="136"/>
      <c r="P348" s="136"/>
      <c r="Q348" s="137"/>
      <c r="R348" s="138"/>
      <c r="S348" s="138"/>
      <c r="T348" s="139"/>
      <c r="U348" s="139"/>
      <c r="V348" s="139"/>
      <c r="W348" s="140"/>
      <c r="X348" s="141"/>
      <c r="Y348" s="140"/>
      <c r="Z348" s="142"/>
      <c r="AA348" s="139"/>
      <c r="AB348" s="139"/>
      <c r="AC348" s="140"/>
      <c r="AD348" s="140"/>
      <c r="AE348" s="140"/>
    </row>
    <row r="349">
      <c r="A349" s="130"/>
      <c r="B349" s="131"/>
      <c r="C349" s="131"/>
      <c r="D349" s="130"/>
      <c r="E349" s="132"/>
      <c r="F349" s="132"/>
      <c r="G349" s="133"/>
      <c r="H349" s="134"/>
      <c r="I349" s="134"/>
      <c r="J349" s="134"/>
      <c r="K349" s="134"/>
      <c r="L349" s="134"/>
      <c r="M349" s="134"/>
      <c r="N349" s="143"/>
      <c r="O349" s="136"/>
      <c r="P349" s="136"/>
      <c r="Q349" s="137"/>
      <c r="R349" s="138"/>
      <c r="S349" s="138"/>
      <c r="T349" s="139"/>
      <c r="U349" s="139"/>
      <c r="V349" s="139"/>
      <c r="W349" s="140"/>
      <c r="X349" s="141"/>
      <c r="Y349" s="140"/>
      <c r="Z349" s="142"/>
      <c r="AA349" s="139"/>
      <c r="AB349" s="139"/>
      <c r="AC349" s="140"/>
      <c r="AD349" s="140"/>
      <c r="AE349" s="140"/>
    </row>
    <row r="350">
      <c r="A350" s="130"/>
      <c r="B350" s="131"/>
      <c r="C350" s="131"/>
      <c r="D350" s="130"/>
      <c r="E350" s="132"/>
      <c r="F350" s="132"/>
      <c r="G350" s="133"/>
      <c r="H350" s="134"/>
      <c r="I350" s="134"/>
      <c r="J350" s="134"/>
      <c r="K350" s="134"/>
      <c r="L350" s="134"/>
      <c r="M350" s="134"/>
      <c r="N350" s="143"/>
      <c r="O350" s="136"/>
      <c r="P350" s="136"/>
      <c r="Q350" s="137"/>
      <c r="R350" s="138"/>
      <c r="S350" s="138"/>
      <c r="T350" s="139"/>
      <c r="U350" s="139"/>
      <c r="V350" s="139"/>
      <c r="W350" s="140"/>
      <c r="X350" s="141"/>
      <c r="Y350" s="140"/>
      <c r="Z350" s="142"/>
      <c r="AA350" s="139"/>
      <c r="AB350" s="139"/>
      <c r="AC350" s="140"/>
      <c r="AD350" s="140"/>
      <c r="AE350" s="140"/>
    </row>
    <row r="351">
      <c r="A351" s="130"/>
      <c r="B351" s="131"/>
      <c r="C351" s="131"/>
      <c r="D351" s="130"/>
      <c r="E351" s="132"/>
      <c r="F351" s="132"/>
      <c r="G351" s="133"/>
      <c r="H351" s="134"/>
      <c r="I351" s="134"/>
      <c r="J351" s="134"/>
      <c r="K351" s="134"/>
      <c r="L351" s="134"/>
      <c r="M351" s="134"/>
      <c r="N351" s="143"/>
      <c r="O351" s="136"/>
      <c r="P351" s="136"/>
      <c r="Q351" s="137"/>
      <c r="R351" s="138"/>
      <c r="S351" s="138"/>
      <c r="T351" s="139"/>
      <c r="U351" s="139"/>
      <c r="V351" s="139"/>
      <c r="W351" s="140"/>
      <c r="X351" s="141"/>
      <c r="Y351" s="140"/>
      <c r="Z351" s="142"/>
      <c r="AA351" s="139"/>
      <c r="AB351" s="139"/>
      <c r="AC351" s="140"/>
      <c r="AD351" s="140"/>
      <c r="AE351" s="140"/>
    </row>
    <row r="352">
      <c r="A352" s="130"/>
      <c r="B352" s="131"/>
      <c r="C352" s="131"/>
      <c r="D352" s="130"/>
      <c r="E352" s="132"/>
      <c r="F352" s="132"/>
      <c r="G352" s="133"/>
      <c r="H352" s="134"/>
      <c r="I352" s="134"/>
      <c r="J352" s="134"/>
      <c r="K352" s="134"/>
      <c r="L352" s="134"/>
      <c r="M352" s="134"/>
      <c r="N352" s="143"/>
      <c r="O352" s="136"/>
      <c r="P352" s="136"/>
      <c r="Q352" s="137"/>
      <c r="R352" s="138"/>
      <c r="S352" s="138"/>
      <c r="T352" s="139"/>
      <c r="U352" s="139"/>
      <c r="V352" s="139"/>
      <c r="W352" s="140"/>
      <c r="X352" s="141"/>
      <c r="Y352" s="140"/>
      <c r="Z352" s="142"/>
      <c r="AA352" s="139"/>
      <c r="AB352" s="139"/>
      <c r="AC352" s="140"/>
      <c r="AD352" s="140"/>
      <c r="AE352" s="140"/>
    </row>
    <row r="353">
      <c r="A353" s="130"/>
      <c r="B353" s="131"/>
      <c r="C353" s="131"/>
      <c r="D353" s="130"/>
      <c r="E353" s="132"/>
      <c r="F353" s="132"/>
      <c r="G353" s="133"/>
      <c r="H353" s="134"/>
      <c r="I353" s="134"/>
      <c r="J353" s="134"/>
      <c r="K353" s="134"/>
      <c r="L353" s="134"/>
      <c r="M353" s="134"/>
      <c r="N353" s="143"/>
      <c r="O353" s="136"/>
      <c r="P353" s="136"/>
      <c r="Q353" s="137"/>
      <c r="R353" s="138"/>
      <c r="S353" s="138"/>
      <c r="T353" s="139"/>
      <c r="U353" s="139"/>
      <c r="V353" s="139"/>
      <c r="W353" s="140"/>
      <c r="X353" s="141"/>
      <c r="Y353" s="140"/>
      <c r="Z353" s="142"/>
      <c r="AA353" s="139"/>
      <c r="AB353" s="139"/>
      <c r="AC353" s="140"/>
      <c r="AD353" s="140"/>
      <c r="AE353" s="140"/>
    </row>
    <row r="354">
      <c r="A354" s="130"/>
      <c r="B354" s="131"/>
      <c r="C354" s="131"/>
      <c r="D354" s="130"/>
      <c r="E354" s="132"/>
      <c r="F354" s="132"/>
      <c r="G354" s="133"/>
      <c r="H354" s="134"/>
      <c r="I354" s="134"/>
      <c r="J354" s="134"/>
      <c r="K354" s="134"/>
      <c r="L354" s="134"/>
      <c r="M354" s="134"/>
      <c r="N354" s="143"/>
      <c r="O354" s="136"/>
      <c r="P354" s="136"/>
      <c r="Q354" s="137"/>
      <c r="R354" s="138"/>
      <c r="S354" s="138"/>
      <c r="T354" s="139"/>
      <c r="U354" s="139"/>
      <c r="V354" s="139"/>
      <c r="W354" s="140"/>
      <c r="X354" s="141"/>
      <c r="Y354" s="140"/>
      <c r="Z354" s="142"/>
      <c r="AA354" s="139"/>
      <c r="AB354" s="139"/>
      <c r="AC354" s="140"/>
      <c r="AD354" s="140"/>
      <c r="AE354" s="140"/>
    </row>
    <row r="355">
      <c r="A355" s="130"/>
      <c r="B355" s="131"/>
      <c r="C355" s="131"/>
      <c r="D355" s="130"/>
      <c r="E355" s="132"/>
      <c r="F355" s="132"/>
      <c r="G355" s="133"/>
      <c r="H355" s="134"/>
      <c r="I355" s="134"/>
      <c r="J355" s="134"/>
      <c r="K355" s="134"/>
      <c r="L355" s="134"/>
      <c r="M355" s="134"/>
      <c r="N355" s="143"/>
      <c r="O355" s="136"/>
      <c r="P355" s="136"/>
      <c r="Q355" s="137"/>
      <c r="R355" s="138"/>
      <c r="S355" s="138"/>
      <c r="T355" s="139"/>
      <c r="U355" s="139"/>
      <c r="V355" s="139"/>
      <c r="W355" s="140"/>
      <c r="X355" s="141"/>
      <c r="Y355" s="140"/>
      <c r="Z355" s="142"/>
      <c r="AA355" s="139"/>
      <c r="AB355" s="139"/>
      <c r="AC355" s="140"/>
      <c r="AD355" s="140"/>
      <c r="AE355" s="140"/>
    </row>
    <row r="356">
      <c r="A356" s="130"/>
      <c r="B356" s="131"/>
      <c r="C356" s="131"/>
      <c r="D356" s="130"/>
      <c r="E356" s="132"/>
      <c r="F356" s="132"/>
      <c r="G356" s="133"/>
      <c r="H356" s="134"/>
      <c r="I356" s="134"/>
      <c r="J356" s="134"/>
      <c r="K356" s="134"/>
      <c r="L356" s="134"/>
      <c r="M356" s="134"/>
      <c r="N356" s="143"/>
      <c r="O356" s="136"/>
      <c r="P356" s="136"/>
      <c r="Q356" s="137"/>
      <c r="R356" s="138"/>
      <c r="S356" s="138"/>
      <c r="T356" s="139"/>
      <c r="U356" s="139"/>
      <c r="V356" s="139"/>
      <c r="W356" s="140"/>
      <c r="X356" s="141"/>
      <c r="Y356" s="140"/>
      <c r="Z356" s="142"/>
      <c r="AA356" s="139"/>
      <c r="AB356" s="139"/>
      <c r="AC356" s="140"/>
      <c r="AD356" s="140"/>
      <c r="AE356" s="140"/>
    </row>
    <row r="357">
      <c r="A357" s="130"/>
      <c r="B357" s="131"/>
      <c r="C357" s="131"/>
      <c r="D357" s="130"/>
      <c r="E357" s="132"/>
      <c r="F357" s="132"/>
      <c r="G357" s="133"/>
      <c r="H357" s="134"/>
      <c r="I357" s="134"/>
      <c r="J357" s="134"/>
      <c r="K357" s="134"/>
      <c r="L357" s="134"/>
      <c r="M357" s="134"/>
      <c r="N357" s="143"/>
      <c r="O357" s="136"/>
      <c r="P357" s="136"/>
      <c r="Q357" s="137"/>
      <c r="R357" s="138"/>
      <c r="S357" s="138"/>
      <c r="T357" s="139"/>
      <c r="U357" s="139"/>
      <c r="V357" s="139"/>
      <c r="W357" s="140"/>
      <c r="X357" s="141"/>
      <c r="Y357" s="140"/>
      <c r="Z357" s="142"/>
      <c r="AA357" s="139"/>
      <c r="AB357" s="139"/>
      <c r="AC357" s="140"/>
      <c r="AD357" s="140"/>
      <c r="AE357" s="140"/>
    </row>
    <row r="358">
      <c r="A358" s="130"/>
      <c r="B358" s="131"/>
      <c r="C358" s="131"/>
      <c r="D358" s="130"/>
      <c r="E358" s="132"/>
      <c r="F358" s="132"/>
      <c r="G358" s="133"/>
      <c r="H358" s="134"/>
      <c r="I358" s="134"/>
      <c r="J358" s="134"/>
      <c r="K358" s="134"/>
      <c r="L358" s="134"/>
      <c r="M358" s="134"/>
      <c r="N358" s="143"/>
      <c r="O358" s="136"/>
      <c r="P358" s="136"/>
      <c r="Q358" s="137"/>
      <c r="R358" s="138"/>
      <c r="S358" s="138"/>
      <c r="T358" s="139"/>
      <c r="U358" s="139"/>
      <c r="V358" s="139"/>
      <c r="W358" s="140"/>
      <c r="X358" s="141"/>
      <c r="Y358" s="140"/>
      <c r="Z358" s="142"/>
      <c r="AA358" s="139"/>
      <c r="AB358" s="139"/>
      <c r="AC358" s="140"/>
      <c r="AD358" s="140"/>
      <c r="AE358" s="140"/>
    </row>
    <row r="359">
      <c r="A359" s="130"/>
      <c r="B359" s="131"/>
      <c r="C359" s="131"/>
      <c r="D359" s="130"/>
      <c r="E359" s="132"/>
      <c r="F359" s="132"/>
      <c r="G359" s="133"/>
      <c r="H359" s="134"/>
      <c r="I359" s="134"/>
      <c r="J359" s="134"/>
      <c r="K359" s="134"/>
      <c r="L359" s="134"/>
      <c r="M359" s="134"/>
      <c r="N359" s="143"/>
      <c r="O359" s="136"/>
      <c r="P359" s="136"/>
      <c r="Q359" s="137"/>
      <c r="R359" s="138"/>
      <c r="S359" s="138"/>
      <c r="T359" s="139"/>
      <c r="U359" s="139"/>
      <c r="V359" s="139"/>
      <c r="W359" s="140"/>
      <c r="X359" s="141"/>
      <c r="Y359" s="140"/>
      <c r="Z359" s="142"/>
      <c r="AA359" s="139"/>
      <c r="AB359" s="139"/>
      <c r="AC359" s="140"/>
      <c r="AD359" s="140"/>
      <c r="AE359" s="140"/>
    </row>
    <row r="360">
      <c r="A360" s="130"/>
      <c r="B360" s="131"/>
      <c r="C360" s="131"/>
      <c r="D360" s="130"/>
      <c r="E360" s="132"/>
      <c r="F360" s="132"/>
      <c r="G360" s="133"/>
      <c r="H360" s="134"/>
      <c r="I360" s="134"/>
      <c r="J360" s="134"/>
      <c r="K360" s="134"/>
      <c r="L360" s="134"/>
      <c r="M360" s="134"/>
      <c r="N360" s="143"/>
      <c r="O360" s="136"/>
      <c r="P360" s="136"/>
      <c r="Q360" s="137"/>
      <c r="R360" s="138"/>
      <c r="S360" s="138"/>
      <c r="T360" s="139"/>
      <c r="U360" s="139"/>
      <c r="V360" s="139"/>
      <c r="W360" s="140"/>
      <c r="X360" s="141"/>
      <c r="Y360" s="140"/>
      <c r="Z360" s="142"/>
      <c r="AA360" s="139"/>
      <c r="AB360" s="139"/>
      <c r="AC360" s="140"/>
      <c r="AD360" s="140"/>
      <c r="AE360" s="140"/>
    </row>
    <row r="361">
      <c r="A361" s="130"/>
      <c r="B361" s="131"/>
      <c r="C361" s="131"/>
      <c r="D361" s="130"/>
      <c r="E361" s="132"/>
      <c r="F361" s="132"/>
      <c r="G361" s="133"/>
      <c r="H361" s="134"/>
      <c r="I361" s="134"/>
      <c r="J361" s="134"/>
      <c r="K361" s="134"/>
      <c r="L361" s="134"/>
      <c r="M361" s="134"/>
      <c r="N361" s="143"/>
      <c r="O361" s="136"/>
      <c r="P361" s="136"/>
      <c r="Q361" s="137"/>
      <c r="R361" s="138"/>
      <c r="S361" s="138"/>
      <c r="T361" s="139"/>
      <c r="U361" s="139"/>
      <c r="V361" s="139"/>
      <c r="W361" s="140"/>
      <c r="X361" s="141"/>
      <c r="Y361" s="140"/>
      <c r="Z361" s="142"/>
      <c r="AA361" s="139"/>
      <c r="AB361" s="139"/>
      <c r="AC361" s="140"/>
      <c r="AD361" s="140"/>
      <c r="AE361" s="140"/>
    </row>
    <row r="362">
      <c r="A362" s="130"/>
      <c r="B362" s="131"/>
      <c r="C362" s="131"/>
      <c r="D362" s="130"/>
      <c r="E362" s="132"/>
      <c r="F362" s="132"/>
      <c r="G362" s="133"/>
      <c r="H362" s="134"/>
      <c r="I362" s="134"/>
      <c r="J362" s="134"/>
      <c r="K362" s="134"/>
      <c r="L362" s="134"/>
      <c r="M362" s="134"/>
      <c r="N362" s="143"/>
      <c r="O362" s="136"/>
      <c r="P362" s="136"/>
      <c r="Q362" s="137"/>
      <c r="R362" s="138"/>
      <c r="S362" s="138"/>
      <c r="T362" s="139"/>
      <c r="U362" s="139"/>
      <c r="V362" s="139"/>
      <c r="W362" s="140"/>
      <c r="X362" s="141"/>
      <c r="Y362" s="140"/>
      <c r="Z362" s="142"/>
      <c r="AA362" s="139"/>
      <c r="AB362" s="139"/>
      <c r="AC362" s="140"/>
      <c r="AD362" s="140"/>
      <c r="AE362" s="140"/>
    </row>
    <row r="363">
      <c r="A363" s="130"/>
      <c r="B363" s="131"/>
      <c r="C363" s="131"/>
      <c r="D363" s="130"/>
      <c r="E363" s="132"/>
      <c r="F363" s="132"/>
      <c r="G363" s="133"/>
      <c r="H363" s="134"/>
      <c r="I363" s="134"/>
      <c r="J363" s="134"/>
      <c r="K363" s="134"/>
      <c r="L363" s="134"/>
      <c r="M363" s="134"/>
      <c r="N363" s="143"/>
      <c r="O363" s="136"/>
      <c r="P363" s="136"/>
      <c r="Q363" s="137"/>
      <c r="R363" s="138"/>
      <c r="S363" s="138"/>
      <c r="T363" s="139"/>
      <c r="U363" s="139"/>
      <c r="V363" s="139"/>
      <c r="W363" s="140"/>
      <c r="X363" s="141"/>
      <c r="Y363" s="140"/>
      <c r="Z363" s="142"/>
      <c r="AA363" s="139"/>
      <c r="AB363" s="139"/>
      <c r="AC363" s="140"/>
      <c r="AD363" s="140"/>
      <c r="AE363" s="140"/>
    </row>
    <row r="364">
      <c r="A364" s="130"/>
      <c r="B364" s="131"/>
      <c r="C364" s="131"/>
      <c r="D364" s="130"/>
      <c r="E364" s="132"/>
      <c r="F364" s="132"/>
      <c r="G364" s="133"/>
      <c r="H364" s="134"/>
      <c r="I364" s="134"/>
      <c r="J364" s="134"/>
      <c r="K364" s="134"/>
      <c r="L364" s="134"/>
      <c r="M364" s="134"/>
      <c r="N364" s="143"/>
      <c r="O364" s="136"/>
      <c r="P364" s="136"/>
      <c r="Q364" s="137"/>
      <c r="R364" s="138"/>
      <c r="S364" s="138"/>
      <c r="T364" s="139"/>
      <c r="U364" s="139"/>
      <c r="V364" s="139"/>
      <c r="W364" s="140"/>
      <c r="X364" s="141"/>
      <c r="Y364" s="140"/>
      <c r="Z364" s="142"/>
      <c r="AA364" s="139"/>
      <c r="AB364" s="139"/>
      <c r="AC364" s="140"/>
      <c r="AD364" s="140"/>
      <c r="AE364" s="140"/>
    </row>
    <row r="365">
      <c r="A365" s="130"/>
      <c r="B365" s="131"/>
      <c r="C365" s="131"/>
      <c r="D365" s="130"/>
      <c r="E365" s="132"/>
      <c r="F365" s="132"/>
      <c r="G365" s="133"/>
      <c r="H365" s="134"/>
      <c r="I365" s="134"/>
      <c r="J365" s="134"/>
      <c r="K365" s="134"/>
      <c r="L365" s="134"/>
      <c r="M365" s="134"/>
      <c r="N365" s="143"/>
      <c r="O365" s="136"/>
      <c r="P365" s="136"/>
      <c r="Q365" s="137"/>
      <c r="R365" s="138"/>
      <c r="S365" s="138"/>
      <c r="T365" s="139"/>
      <c r="U365" s="139"/>
      <c r="V365" s="139"/>
      <c r="W365" s="140"/>
      <c r="X365" s="141"/>
      <c r="Y365" s="140"/>
      <c r="Z365" s="142"/>
      <c r="AA365" s="139"/>
      <c r="AB365" s="139"/>
      <c r="AC365" s="140"/>
      <c r="AD365" s="140"/>
      <c r="AE365" s="140"/>
    </row>
    <row r="366">
      <c r="A366" s="130"/>
      <c r="B366" s="131"/>
      <c r="C366" s="131"/>
      <c r="D366" s="130"/>
      <c r="E366" s="132"/>
      <c r="F366" s="132"/>
      <c r="G366" s="133"/>
      <c r="H366" s="134"/>
      <c r="I366" s="134"/>
      <c r="J366" s="134"/>
      <c r="K366" s="134"/>
      <c r="L366" s="134"/>
      <c r="M366" s="134"/>
      <c r="N366" s="143"/>
      <c r="O366" s="136"/>
      <c r="P366" s="136"/>
      <c r="Q366" s="137"/>
      <c r="R366" s="138"/>
      <c r="S366" s="138"/>
      <c r="T366" s="139"/>
      <c r="U366" s="139"/>
      <c r="V366" s="139"/>
      <c r="W366" s="140"/>
      <c r="X366" s="141"/>
      <c r="Y366" s="140"/>
      <c r="Z366" s="142"/>
      <c r="AA366" s="139"/>
      <c r="AB366" s="139"/>
      <c r="AC366" s="140"/>
      <c r="AD366" s="140"/>
      <c r="AE366" s="140"/>
    </row>
    <row r="367">
      <c r="A367" s="130"/>
      <c r="B367" s="131"/>
      <c r="C367" s="131"/>
      <c r="D367" s="130"/>
      <c r="E367" s="132"/>
      <c r="F367" s="132"/>
      <c r="G367" s="133"/>
      <c r="H367" s="134"/>
      <c r="I367" s="134"/>
      <c r="J367" s="134"/>
      <c r="K367" s="134"/>
      <c r="L367" s="134"/>
      <c r="M367" s="134"/>
      <c r="N367" s="143"/>
      <c r="O367" s="136"/>
      <c r="P367" s="136"/>
      <c r="Q367" s="137"/>
      <c r="R367" s="138"/>
      <c r="S367" s="138"/>
      <c r="T367" s="139"/>
      <c r="U367" s="139"/>
      <c r="V367" s="139"/>
      <c r="W367" s="140"/>
      <c r="X367" s="141"/>
      <c r="Y367" s="140"/>
      <c r="Z367" s="142"/>
      <c r="AA367" s="139"/>
      <c r="AB367" s="139"/>
      <c r="AC367" s="140"/>
      <c r="AD367" s="140"/>
      <c r="AE367" s="140"/>
    </row>
    <row r="368">
      <c r="A368" s="130"/>
      <c r="B368" s="131"/>
      <c r="C368" s="131"/>
      <c r="D368" s="130"/>
      <c r="E368" s="132"/>
      <c r="F368" s="132"/>
      <c r="G368" s="133"/>
      <c r="H368" s="134"/>
      <c r="I368" s="134"/>
      <c r="J368" s="134"/>
      <c r="K368" s="134"/>
      <c r="L368" s="134"/>
      <c r="M368" s="134"/>
      <c r="N368" s="143"/>
      <c r="O368" s="136"/>
      <c r="P368" s="136"/>
      <c r="Q368" s="137"/>
      <c r="R368" s="138"/>
      <c r="S368" s="138"/>
      <c r="T368" s="139"/>
      <c r="U368" s="139"/>
      <c r="V368" s="139"/>
      <c r="W368" s="140"/>
      <c r="X368" s="141"/>
      <c r="Y368" s="140"/>
      <c r="Z368" s="142"/>
      <c r="AA368" s="139"/>
      <c r="AB368" s="139"/>
      <c r="AC368" s="140"/>
      <c r="AD368" s="140"/>
      <c r="AE368" s="140"/>
    </row>
    <row r="369">
      <c r="A369" s="130"/>
      <c r="B369" s="131"/>
      <c r="C369" s="131"/>
      <c r="D369" s="130"/>
      <c r="E369" s="132"/>
      <c r="F369" s="132"/>
      <c r="G369" s="133"/>
      <c r="H369" s="134"/>
      <c r="I369" s="134"/>
      <c r="J369" s="134"/>
      <c r="K369" s="134"/>
      <c r="L369" s="134"/>
      <c r="M369" s="134"/>
      <c r="N369" s="143"/>
      <c r="O369" s="136"/>
      <c r="P369" s="136"/>
      <c r="Q369" s="137"/>
      <c r="R369" s="138"/>
      <c r="S369" s="138"/>
      <c r="T369" s="139"/>
      <c r="U369" s="139"/>
      <c r="V369" s="139"/>
      <c r="W369" s="140"/>
      <c r="X369" s="141"/>
      <c r="Y369" s="140"/>
      <c r="Z369" s="142"/>
      <c r="AA369" s="139"/>
      <c r="AB369" s="139"/>
      <c r="AC369" s="140"/>
      <c r="AD369" s="140"/>
      <c r="AE369" s="140"/>
    </row>
    <row r="370">
      <c r="A370" s="130"/>
      <c r="B370" s="131"/>
      <c r="C370" s="131"/>
      <c r="D370" s="130"/>
      <c r="E370" s="132"/>
      <c r="F370" s="132"/>
      <c r="G370" s="133"/>
      <c r="H370" s="134"/>
      <c r="I370" s="134"/>
      <c r="J370" s="134"/>
      <c r="K370" s="134"/>
      <c r="L370" s="134"/>
      <c r="M370" s="134"/>
      <c r="N370" s="143"/>
      <c r="O370" s="136"/>
      <c r="P370" s="136"/>
      <c r="Q370" s="137"/>
      <c r="R370" s="138"/>
      <c r="S370" s="138"/>
      <c r="T370" s="139"/>
      <c r="U370" s="139"/>
      <c r="V370" s="139"/>
      <c r="W370" s="140"/>
      <c r="X370" s="141"/>
      <c r="Y370" s="140"/>
      <c r="Z370" s="142"/>
      <c r="AA370" s="139"/>
      <c r="AB370" s="139"/>
      <c r="AC370" s="140"/>
      <c r="AD370" s="140"/>
      <c r="AE370" s="140"/>
    </row>
    <row r="371">
      <c r="A371" s="130"/>
      <c r="B371" s="131"/>
      <c r="C371" s="131"/>
      <c r="D371" s="130"/>
      <c r="E371" s="132"/>
      <c r="F371" s="132"/>
      <c r="G371" s="133"/>
      <c r="H371" s="134"/>
      <c r="I371" s="134"/>
      <c r="J371" s="134"/>
      <c r="K371" s="134"/>
      <c r="L371" s="134"/>
      <c r="M371" s="134"/>
      <c r="N371" s="143"/>
      <c r="O371" s="136"/>
      <c r="P371" s="136"/>
      <c r="Q371" s="137"/>
      <c r="R371" s="138"/>
      <c r="S371" s="138"/>
      <c r="T371" s="139"/>
      <c r="U371" s="139"/>
      <c r="V371" s="139"/>
      <c r="W371" s="140"/>
      <c r="X371" s="141"/>
      <c r="Y371" s="140"/>
      <c r="Z371" s="142"/>
      <c r="AA371" s="139"/>
      <c r="AB371" s="139"/>
      <c r="AC371" s="140"/>
      <c r="AD371" s="140"/>
      <c r="AE371" s="140"/>
    </row>
    <row r="372">
      <c r="A372" s="130"/>
      <c r="B372" s="131"/>
      <c r="C372" s="131"/>
      <c r="D372" s="130"/>
      <c r="E372" s="132"/>
      <c r="F372" s="132"/>
      <c r="G372" s="133"/>
      <c r="H372" s="134"/>
      <c r="I372" s="134"/>
      <c r="J372" s="134"/>
      <c r="K372" s="134"/>
      <c r="L372" s="134"/>
      <c r="M372" s="134"/>
      <c r="N372" s="143"/>
      <c r="O372" s="136"/>
      <c r="P372" s="136"/>
      <c r="Q372" s="137"/>
      <c r="R372" s="138"/>
      <c r="S372" s="138"/>
      <c r="T372" s="139"/>
      <c r="U372" s="139"/>
      <c r="V372" s="139"/>
      <c r="W372" s="140"/>
      <c r="X372" s="141"/>
      <c r="Y372" s="140"/>
      <c r="Z372" s="142"/>
      <c r="AA372" s="139"/>
      <c r="AB372" s="139"/>
      <c r="AC372" s="140"/>
      <c r="AD372" s="140"/>
      <c r="AE372" s="140"/>
    </row>
    <row r="373">
      <c r="A373" s="130"/>
      <c r="B373" s="131"/>
      <c r="C373" s="131"/>
      <c r="D373" s="130"/>
      <c r="E373" s="132"/>
      <c r="F373" s="132"/>
      <c r="G373" s="133"/>
      <c r="H373" s="134"/>
      <c r="I373" s="134"/>
      <c r="J373" s="134"/>
      <c r="K373" s="134"/>
      <c r="L373" s="134"/>
      <c r="M373" s="134"/>
      <c r="N373" s="143"/>
      <c r="O373" s="136"/>
      <c r="P373" s="136"/>
      <c r="Q373" s="137"/>
      <c r="R373" s="138"/>
      <c r="S373" s="138"/>
      <c r="T373" s="139"/>
      <c r="U373" s="139"/>
      <c r="V373" s="139"/>
      <c r="W373" s="140"/>
      <c r="X373" s="141"/>
      <c r="Y373" s="140"/>
      <c r="Z373" s="142"/>
      <c r="AA373" s="139"/>
      <c r="AB373" s="139"/>
      <c r="AC373" s="140"/>
      <c r="AD373" s="140"/>
      <c r="AE373" s="140"/>
    </row>
    <row r="374">
      <c r="A374" s="130"/>
      <c r="B374" s="131"/>
      <c r="C374" s="131"/>
      <c r="D374" s="130"/>
      <c r="E374" s="132"/>
      <c r="F374" s="132"/>
      <c r="G374" s="133"/>
      <c r="H374" s="134"/>
      <c r="I374" s="134"/>
      <c r="J374" s="134"/>
      <c r="K374" s="134"/>
      <c r="L374" s="134"/>
      <c r="M374" s="134"/>
      <c r="N374" s="143"/>
      <c r="O374" s="136"/>
      <c r="P374" s="136"/>
      <c r="Q374" s="137"/>
      <c r="R374" s="138"/>
      <c r="S374" s="138"/>
      <c r="T374" s="139"/>
      <c r="U374" s="139"/>
      <c r="V374" s="139"/>
      <c r="W374" s="140"/>
      <c r="X374" s="141"/>
      <c r="Y374" s="140"/>
      <c r="Z374" s="142"/>
      <c r="AA374" s="139"/>
      <c r="AB374" s="139"/>
      <c r="AC374" s="140"/>
      <c r="AD374" s="140"/>
      <c r="AE374" s="140"/>
    </row>
    <row r="375">
      <c r="A375" s="130"/>
      <c r="B375" s="131"/>
      <c r="C375" s="131"/>
      <c r="D375" s="130"/>
      <c r="E375" s="132"/>
      <c r="F375" s="132"/>
      <c r="G375" s="133"/>
      <c r="H375" s="134"/>
      <c r="I375" s="134"/>
      <c r="J375" s="134"/>
      <c r="K375" s="134"/>
      <c r="L375" s="134"/>
      <c r="M375" s="134"/>
      <c r="N375" s="143"/>
      <c r="O375" s="136"/>
      <c r="P375" s="136"/>
      <c r="Q375" s="137"/>
      <c r="R375" s="138"/>
      <c r="S375" s="138"/>
      <c r="T375" s="139"/>
      <c r="U375" s="139"/>
      <c r="V375" s="139"/>
      <c r="W375" s="140"/>
      <c r="X375" s="141"/>
      <c r="Y375" s="140"/>
      <c r="Z375" s="142"/>
      <c r="AA375" s="139"/>
      <c r="AB375" s="139"/>
      <c r="AC375" s="140"/>
      <c r="AD375" s="140"/>
      <c r="AE375" s="140"/>
    </row>
    <row r="376">
      <c r="A376" s="130"/>
      <c r="B376" s="131"/>
      <c r="C376" s="131"/>
      <c r="D376" s="130"/>
      <c r="E376" s="132"/>
      <c r="F376" s="132"/>
      <c r="G376" s="133"/>
      <c r="H376" s="134"/>
      <c r="I376" s="134"/>
      <c r="J376" s="134"/>
      <c r="K376" s="134"/>
      <c r="L376" s="134"/>
      <c r="M376" s="134"/>
      <c r="N376" s="143"/>
      <c r="O376" s="136"/>
      <c r="P376" s="136"/>
      <c r="Q376" s="137"/>
      <c r="R376" s="138"/>
      <c r="S376" s="138"/>
      <c r="T376" s="139"/>
      <c r="U376" s="139"/>
      <c r="V376" s="139"/>
      <c r="W376" s="140"/>
      <c r="X376" s="141"/>
      <c r="Y376" s="140"/>
      <c r="Z376" s="142"/>
      <c r="AA376" s="139"/>
      <c r="AB376" s="139"/>
      <c r="AC376" s="140"/>
      <c r="AD376" s="140"/>
      <c r="AE376" s="140"/>
    </row>
    <row r="377">
      <c r="A377" s="130"/>
      <c r="B377" s="131"/>
      <c r="C377" s="131"/>
      <c r="D377" s="130"/>
      <c r="E377" s="132"/>
      <c r="F377" s="132"/>
      <c r="G377" s="133"/>
      <c r="H377" s="134"/>
      <c r="I377" s="134"/>
      <c r="J377" s="134"/>
      <c r="K377" s="134"/>
      <c r="L377" s="134"/>
      <c r="M377" s="134"/>
      <c r="N377" s="143"/>
      <c r="O377" s="136"/>
      <c r="P377" s="136"/>
      <c r="Q377" s="137"/>
      <c r="R377" s="138"/>
      <c r="S377" s="138"/>
      <c r="T377" s="139"/>
      <c r="U377" s="139"/>
      <c r="V377" s="139"/>
      <c r="W377" s="140"/>
      <c r="X377" s="141"/>
      <c r="Y377" s="140"/>
      <c r="Z377" s="142"/>
      <c r="AA377" s="139"/>
      <c r="AB377" s="139"/>
      <c r="AC377" s="140"/>
      <c r="AD377" s="140"/>
      <c r="AE377" s="140"/>
    </row>
    <row r="378">
      <c r="A378" s="130"/>
      <c r="B378" s="131"/>
      <c r="C378" s="131"/>
      <c r="D378" s="130"/>
      <c r="E378" s="132"/>
      <c r="F378" s="132"/>
      <c r="G378" s="133"/>
      <c r="H378" s="134"/>
      <c r="I378" s="134"/>
      <c r="J378" s="134"/>
      <c r="K378" s="134"/>
      <c r="L378" s="134"/>
      <c r="M378" s="134"/>
      <c r="N378" s="143"/>
      <c r="O378" s="136"/>
      <c r="P378" s="136"/>
      <c r="Q378" s="137"/>
      <c r="R378" s="138"/>
      <c r="S378" s="138"/>
      <c r="T378" s="139"/>
      <c r="U378" s="139"/>
      <c r="V378" s="139"/>
      <c r="W378" s="140"/>
      <c r="X378" s="141"/>
      <c r="Y378" s="140"/>
      <c r="Z378" s="142"/>
      <c r="AA378" s="139"/>
      <c r="AB378" s="139"/>
      <c r="AC378" s="140"/>
      <c r="AD378" s="140"/>
      <c r="AE378" s="140"/>
    </row>
    <row r="379">
      <c r="A379" s="130"/>
      <c r="B379" s="131"/>
      <c r="C379" s="131"/>
      <c r="D379" s="130"/>
      <c r="E379" s="132"/>
      <c r="F379" s="132"/>
      <c r="G379" s="133"/>
      <c r="H379" s="134"/>
      <c r="I379" s="134"/>
      <c r="J379" s="134"/>
      <c r="K379" s="134"/>
      <c r="L379" s="134"/>
      <c r="M379" s="134"/>
      <c r="N379" s="143"/>
      <c r="O379" s="136"/>
      <c r="P379" s="136"/>
      <c r="Q379" s="137"/>
      <c r="R379" s="138"/>
      <c r="S379" s="138"/>
      <c r="T379" s="139"/>
      <c r="U379" s="139"/>
      <c r="V379" s="139"/>
      <c r="W379" s="140"/>
      <c r="X379" s="141"/>
      <c r="Y379" s="140"/>
      <c r="Z379" s="142"/>
      <c r="AA379" s="139"/>
      <c r="AB379" s="139"/>
      <c r="AC379" s="140"/>
      <c r="AD379" s="140"/>
      <c r="AE379" s="140"/>
    </row>
    <row r="380">
      <c r="A380" s="130"/>
      <c r="B380" s="131"/>
      <c r="C380" s="131"/>
      <c r="D380" s="130"/>
      <c r="E380" s="132"/>
      <c r="F380" s="132"/>
      <c r="G380" s="133"/>
      <c r="H380" s="134"/>
      <c r="I380" s="134"/>
      <c r="J380" s="134"/>
      <c r="K380" s="134"/>
      <c r="L380" s="134"/>
      <c r="M380" s="134"/>
      <c r="N380" s="143"/>
      <c r="O380" s="136"/>
      <c r="P380" s="136"/>
      <c r="Q380" s="137"/>
      <c r="R380" s="138"/>
      <c r="S380" s="138"/>
      <c r="T380" s="139"/>
      <c r="U380" s="139"/>
      <c r="V380" s="139"/>
      <c r="W380" s="140"/>
      <c r="X380" s="141"/>
      <c r="Y380" s="140"/>
      <c r="Z380" s="142"/>
      <c r="AA380" s="139"/>
      <c r="AB380" s="139"/>
      <c r="AC380" s="140"/>
      <c r="AD380" s="140"/>
      <c r="AE380" s="140"/>
    </row>
    <row r="381">
      <c r="A381" s="130"/>
      <c r="B381" s="131"/>
      <c r="C381" s="131"/>
      <c r="D381" s="130"/>
      <c r="E381" s="132"/>
      <c r="F381" s="132"/>
      <c r="G381" s="133"/>
      <c r="H381" s="134"/>
      <c r="I381" s="134"/>
      <c r="J381" s="134"/>
      <c r="K381" s="134"/>
      <c r="L381" s="134"/>
      <c r="M381" s="134"/>
      <c r="N381" s="143"/>
      <c r="O381" s="136"/>
      <c r="P381" s="136"/>
      <c r="Q381" s="137"/>
      <c r="R381" s="138"/>
      <c r="S381" s="138"/>
      <c r="T381" s="139"/>
      <c r="U381" s="139"/>
      <c r="V381" s="139"/>
      <c r="W381" s="140"/>
      <c r="X381" s="141"/>
      <c r="Y381" s="140"/>
      <c r="Z381" s="142"/>
      <c r="AA381" s="139"/>
      <c r="AB381" s="139"/>
      <c r="AC381" s="140"/>
      <c r="AD381" s="140"/>
      <c r="AE381" s="140"/>
    </row>
    <row r="382">
      <c r="A382" s="130"/>
      <c r="B382" s="131"/>
      <c r="C382" s="131"/>
      <c r="D382" s="130"/>
      <c r="E382" s="132"/>
      <c r="F382" s="132"/>
      <c r="G382" s="133"/>
      <c r="H382" s="134"/>
      <c r="I382" s="134"/>
      <c r="J382" s="134"/>
      <c r="K382" s="134"/>
      <c r="L382" s="134"/>
      <c r="M382" s="134"/>
      <c r="N382" s="143"/>
      <c r="O382" s="136"/>
      <c r="P382" s="136"/>
      <c r="Q382" s="137"/>
      <c r="R382" s="138"/>
      <c r="S382" s="138"/>
      <c r="T382" s="139"/>
      <c r="U382" s="139"/>
      <c r="V382" s="139"/>
      <c r="W382" s="140"/>
      <c r="X382" s="141"/>
      <c r="Y382" s="140"/>
      <c r="Z382" s="142"/>
      <c r="AA382" s="139"/>
      <c r="AB382" s="139"/>
      <c r="AC382" s="140"/>
      <c r="AD382" s="140"/>
      <c r="AE382" s="140"/>
    </row>
    <row r="383">
      <c r="A383" s="130"/>
      <c r="B383" s="131"/>
      <c r="C383" s="131"/>
      <c r="D383" s="130"/>
      <c r="E383" s="132"/>
      <c r="F383" s="132"/>
      <c r="G383" s="133"/>
      <c r="H383" s="134"/>
      <c r="I383" s="134"/>
      <c r="J383" s="134"/>
      <c r="K383" s="134"/>
      <c r="L383" s="134"/>
      <c r="M383" s="134"/>
      <c r="N383" s="143"/>
      <c r="O383" s="136"/>
      <c r="P383" s="136"/>
      <c r="Q383" s="137"/>
      <c r="R383" s="138"/>
      <c r="S383" s="138"/>
      <c r="T383" s="139"/>
      <c r="U383" s="139"/>
      <c r="V383" s="139"/>
      <c r="W383" s="140"/>
      <c r="X383" s="141"/>
      <c r="Y383" s="140"/>
      <c r="Z383" s="142"/>
      <c r="AA383" s="139"/>
      <c r="AB383" s="139"/>
      <c r="AC383" s="140"/>
      <c r="AD383" s="140"/>
      <c r="AE383" s="140"/>
    </row>
    <row r="384">
      <c r="A384" s="130"/>
      <c r="B384" s="131"/>
      <c r="C384" s="131"/>
      <c r="D384" s="130"/>
      <c r="E384" s="132"/>
      <c r="F384" s="132"/>
      <c r="G384" s="133"/>
      <c r="H384" s="134"/>
      <c r="I384" s="134"/>
      <c r="J384" s="134"/>
      <c r="K384" s="134"/>
      <c r="L384" s="134"/>
      <c r="M384" s="134"/>
      <c r="N384" s="143"/>
      <c r="O384" s="136"/>
      <c r="P384" s="136"/>
      <c r="Q384" s="137"/>
      <c r="R384" s="138"/>
      <c r="S384" s="138"/>
      <c r="T384" s="139"/>
      <c r="U384" s="139"/>
      <c r="V384" s="139"/>
      <c r="W384" s="140"/>
      <c r="X384" s="141"/>
      <c r="Y384" s="140"/>
      <c r="Z384" s="142"/>
      <c r="AA384" s="139"/>
      <c r="AB384" s="139"/>
      <c r="AC384" s="140"/>
      <c r="AD384" s="140"/>
      <c r="AE384" s="140"/>
    </row>
    <row r="385">
      <c r="A385" s="130"/>
      <c r="B385" s="131"/>
      <c r="C385" s="131"/>
      <c r="D385" s="130"/>
      <c r="E385" s="132"/>
      <c r="F385" s="132"/>
      <c r="G385" s="133"/>
      <c r="H385" s="134"/>
      <c r="I385" s="134"/>
      <c r="J385" s="134"/>
      <c r="K385" s="134"/>
      <c r="L385" s="134"/>
      <c r="M385" s="134"/>
      <c r="N385" s="143"/>
      <c r="O385" s="136"/>
      <c r="P385" s="136"/>
      <c r="Q385" s="137"/>
      <c r="R385" s="138"/>
      <c r="S385" s="138"/>
      <c r="T385" s="139"/>
      <c r="U385" s="139"/>
      <c r="V385" s="139"/>
      <c r="W385" s="140"/>
      <c r="X385" s="141"/>
      <c r="Y385" s="140"/>
      <c r="Z385" s="142"/>
      <c r="AA385" s="139"/>
      <c r="AB385" s="139"/>
      <c r="AC385" s="140"/>
      <c r="AD385" s="140"/>
      <c r="AE385" s="140"/>
    </row>
    <row r="386">
      <c r="A386" s="130"/>
      <c r="B386" s="131"/>
      <c r="C386" s="131"/>
      <c r="D386" s="130"/>
      <c r="E386" s="132"/>
      <c r="F386" s="132"/>
      <c r="G386" s="133"/>
      <c r="H386" s="134"/>
      <c r="I386" s="134"/>
      <c r="J386" s="134"/>
      <c r="K386" s="134"/>
      <c r="L386" s="134"/>
      <c r="M386" s="134"/>
      <c r="N386" s="143"/>
      <c r="O386" s="136"/>
      <c r="P386" s="136"/>
      <c r="Q386" s="137"/>
      <c r="R386" s="138"/>
      <c r="S386" s="138"/>
      <c r="T386" s="139"/>
      <c r="U386" s="139"/>
      <c r="V386" s="139"/>
      <c r="W386" s="140"/>
      <c r="X386" s="141"/>
      <c r="Y386" s="140"/>
      <c r="Z386" s="142"/>
      <c r="AA386" s="139"/>
      <c r="AB386" s="139"/>
      <c r="AC386" s="140"/>
      <c r="AD386" s="140"/>
      <c r="AE386" s="140"/>
    </row>
    <row r="387">
      <c r="A387" s="130"/>
      <c r="B387" s="131"/>
      <c r="C387" s="131"/>
      <c r="D387" s="130"/>
      <c r="E387" s="132"/>
      <c r="F387" s="132"/>
      <c r="G387" s="133"/>
      <c r="H387" s="134"/>
      <c r="I387" s="134"/>
      <c r="J387" s="134"/>
      <c r="K387" s="134"/>
      <c r="L387" s="134"/>
      <c r="M387" s="134"/>
      <c r="N387" s="143"/>
      <c r="O387" s="136"/>
      <c r="P387" s="136"/>
      <c r="Q387" s="137"/>
      <c r="R387" s="138"/>
      <c r="S387" s="138"/>
      <c r="T387" s="139"/>
      <c r="U387" s="139"/>
      <c r="V387" s="139"/>
      <c r="W387" s="140"/>
      <c r="X387" s="141"/>
      <c r="Y387" s="140"/>
      <c r="Z387" s="142"/>
      <c r="AA387" s="139"/>
      <c r="AB387" s="139"/>
      <c r="AC387" s="140"/>
      <c r="AD387" s="140"/>
      <c r="AE387" s="140"/>
    </row>
    <row r="388">
      <c r="A388" s="130"/>
      <c r="B388" s="131"/>
      <c r="C388" s="131"/>
      <c r="D388" s="130"/>
      <c r="E388" s="132"/>
      <c r="F388" s="132"/>
      <c r="G388" s="133"/>
      <c r="H388" s="134"/>
      <c r="I388" s="134"/>
      <c r="J388" s="134"/>
      <c r="K388" s="134"/>
      <c r="L388" s="134"/>
      <c r="M388" s="134"/>
      <c r="N388" s="143"/>
      <c r="O388" s="136"/>
      <c r="P388" s="136"/>
      <c r="Q388" s="137"/>
      <c r="R388" s="138"/>
      <c r="S388" s="138"/>
      <c r="T388" s="139"/>
      <c r="U388" s="139"/>
      <c r="V388" s="139"/>
      <c r="W388" s="140"/>
      <c r="X388" s="141"/>
      <c r="Y388" s="140"/>
      <c r="Z388" s="142"/>
      <c r="AA388" s="139"/>
      <c r="AB388" s="139"/>
      <c r="AC388" s="140"/>
      <c r="AD388" s="140"/>
      <c r="AE388" s="140"/>
    </row>
    <row r="389">
      <c r="A389" s="130"/>
      <c r="B389" s="131"/>
      <c r="C389" s="131"/>
      <c r="D389" s="130"/>
      <c r="E389" s="132"/>
      <c r="F389" s="132"/>
      <c r="G389" s="133"/>
      <c r="H389" s="134"/>
      <c r="I389" s="134"/>
      <c r="J389" s="134"/>
      <c r="K389" s="134"/>
      <c r="L389" s="134"/>
      <c r="M389" s="134"/>
      <c r="N389" s="143"/>
      <c r="O389" s="136"/>
      <c r="P389" s="136"/>
      <c r="Q389" s="137"/>
      <c r="R389" s="138"/>
      <c r="S389" s="138"/>
      <c r="T389" s="139"/>
      <c r="U389" s="139"/>
      <c r="V389" s="139"/>
      <c r="W389" s="140"/>
      <c r="X389" s="141"/>
      <c r="Y389" s="140"/>
      <c r="Z389" s="142"/>
      <c r="AA389" s="139"/>
      <c r="AB389" s="139"/>
      <c r="AC389" s="140"/>
      <c r="AD389" s="140"/>
      <c r="AE389" s="140"/>
    </row>
    <row r="390">
      <c r="A390" s="130"/>
      <c r="B390" s="131"/>
      <c r="C390" s="131"/>
      <c r="D390" s="130"/>
      <c r="E390" s="132"/>
      <c r="F390" s="132"/>
      <c r="G390" s="133"/>
      <c r="H390" s="134"/>
      <c r="I390" s="134"/>
      <c r="J390" s="134"/>
      <c r="K390" s="134"/>
      <c r="L390" s="134"/>
      <c r="M390" s="134"/>
      <c r="N390" s="143"/>
      <c r="O390" s="136"/>
      <c r="P390" s="136"/>
      <c r="Q390" s="137"/>
      <c r="R390" s="138"/>
      <c r="S390" s="138"/>
      <c r="T390" s="139"/>
      <c r="U390" s="139"/>
      <c r="V390" s="139"/>
      <c r="W390" s="140"/>
      <c r="X390" s="141"/>
      <c r="Y390" s="140"/>
      <c r="Z390" s="142"/>
      <c r="AA390" s="139"/>
      <c r="AB390" s="139"/>
      <c r="AC390" s="140"/>
      <c r="AD390" s="140"/>
      <c r="AE390" s="140"/>
    </row>
    <row r="391">
      <c r="A391" s="130"/>
      <c r="B391" s="131"/>
      <c r="C391" s="131"/>
      <c r="D391" s="130"/>
      <c r="E391" s="132"/>
      <c r="F391" s="132"/>
      <c r="G391" s="133"/>
      <c r="H391" s="134"/>
      <c r="I391" s="134"/>
      <c r="J391" s="134"/>
      <c r="K391" s="134"/>
      <c r="L391" s="134"/>
      <c r="M391" s="134"/>
      <c r="N391" s="143"/>
      <c r="O391" s="136"/>
      <c r="P391" s="136"/>
      <c r="Q391" s="137"/>
      <c r="R391" s="138"/>
      <c r="S391" s="138"/>
      <c r="T391" s="139"/>
      <c r="U391" s="139"/>
      <c r="V391" s="139"/>
      <c r="W391" s="140"/>
      <c r="X391" s="141"/>
      <c r="Y391" s="140"/>
      <c r="Z391" s="142"/>
      <c r="AA391" s="139"/>
      <c r="AB391" s="139"/>
      <c r="AC391" s="140"/>
      <c r="AD391" s="140"/>
      <c r="AE391" s="140"/>
    </row>
    <row r="392">
      <c r="A392" s="130"/>
      <c r="B392" s="131"/>
      <c r="C392" s="131"/>
      <c r="D392" s="130"/>
      <c r="E392" s="132"/>
      <c r="F392" s="132"/>
      <c r="G392" s="133"/>
      <c r="H392" s="134"/>
      <c r="I392" s="134"/>
      <c r="J392" s="134"/>
      <c r="K392" s="134"/>
      <c r="L392" s="134"/>
      <c r="M392" s="134"/>
      <c r="N392" s="143"/>
      <c r="O392" s="136"/>
      <c r="P392" s="136"/>
      <c r="Q392" s="137"/>
      <c r="R392" s="138"/>
      <c r="S392" s="138"/>
      <c r="T392" s="139"/>
      <c r="U392" s="139"/>
      <c r="V392" s="139"/>
      <c r="W392" s="140"/>
      <c r="X392" s="141"/>
      <c r="Y392" s="140"/>
      <c r="Z392" s="142"/>
      <c r="AA392" s="139"/>
      <c r="AB392" s="139"/>
      <c r="AC392" s="140"/>
      <c r="AD392" s="140"/>
      <c r="AE392" s="140"/>
    </row>
    <row r="393">
      <c r="A393" s="130"/>
      <c r="B393" s="131"/>
      <c r="C393" s="131"/>
      <c r="D393" s="130"/>
      <c r="E393" s="132"/>
      <c r="F393" s="132"/>
      <c r="G393" s="133"/>
      <c r="H393" s="134"/>
      <c r="I393" s="134"/>
      <c r="J393" s="134"/>
      <c r="K393" s="134"/>
      <c r="L393" s="134"/>
      <c r="M393" s="134"/>
      <c r="N393" s="143"/>
      <c r="O393" s="136"/>
      <c r="P393" s="136"/>
      <c r="Q393" s="137"/>
      <c r="R393" s="138"/>
      <c r="S393" s="138"/>
      <c r="T393" s="139"/>
      <c r="U393" s="139"/>
      <c r="V393" s="139"/>
      <c r="W393" s="140"/>
      <c r="X393" s="141"/>
      <c r="Y393" s="140"/>
      <c r="Z393" s="142"/>
      <c r="AA393" s="139"/>
      <c r="AB393" s="139"/>
      <c r="AC393" s="140"/>
      <c r="AD393" s="140"/>
      <c r="AE393" s="140"/>
    </row>
    <row r="394">
      <c r="A394" s="130"/>
      <c r="B394" s="131"/>
      <c r="C394" s="131"/>
      <c r="D394" s="130"/>
      <c r="E394" s="132"/>
      <c r="F394" s="132"/>
      <c r="G394" s="133"/>
      <c r="H394" s="134"/>
      <c r="I394" s="134"/>
      <c r="J394" s="134"/>
      <c r="K394" s="134"/>
      <c r="L394" s="134"/>
      <c r="M394" s="134"/>
      <c r="N394" s="143"/>
      <c r="O394" s="136"/>
      <c r="P394" s="136"/>
      <c r="Q394" s="137"/>
      <c r="R394" s="138"/>
      <c r="S394" s="138"/>
      <c r="T394" s="139"/>
      <c r="U394" s="139"/>
      <c r="V394" s="139"/>
      <c r="W394" s="140"/>
      <c r="X394" s="141"/>
      <c r="Y394" s="140"/>
      <c r="Z394" s="142"/>
      <c r="AA394" s="139"/>
      <c r="AB394" s="139"/>
      <c r="AC394" s="140"/>
      <c r="AD394" s="140"/>
      <c r="AE394" s="140"/>
    </row>
    <row r="395">
      <c r="A395" s="130"/>
      <c r="B395" s="131"/>
      <c r="C395" s="131"/>
      <c r="D395" s="130"/>
      <c r="E395" s="132"/>
      <c r="F395" s="132"/>
      <c r="G395" s="133"/>
      <c r="H395" s="134"/>
      <c r="I395" s="134"/>
      <c r="J395" s="134"/>
      <c r="K395" s="134"/>
      <c r="L395" s="134"/>
      <c r="M395" s="134"/>
      <c r="N395" s="143"/>
      <c r="O395" s="136"/>
      <c r="P395" s="136"/>
      <c r="Q395" s="137"/>
      <c r="R395" s="138"/>
      <c r="S395" s="138"/>
      <c r="T395" s="139"/>
      <c r="U395" s="139"/>
      <c r="V395" s="139"/>
      <c r="W395" s="140"/>
      <c r="X395" s="141"/>
      <c r="Y395" s="140"/>
      <c r="Z395" s="142"/>
      <c r="AA395" s="139"/>
      <c r="AB395" s="139"/>
      <c r="AC395" s="140"/>
      <c r="AD395" s="140"/>
      <c r="AE395" s="140"/>
    </row>
    <row r="396">
      <c r="A396" s="130"/>
      <c r="B396" s="131"/>
      <c r="C396" s="131"/>
      <c r="D396" s="130"/>
      <c r="E396" s="132"/>
      <c r="F396" s="132"/>
      <c r="G396" s="133"/>
      <c r="H396" s="134"/>
      <c r="I396" s="134"/>
      <c r="J396" s="134"/>
      <c r="K396" s="134"/>
      <c r="L396" s="134"/>
      <c r="M396" s="134"/>
      <c r="N396" s="143"/>
      <c r="O396" s="136"/>
      <c r="P396" s="136"/>
      <c r="Q396" s="137"/>
      <c r="R396" s="138"/>
      <c r="S396" s="138"/>
      <c r="T396" s="139"/>
      <c r="U396" s="139"/>
      <c r="V396" s="139"/>
      <c r="W396" s="140"/>
      <c r="X396" s="141"/>
      <c r="Y396" s="140"/>
      <c r="Z396" s="142"/>
      <c r="AA396" s="139"/>
      <c r="AB396" s="139"/>
      <c r="AC396" s="140"/>
      <c r="AD396" s="140"/>
      <c r="AE396" s="140"/>
    </row>
    <row r="397">
      <c r="A397" s="130"/>
      <c r="B397" s="131"/>
      <c r="C397" s="131"/>
      <c r="D397" s="130"/>
      <c r="E397" s="132"/>
      <c r="F397" s="132"/>
      <c r="G397" s="133"/>
      <c r="H397" s="134"/>
      <c r="I397" s="134"/>
      <c r="J397" s="134"/>
      <c r="K397" s="134"/>
      <c r="L397" s="134"/>
      <c r="M397" s="134"/>
      <c r="N397" s="143"/>
      <c r="O397" s="136"/>
      <c r="P397" s="136"/>
      <c r="Q397" s="137"/>
      <c r="R397" s="138"/>
      <c r="S397" s="138"/>
      <c r="T397" s="139"/>
      <c r="U397" s="139"/>
      <c r="V397" s="139"/>
      <c r="W397" s="140"/>
      <c r="X397" s="141"/>
      <c r="Y397" s="140"/>
      <c r="Z397" s="142"/>
      <c r="AA397" s="139"/>
      <c r="AB397" s="139"/>
      <c r="AC397" s="140"/>
      <c r="AD397" s="140"/>
      <c r="AE397" s="140"/>
    </row>
    <row r="398">
      <c r="A398" s="130"/>
      <c r="B398" s="131"/>
      <c r="C398" s="131"/>
      <c r="D398" s="130"/>
      <c r="E398" s="132"/>
      <c r="F398" s="132"/>
      <c r="G398" s="133"/>
      <c r="H398" s="134"/>
      <c r="I398" s="134"/>
      <c r="J398" s="134"/>
      <c r="K398" s="134"/>
      <c r="L398" s="134"/>
      <c r="M398" s="134"/>
      <c r="N398" s="143"/>
      <c r="O398" s="136"/>
      <c r="P398" s="136"/>
      <c r="Q398" s="137"/>
      <c r="R398" s="138"/>
      <c r="S398" s="138"/>
      <c r="T398" s="139"/>
      <c r="U398" s="139"/>
      <c r="V398" s="139"/>
      <c r="W398" s="140"/>
      <c r="X398" s="141"/>
      <c r="Y398" s="140"/>
      <c r="Z398" s="142"/>
      <c r="AA398" s="139"/>
      <c r="AB398" s="139"/>
      <c r="AC398" s="140"/>
      <c r="AD398" s="140"/>
      <c r="AE398" s="140"/>
    </row>
    <row r="399">
      <c r="A399" s="130"/>
      <c r="B399" s="131"/>
      <c r="C399" s="131"/>
      <c r="D399" s="130"/>
      <c r="E399" s="132"/>
      <c r="F399" s="132"/>
      <c r="G399" s="133"/>
      <c r="H399" s="134"/>
      <c r="I399" s="134"/>
      <c r="J399" s="134"/>
      <c r="K399" s="134"/>
      <c r="L399" s="134"/>
      <c r="M399" s="134"/>
      <c r="N399" s="143"/>
      <c r="O399" s="136"/>
      <c r="P399" s="136"/>
      <c r="Q399" s="137"/>
      <c r="R399" s="138"/>
      <c r="S399" s="138"/>
      <c r="T399" s="139"/>
      <c r="U399" s="139"/>
      <c r="V399" s="139"/>
      <c r="W399" s="140"/>
      <c r="X399" s="141"/>
      <c r="Y399" s="140"/>
      <c r="Z399" s="142"/>
      <c r="AA399" s="139"/>
      <c r="AB399" s="139"/>
      <c r="AC399" s="140"/>
      <c r="AD399" s="140"/>
      <c r="AE399" s="140"/>
    </row>
    <row r="400">
      <c r="A400" s="130"/>
      <c r="B400" s="131"/>
      <c r="C400" s="131"/>
      <c r="D400" s="130"/>
      <c r="E400" s="132"/>
      <c r="F400" s="132"/>
      <c r="G400" s="133"/>
      <c r="H400" s="134"/>
      <c r="I400" s="134"/>
      <c r="J400" s="134"/>
      <c r="K400" s="134"/>
      <c r="L400" s="134"/>
      <c r="M400" s="134"/>
      <c r="N400" s="143"/>
      <c r="O400" s="136"/>
      <c r="P400" s="136"/>
      <c r="Q400" s="137"/>
      <c r="R400" s="138"/>
      <c r="S400" s="138"/>
      <c r="T400" s="139"/>
      <c r="U400" s="139"/>
      <c r="V400" s="139"/>
      <c r="W400" s="140"/>
      <c r="X400" s="141"/>
      <c r="Y400" s="140"/>
      <c r="Z400" s="142"/>
      <c r="AA400" s="139"/>
      <c r="AB400" s="139"/>
      <c r="AC400" s="140"/>
      <c r="AD400" s="140"/>
      <c r="AE400" s="140"/>
    </row>
    <row r="401">
      <c r="A401" s="130"/>
      <c r="B401" s="131"/>
      <c r="C401" s="131"/>
      <c r="D401" s="130"/>
      <c r="E401" s="132"/>
      <c r="F401" s="132"/>
      <c r="G401" s="133"/>
      <c r="H401" s="134"/>
      <c r="I401" s="134"/>
      <c r="J401" s="134"/>
      <c r="K401" s="134"/>
      <c r="L401" s="134"/>
      <c r="M401" s="134"/>
      <c r="N401" s="143"/>
      <c r="O401" s="136"/>
      <c r="P401" s="136"/>
      <c r="Q401" s="137"/>
      <c r="R401" s="138"/>
      <c r="S401" s="138"/>
      <c r="T401" s="139"/>
      <c r="U401" s="139"/>
      <c r="V401" s="139"/>
      <c r="W401" s="140"/>
      <c r="X401" s="141"/>
      <c r="Y401" s="140"/>
      <c r="Z401" s="142"/>
      <c r="AA401" s="139"/>
      <c r="AB401" s="139"/>
      <c r="AC401" s="140"/>
      <c r="AD401" s="140"/>
      <c r="AE401" s="140"/>
    </row>
    <row r="402">
      <c r="A402" s="130"/>
      <c r="B402" s="131"/>
      <c r="C402" s="131"/>
      <c r="D402" s="130"/>
      <c r="E402" s="132"/>
      <c r="F402" s="132"/>
      <c r="G402" s="133"/>
      <c r="H402" s="134"/>
      <c r="I402" s="134"/>
      <c r="J402" s="134"/>
      <c r="K402" s="134"/>
      <c r="L402" s="134"/>
      <c r="M402" s="134"/>
      <c r="N402" s="143"/>
      <c r="O402" s="136"/>
      <c r="P402" s="136"/>
      <c r="Q402" s="137"/>
      <c r="R402" s="138"/>
      <c r="S402" s="138"/>
      <c r="T402" s="139"/>
      <c r="U402" s="139"/>
      <c r="V402" s="139"/>
      <c r="W402" s="140"/>
      <c r="X402" s="141"/>
      <c r="Y402" s="140"/>
      <c r="Z402" s="142"/>
      <c r="AA402" s="139"/>
      <c r="AB402" s="139"/>
      <c r="AC402" s="140"/>
      <c r="AD402" s="140"/>
      <c r="AE402" s="140"/>
    </row>
    <row r="403">
      <c r="A403" s="130"/>
      <c r="B403" s="131"/>
      <c r="C403" s="131"/>
      <c r="D403" s="130"/>
      <c r="E403" s="132"/>
      <c r="F403" s="132"/>
      <c r="G403" s="133"/>
      <c r="H403" s="134"/>
      <c r="I403" s="134"/>
      <c r="J403" s="134"/>
      <c r="K403" s="134"/>
      <c r="L403" s="134"/>
      <c r="M403" s="134"/>
      <c r="N403" s="143"/>
      <c r="O403" s="136"/>
      <c r="P403" s="136"/>
      <c r="Q403" s="137"/>
      <c r="R403" s="138"/>
      <c r="S403" s="138"/>
      <c r="T403" s="139"/>
      <c r="U403" s="139"/>
      <c r="V403" s="139"/>
      <c r="W403" s="140"/>
      <c r="X403" s="141"/>
      <c r="Y403" s="140"/>
      <c r="Z403" s="142"/>
      <c r="AA403" s="139"/>
      <c r="AB403" s="139"/>
      <c r="AC403" s="140"/>
      <c r="AD403" s="140"/>
      <c r="AE403" s="140"/>
    </row>
    <row r="404">
      <c r="A404" s="130"/>
      <c r="B404" s="131"/>
      <c r="C404" s="131"/>
      <c r="D404" s="130"/>
      <c r="E404" s="132"/>
      <c r="F404" s="132"/>
      <c r="G404" s="133"/>
      <c r="H404" s="134"/>
      <c r="I404" s="134"/>
      <c r="J404" s="134"/>
      <c r="K404" s="134"/>
      <c r="L404" s="134"/>
      <c r="M404" s="134"/>
      <c r="N404" s="143"/>
      <c r="O404" s="136"/>
      <c r="P404" s="136"/>
      <c r="Q404" s="137"/>
      <c r="R404" s="138"/>
      <c r="S404" s="138"/>
      <c r="T404" s="139"/>
      <c r="U404" s="139"/>
      <c r="V404" s="139"/>
      <c r="W404" s="140"/>
      <c r="X404" s="141"/>
      <c r="Y404" s="140"/>
      <c r="Z404" s="142"/>
      <c r="AA404" s="139"/>
      <c r="AB404" s="139"/>
      <c r="AC404" s="140"/>
      <c r="AD404" s="140"/>
      <c r="AE404" s="140"/>
    </row>
    <row r="405">
      <c r="A405" s="130"/>
      <c r="B405" s="131"/>
      <c r="C405" s="131"/>
      <c r="D405" s="130"/>
      <c r="E405" s="132"/>
      <c r="F405" s="132"/>
      <c r="G405" s="133"/>
      <c r="H405" s="134"/>
      <c r="I405" s="134"/>
      <c r="J405" s="134"/>
      <c r="K405" s="134"/>
      <c r="L405" s="134"/>
      <c r="M405" s="134"/>
      <c r="N405" s="143"/>
      <c r="O405" s="136"/>
      <c r="P405" s="136"/>
      <c r="Q405" s="137"/>
      <c r="R405" s="138"/>
      <c r="S405" s="138"/>
      <c r="T405" s="139"/>
      <c r="U405" s="139"/>
      <c r="V405" s="139"/>
      <c r="W405" s="140"/>
      <c r="X405" s="141"/>
      <c r="Y405" s="140"/>
      <c r="Z405" s="142"/>
      <c r="AA405" s="139"/>
      <c r="AB405" s="139"/>
      <c r="AC405" s="140"/>
      <c r="AD405" s="140"/>
      <c r="AE405" s="140"/>
    </row>
    <row r="406">
      <c r="A406" s="130"/>
      <c r="B406" s="131"/>
      <c r="C406" s="131"/>
      <c r="D406" s="130"/>
      <c r="E406" s="132"/>
      <c r="F406" s="132"/>
      <c r="G406" s="133"/>
      <c r="H406" s="134"/>
      <c r="I406" s="134"/>
      <c r="J406" s="134"/>
      <c r="K406" s="134"/>
      <c r="L406" s="134"/>
      <c r="M406" s="134"/>
      <c r="N406" s="143"/>
      <c r="O406" s="136"/>
      <c r="P406" s="136"/>
      <c r="Q406" s="137"/>
      <c r="R406" s="138"/>
      <c r="S406" s="138"/>
      <c r="T406" s="139"/>
      <c r="U406" s="139"/>
      <c r="V406" s="139"/>
      <c r="W406" s="140"/>
      <c r="X406" s="141"/>
      <c r="Y406" s="140"/>
      <c r="Z406" s="142"/>
      <c r="AA406" s="139"/>
      <c r="AB406" s="139"/>
      <c r="AC406" s="140"/>
      <c r="AD406" s="140"/>
      <c r="AE406" s="140"/>
    </row>
    <row r="407">
      <c r="A407" s="130"/>
      <c r="B407" s="131"/>
      <c r="C407" s="131"/>
      <c r="D407" s="130"/>
      <c r="E407" s="132"/>
      <c r="F407" s="132"/>
      <c r="G407" s="133"/>
      <c r="H407" s="134"/>
      <c r="I407" s="134"/>
      <c r="J407" s="134"/>
      <c r="K407" s="134"/>
      <c r="L407" s="134"/>
      <c r="M407" s="134"/>
      <c r="N407" s="143"/>
      <c r="O407" s="136"/>
      <c r="P407" s="136"/>
      <c r="Q407" s="137"/>
      <c r="R407" s="138"/>
      <c r="S407" s="138"/>
      <c r="T407" s="139"/>
      <c r="U407" s="139"/>
      <c r="V407" s="139"/>
      <c r="W407" s="140"/>
      <c r="X407" s="141"/>
      <c r="Y407" s="140"/>
      <c r="Z407" s="142"/>
      <c r="AA407" s="139"/>
      <c r="AB407" s="139"/>
      <c r="AC407" s="140"/>
      <c r="AD407" s="140"/>
      <c r="AE407" s="140"/>
    </row>
    <row r="408">
      <c r="A408" s="130"/>
      <c r="B408" s="131"/>
      <c r="C408" s="131"/>
      <c r="D408" s="130"/>
      <c r="E408" s="132"/>
      <c r="F408" s="132"/>
      <c r="G408" s="133"/>
      <c r="H408" s="134"/>
      <c r="I408" s="134"/>
      <c r="J408" s="134"/>
      <c r="K408" s="134"/>
      <c r="L408" s="134"/>
      <c r="M408" s="134"/>
      <c r="N408" s="143"/>
      <c r="O408" s="136"/>
      <c r="P408" s="136"/>
      <c r="Q408" s="137"/>
      <c r="R408" s="138"/>
      <c r="S408" s="138"/>
      <c r="T408" s="139"/>
      <c r="U408" s="139"/>
      <c r="V408" s="139"/>
      <c r="W408" s="140"/>
      <c r="X408" s="141"/>
      <c r="Y408" s="140"/>
      <c r="Z408" s="142"/>
      <c r="AA408" s="139"/>
      <c r="AB408" s="139"/>
      <c r="AC408" s="140"/>
      <c r="AD408" s="140"/>
      <c r="AE408" s="140"/>
    </row>
    <row r="409">
      <c r="A409" s="130"/>
      <c r="B409" s="131"/>
      <c r="C409" s="131"/>
      <c r="D409" s="130"/>
      <c r="E409" s="132"/>
      <c r="F409" s="132"/>
      <c r="G409" s="133"/>
      <c r="H409" s="134"/>
      <c r="I409" s="134"/>
      <c r="J409" s="134"/>
      <c r="K409" s="134"/>
      <c r="L409" s="134"/>
      <c r="M409" s="134"/>
      <c r="N409" s="143"/>
      <c r="O409" s="136"/>
      <c r="P409" s="136"/>
      <c r="Q409" s="137"/>
      <c r="R409" s="138"/>
      <c r="S409" s="138"/>
      <c r="T409" s="139"/>
      <c r="U409" s="139"/>
      <c r="V409" s="139"/>
      <c r="W409" s="140"/>
      <c r="X409" s="141"/>
      <c r="Y409" s="140"/>
      <c r="Z409" s="142"/>
      <c r="AA409" s="139"/>
      <c r="AB409" s="139"/>
      <c r="AC409" s="140"/>
      <c r="AD409" s="140"/>
      <c r="AE409" s="140"/>
    </row>
    <row r="410">
      <c r="A410" s="130"/>
      <c r="B410" s="131"/>
      <c r="C410" s="131"/>
      <c r="D410" s="130"/>
      <c r="E410" s="132"/>
      <c r="F410" s="132"/>
      <c r="G410" s="133"/>
      <c r="H410" s="134"/>
      <c r="I410" s="134"/>
      <c r="J410" s="134"/>
      <c r="K410" s="134"/>
      <c r="L410" s="134"/>
      <c r="M410" s="134"/>
      <c r="N410" s="143"/>
      <c r="O410" s="136"/>
      <c r="P410" s="136"/>
      <c r="Q410" s="137"/>
      <c r="R410" s="138"/>
      <c r="S410" s="138"/>
      <c r="T410" s="139"/>
      <c r="U410" s="139"/>
      <c r="V410" s="139"/>
      <c r="W410" s="140"/>
      <c r="X410" s="141"/>
      <c r="Y410" s="140"/>
      <c r="Z410" s="142"/>
      <c r="AA410" s="139"/>
      <c r="AB410" s="139"/>
      <c r="AC410" s="140"/>
      <c r="AD410" s="140"/>
      <c r="AE410" s="140"/>
    </row>
    <row r="411">
      <c r="A411" s="130"/>
      <c r="B411" s="131"/>
      <c r="C411" s="131"/>
      <c r="D411" s="130"/>
      <c r="E411" s="132"/>
      <c r="F411" s="132"/>
      <c r="G411" s="133"/>
      <c r="H411" s="134"/>
      <c r="I411" s="134"/>
      <c r="J411" s="134"/>
      <c r="K411" s="134"/>
      <c r="L411" s="134"/>
      <c r="M411" s="134"/>
      <c r="N411" s="143"/>
      <c r="O411" s="136"/>
      <c r="P411" s="136"/>
      <c r="Q411" s="137"/>
      <c r="R411" s="138"/>
      <c r="S411" s="138"/>
      <c r="T411" s="139"/>
      <c r="U411" s="139"/>
      <c r="V411" s="139"/>
      <c r="W411" s="140"/>
      <c r="X411" s="141"/>
      <c r="Y411" s="140"/>
      <c r="Z411" s="142"/>
      <c r="AA411" s="139"/>
      <c r="AB411" s="139"/>
      <c r="AC411" s="140"/>
      <c r="AD411" s="140"/>
      <c r="AE411" s="140"/>
    </row>
    <row r="412">
      <c r="A412" s="130"/>
      <c r="B412" s="131"/>
      <c r="C412" s="131"/>
      <c r="D412" s="130"/>
      <c r="E412" s="132"/>
      <c r="F412" s="132"/>
      <c r="G412" s="133"/>
      <c r="H412" s="134"/>
      <c r="I412" s="134"/>
      <c r="J412" s="134"/>
      <c r="K412" s="134"/>
      <c r="L412" s="134"/>
      <c r="M412" s="134"/>
      <c r="N412" s="143"/>
      <c r="O412" s="136"/>
      <c r="P412" s="136"/>
      <c r="Q412" s="137"/>
      <c r="R412" s="138"/>
      <c r="S412" s="138"/>
      <c r="T412" s="139"/>
      <c r="U412" s="139"/>
      <c r="V412" s="139"/>
      <c r="W412" s="140"/>
      <c r="X412" s="141"/>
      <c r="Y412" s="140"/>
      <c r="Z412" s="142"/>
      <c r="AA412" s="139"/>
      <c r="AB412" s="139"/>
      <c r="AC412" s="140"/>
      <c r="AD412" s="140"/>
      <c r="AE412" s="140"/>
    </row>
    <row r="413">
      <c r="A413" s="130"/>
      <c r="B413" s="131"/>
      <c r="C413" s="131"/>
      <c r="D413" s="130"/>
      <c r="E413" s="132"/>
      <c r="F413" s="132"/>
      <c r="G413" s="133"/>
      <c r="H413" s="134"/>
      <c r="I413" s="134"/>
      <c r="J413" s="134"/>
      <c r="K413" s="134"/>
      <c r="L413" s="134"/>
      <c r="M413" s="134"/>
      <c r="N413" s="143"/>
      <c r="O413" s="136"/>
      <c r="P413" s="136"/>
      <c r="Q413" s="137"/>
      <c r="R413" s="138"/>
      <c r="S413" s="138"/>
      <c r="T413" s="139"/>
      <c r="U413" s="139"/>
      <c r="V413" s="139"/>
      <c r="W413" s="140"/>
      <c r="X413" s="141"/>
      <c r="Y413" s="140"/>
      <c r="Z413" s="142"/>
      <c r="AA413" s="139"/>
      <c r="AB413" s="139"/>
      <c r="AC413" s="140"/>
      <c r="AD413" s="140"/>
      <c r="AE413" s="140"/>
    </row>
    <row r="414">
      <c r="A414" s="130"/>
      <c r="B414" s="131"/>
      <c r="C414" s="131"/>
      <c r="D414" s="130"/>
      <c r="E414" s="132"/>
      <c r="F414" s="132"/>
      <c r="G414" s="133"/>
      <c r="H414" s="134"/>
      <c r="I414" s="134"/>
      <c r="J414" s="134"/>
      <c r="K414" s="134"/>
      <c r="L414" s="134"/>
      <c r="M414" s="134"/>
      <c r="N414" s="143"/>
      <c r="O414" s="136"/>
      <c r="P414" s="136"/>
      <c r="Q414" s="137"/>
      <c r="R414" s="138"/>
      <c r="S414" s="138"/>
      <c r="T414" s="139"/>
      <c r="U414" s="139"/>
      <c r="V414" s="139"/>
      <c r="W414" s="140"/>
      <c r="X414" s="141"/>
      <c r="Y414" s="140"/>
      <c r="Z414" s="142"/>
      <c r="AA414" s="139"/>
      <c r="AB414" s="139"/>
      <c r="AC414" s="140"/>
      <c r="AD414" s="140"/>
      <c r="AE414" s="140"/>
    </row>
    <row r="415">
      <c r="A415" s="130"/>
      <c r="B415" s="131"/>
      <c r="C415" s="131"/>
      <c r="D415" s="130"/>
      <c r="E415" s="132"/>
      <c r="F415" s="132"/>
      <c r="G415" s="133"/>
      <c r="H415" s="134"/>
      <c r="I415" s="134"/>
      <c r="J415" s="134"/>
      <c r="K415" s="134"/>
      <c r="L415" s="134"/>
      <c r="M415" s="134"/>
      <c r="N415" s="143"/>
      <c r="O415" s="136"/>
      <c r="P415" s="136"/>
      <c r="Q415" s="137"/>
      <c r="R415" s="138"/>
      <c r="S415" s="138"/>
      <c r="T415" s="139"/>
      <c r="U415" s="139"/>
      <c r="V415" s="139"/>
      <c r="W415" s="140"/>
      <c r="X415" s="141"/>
      <c r="Y415" s="140"/>
      <c r="Z415" s="142"/>
      <c r="AA415" s="139"/>
      <c r="AB415" s="139"/>
      <c r="AC415" s="140"/>
      <c r="AD415" s="140"/>
      <c r="AE415" s="140"/>
    </row>
    <row r="416">
      <c r="A416" s="130"/>
      <c r="B416" s="131"/>
      <c r="C416" s="131"/>
      <c r="D416" s="130"/>
      <c r="E416" s="132"/>
      <c r="F416" s="132"/>
      <c r="G416" s="133"/>
      <c r="H416" s="134"/>
      <c r="I416" s="134"/>
      <c r="J416" s="134"/>
      <c r="K416" s="134"/>
      <c r="L416" s="134"/>
      <c r="M416" s="134"/>
      <c r="N416" s="143"/>
      <c r="O416" s="136"/>
      <c r="P416" s="136"/>
      <c r="Q416" s="137"/>
      <c r="R416" s="138"/>
      <c r="S416" s="138"/>
      <c r="T416" s="139"/>
      <c r="U416" s="139"/>
      <c r="V416" s="139"/>
      <c r="W416" s="140"/>
      <c r="X416" s="141"/>
      <c r="Y416" s="140"/>
      <c r="Z416" s="142"/>
      <c r="AA416" s="139"/>
      <c r="AB416" s="139"/>
      <c r="AC416" s="140"/>
      <c r="AD416" s="140"/>
      <c r="AE416" s="140"/>
    </row>
    <row r="417">
      <c r="A417" s="130"/>
      <c r="B417" s="131"/>
      <c r="C417" s="131"/>
      <c r="D417" s="130"/>
      <c r="E417" s="132"/>
      <c r="F417" s="132"/>
      <c r="G417" s="133"/>
      <c r="H417" s="134"/>
      <c r="I417" s="134"/>
      <c r="J417" s="134"/>
      <c r="K417" s="134"/>
      <c r="L417" s="134"/>
      <c r="M417" s="134"/>
      <c r="N417" s="143"/>
      <c r="O417" s="136"/>
      <c r="P417" s="136"/>
      <c r="Q417" s="137"/>
      <c r="R417" s="138"/>
      <c r="S417" s="138"/>
      <c r="T417" s="139"/>
      <c r="U417" s="139"/>
      <c r="V417" s="139"/>
      <c r="W417" s="140"/>
      <c r="X417" s="141"/>
      <c r="Y417" s="140"/>
      <c r="Z417" s="142"/>
      <c r="AA417" s="139"/>
      <c r="AB417" s="139"/>
      <c r="AC417" s="140"/>
      <c r="AD417" s="140"/>
      <c r="AE417" s="140"/>
    </row>
    <row r="418">
      <c r="A418" s="130"/>
      <c r="B418" s="131"/>
      <c r="C418" s="131"/>
      <c r="D418" s="130"/>
      <c r="E418" s="132"/>
      <c r="F418" s="132"/>
      <c r="G418" s="133"/>
      <c r="H418" s="134"/>
      <c r="I418" s="134"/>
      <c r="J418" s="134"/>
      <c r="K418" s="134"/>
      <c r="L418" s="134"/>
      <c r="M418" s="134"/>
      <c r="N418" s="143"/>
      <c r="O418" s="136"/>
      <c r="P418" s="136"/>
      <c r="Q418" s="137"/>
      <c r="R418" s="138"/>
      <c r="S418" s="138"/>
      <c r="T418" s="139"/>
      <c r="U418" s="139"/>
      <c r="V418" s="139"/>
      <c r="W418" s="140"/>
      <c r="X418" s="141"/>
      <c r="Y418" s="140"/>
      <c r="Z418" s="142"/>
      <c r="AA418" s="139"/>
      <c r="AB418" s="139"/>
      <c r="AC418" s="140"/>
      <c r="AD418" s="140"/>
      <c r="AE418" s="140"/>
    </row>
    <row r="419">
      <c r="A419" s="130"/>
      <c r="B419" s="131"/>
      <c r="C419" s="131"/>
      <c r="D419" s="130"/>
      <c r="E419" s="132"/>
      <c r="F419" s="132"/>
      <c r="G419" s="133"/>
      <c r="H419" s="134"/>
      <c r="I419" s="134"/>
      <c r="J419" s="134"/>
      <c r="K419" s="134"/>
      <c r="L419" s="134"/>
      <c r="M419" s="134"/>
      <c r="N419" s="143"/>
      <c r="O419" s="136"/>
      <c r="P419" s="136"/>
      <c r="Q419" s="137"/>
      <c r="R419" s="138"/>
      <c r="S419" s="138"/>
      <c r="T419" s="139"/>
      <c r="U419" s="139"/>
      <c r="V419" s="139"/>
      <c r="W419" s="140"/>
      <c r="X419" s="141"/>
      <c r="Y419" s="140"/>
      <c r="Z419" s="142"/>
      <c r="AA419" s="139"/>
      <c r="AB419" s="139"/>
      <c r="AC419" s="140"/>
      <c r="AD419" s="140"/>
      <c r="AE419" s="140"/>
    </row>
    <row r="420">
      <c r="A420" s="130"/>
      <c r="B420" s="131"/>
      <c r="C420" s="131"/>
      <c r="D420" s="130"/>
      <c r="E420" s="132"/>
      <c r="F420" s="132"/>
      <c r="G420" s="133"/>
      <c r="H420" s="134"/>
      <c r="I420" s="134"/>
      <c r="J420" s="134"/>
      <c r="K420" s="134"/>
      <c r="L420" s="134"/>
      <c r="M420" s="134"/>
      <c r="N420" s="143"/>
      <c r="O420" s="136"/>
      <c r="P420" s="136"/>
      <c r="Q420" s="137"/>
      <c r="R420" s="138"/>
      <c r="S420" s="138"/>
      <c r="T420" s="139"/>
      <c r="U420" s="139"/>
      <c r="V420" s="139"/>
      <c r="W420" s="140"/>
      <c r="X420" s="141"/>
      <c r="Y420" s="140"/>
      <c r="Z420" s="142"/>
      <c r="AA420" s="139"/>
      <c r="AB420" s="139"/>
      <c r="AC420" s="140"/>
      <c r="AD420" s="140"/>
      <c r="AE420" s="140"/>
    </row>
    <row r="421">
      <c r="A421" s="130"/>
      <c r="B421" s="131"/>
      <c r="C421" s="131"/>
      <c r="D421" s="130"/>
      <c r="E421" s="132"/>
      <c r="F421" s="132"/>
      <c r="G421" s="133"/>
      <c r="H421" s="134"/>
      <c r="I421" s="134"/>
      <c r="J421" s="134"/>
      <c r="K421" s="134"/>
      <c r="L421" s="134"/>
      <c r="M421" s="134"/>
      <c r="N421" s="143"/>
      <c r="O421" s="136"/>
      <c r="P421" s="136"/>
      <c r="Q421" s="137"/>
      <c r="R421" s="138"/>
      <c r="S421" s="138"/>
      <c r="T421" s="139"/>
      <c r="U421" s="139"/>
      <c r="V421" s="139"/>
      <c r="W421" s="140"/>
      <c r="X421" s="141"/>
      <c r="Y421" s="140"/>
      <c r="Z421" s="142"/>
      <c r="AA421" s="139"/>
      <c r="AB421" s="139"/>
      <c r="AC421" s="140"/>
      <c r="AD421" s="140"/>
      <c r="AE421" s="140"/>
    </row>
    <row r="422">
      <c r="A422" s="130"/>
      <c r="B422" s="131"/>
      <c r="C422" s="131"/>
      <c r="D422" s="130"/>
      <c r="E422" s="132"/>
      <c r="F422" s="132"/>
      <c r="G422" s="133"/>
      <c r="H422" s="134"/>
      <c r="I422" s="134"/>
      <c r="J422" s="134"/>
      <c r="K422" s="134"/>
      <c r="L422" s="134"/>
      <c r="M422" s="134"/>
      <c r="N422" s="143"/>
      <c r="O422" s="136"/>
      <c r="P422" s="136"/>
      <c r="Q422" s="137"/>
      <c r="R422" s="138"/>
      <c r="S422" s="138"/>
      <c r="T422" s="139"/>
      <c r="U422" s="139"/>
      <c r="V422" s="139"/>
      <c r="W422" s="140"/>
      <c r="X422" s="141"/>
      <c r="Y422" s="140"/>
      <c r="Z422" s="142"/>
      <c r="AA422" s="139"/>
      <c r="AB422" s="139"/>
      <c r="AC422" s="140"/>
      <c r="AD422" s="140"/>
      <c r="AE422" s="140"/>
    </row>
    <row r="423">
      <c r="A423" s="130"/>
      <c r="B423" s="131"/>
      <c r="C423" s="131"/>
      <c r="D423" s="130"/>
      <c r="E423" s="132"/>
      <c r="F423" s="132"/>
      <c r="G423" s="133"/>
      <c r="H423" s="134"/>
      <c r="I423" s="134"/>
      <c r="J423" s="134"/>
      <c r="K423" s="134"/>
      <c r="L423" s="134"/>
      <c r="M423" s="134"/>
      <c r="N423" s="143"/>
      <c r="O423" s="136"/>
      <c r="P423" s="136"/>
      <c r="Q423" s="137"/>
      <c r="R423" s="138"/>
      <c r="S423" s="138"/>
      <c r="T423" s="139"/>
      <c r="U423" s="139"/>
      <c r="V423" s="139"/>
      <c r="W423" s="140"/>
      <c r="X423" s="141"/>
      <c r="Y423" s="140"/>
      <c r="Z423" s="142"/>
      <c r="AA423" s="139"/>
      <c r="AB423" s="139"/>
      <c r="AC423" s="140"/>
      <c r="AD423" s="140"/>
      <c r="AE423" s="140"/>
    </row>
    <row r="424">
      <c r="A424" s="130"/>
      <c r="B424" s="131"/>
      <c r="C424" s="131"/>
      <c r="D424" s="130"/>
      <c r="E424" s="132"/>
      <c r="F424" s="132"/>
      <c r="G424" s="133"/>
      <c r="H424" s="134"/>
      <c r="I424" s="134"/>
      <c r="J424" s="134"/>
      <c r="K424" s="134"/>
      <c r="L424" s="134"/>
      <c r="M424" s="134"/>
      <c r="N424" s="143"/>
      <c r="O424" s="136"/>
      <c r="P424" s="136"/>
      <c r="Q424" s="137"/>
      <c r="R424" s="138"/>
      <c r="S424" s="138"/>
      <c r="T424" s="139"/>
      <c r="U424" s="139"/>
      <c r="V424" s="139"/>
      <c r="W424" s="140"/>
      <c r="X424" s="141"/>
      <c r="Y424" s="140"/>
      <c r="Z424" s="142"/>
      <c r="AA424" s="139"/>
      <c r="AB424" s="139"/>
      <c r="AC424" s="140"/>
      <c r="AD424" s="140"/>
      <c r="AE424" s="140"/>
    </row>
    <row r="425">
      <c r="A425" s="130"/>
      <c r="B425" s="131"/>
      <c r="C425" s="131"/>
      <c r="D425" s="130"/>
      <c r="E425" s="132"/>
      <c r="F425" s="132"/>
      <c r="G425" s="133"/>
      <c r="H425" s="134"/>
      <c r="I425" s="134"/>
      <c r="J425" s="134"/>
      <c r="K425" s="134"/>
      <c r="L425" s="134"/>
      <c r="M425" s="134"/>
      <c r="N425" s="143"/>
      <c r="O425" s="136"/>
      <c r="P425" s="136"/>
      <c r="Q425" s="137"/>
      <c r="R425" s="138"/>
      <c r="S425" s="138"/>
      <c r="T425" s="139"/>
      <c r="U425" s="139"/>
      <c r="V425" s="139"/>
      <c r="W425" s="140"/>
      <c r="X425" s="141"/>
      <c r="Y425" s="140"/>
      <c r="Z425" s="142"/>
      <c r="AA425" s="139"/>
      <c r="AB425" s="139"/>
      <c r="AC425" s="140"/>
      <c r="AD425" s="140"/>
      <c r="AE425" s="140"/>
    </row>
    <row r="426">
      <c r="A426" s="130"/>
      <c r="B426" s="131"/>
      <c r="C426" s="131"/>
      <c r="D426" s="130"/>
      <c r="E426" s="132"/>
      <c r="F426" s="132"/>
      <c r="G426" s="133"/>
      <c r="H426" s="134"/>
      <c r="I426" s="134"/>
      <c r="J426" s="134"/>
      <c r="K426" s="134"/>
      <c r="L426" s="134"/>
      <c r="M426" s="134"/>
      <c r="N426" s="143"/>
      <c r="O426" s="136"/>
      <c r="P426" s="136"/>
      <c r="Q426" s="137"/>
      <c r="R426" s="138"/>
      <c r="S426" s="138"/>
      <c r="T426" s="139"/>
      <c r="U426" s="139"/>
      <c r="V426" s="139"/>
      <c r="W426" s="140"/>
      <c r="X426" s="141"/>
      <c r="Y426" s="140"/>
      <c r="Z426" s="142"/>
      <c r="AA426" s="139"/>
      <c r="AB426" s="139"/>
      <c r="AC426" s="140"/>
      <c r="AD426" s="140"/>
      <c r="AE426" s="140"/>
    </row>
    <row r="427">
      <c r="A427" s="130"/>
      <c r="B427" s="131"/>
      <c r="C427" s="131"/>
      <c r="D427" s="130"/>
      <c r="E427" s="132"/>
      <c r="F427" s="132"/>
      <c r="G427" s="133"/>
      <c r="H427" s="134"/>
      <c r="I427" s="134"/>
      <c r="J427" s="134"/>
      <c r="K427" s="134"/>
      <c r="L427" s="134"/>
      <c r="M427" s="134"/>
      <c r="N427" s="143"/>
      <c r="O427" s="136"/>
      <c r="P427" s="136"/>
      <c r="Q427" s="137"/>
      <c r="R427" s="138"/>
      <c r="S427" s="138"/>
      <c r="T427" s="139"/>
      <c r="U427" s="139"/>
      <c r="V427" s="139"/>
      <c r="W427" s="140"/>
      <c r="X427" s="141"/>
      <c r="Y427" s="140"/>
      <c r="Z427" s="142"/>
      <c r="AA427" s="139"/>
      <c r="AB427" s="139"/>
      <c r="AC427" s="140"/>
      <c r="AD427" s="140"/>
      <c r="AE427" s="140"/>
    </row>
    <row r="428">
      <c r="A428" s="130"/>
      <c r="B428" s="131"/>
      <c r="C428" s="131"/>
      <c r="D428" s="130"/>
      <c r="E428" s="132"/>
      <c r="F428" s="132"/>
      <c r="G428" s="133"/>
      <c r="H428" s="134"/>
      <c r="I428" s="134"/>
      <c r="J428" s="134"/>
      <c r="K428" s="134"/>
      <c r="L428" s="134"/>
      <c r="M428" s="134"/>
      <c r="N428" s="143"/>
      <c r="O428" s="136"/>
      <c r="P428" s="136"/>
      <c r="Q428" s="137"/>
      <c r="R428" s="138"/>
      <c r="S428" s="138"/>
      <c r="T428" s="139"/>
      <c r="U428" s="139"/>
      <c r="V428" s="139"/>
      <c r="W428" s="140"/>
      <c r="X428" s="141"/>
      <c r="Y428" s="140"/>
      <c r="Z428" s="142"/>
      <c r="AA428" s="139"/>
      <c r="AB428" s="139"/>
      <c r="AC428" s="140"/>
      <c r="AD428" s="140"/>
      <c r="AE428" s="140"/>
    </row>
    <row r="429">
      <c r="A429" s="130"/>
      <c r="B429" s="131"/>
      <c r="C429" s="131"/>
      <c r="D429" s="130"/>
      <c r="E429" s="132"/>
      <c r="F429" s="132"/>
      <c r="G429" s="133"/>
      <c r="H429" s="134"/>
      <c r="I429" s="134"/>
      <c r="J429" s="134"/>
      <c r="K429" s="134"/>
      <c r="L429" s="134"/>
      <c r="M429" s="134"/>
      <c r="N429" s="143"/>
      <c r="O429" s="136"/>
      <c r="P429" s="136"/>
      <c r="Q429" s="137"/>
      <c r="R429" s="138"/>
      <c r="S429" s="138"/>
      <c r="T429" s="139"/>
      <c r="U429" s="139"/>
      <c r="V429" s="139"/>
      <c r="W429" s="140"/>
      <c r="X429" s="141"/>
      <c r="Y429" s="140"/>
      <c r="Z429" s="142"/>
      <c r="AA429" s="139"/>
      <c r="AB429" s="139"/>
      <c r="AC429" s="140"/>
      <c r="AD429" s="140"/>
      <c r="AE429" s="140"/>
    </row>
    <row r="430">
      <c r="A430" s="130"/>
      <c r="B430" s="131"/>
      <c r="C430" s="131"/>
      <c r="D430" s="130"/>
      <c r="E430" s="132"/>
      <c r="F430" s="132"/>
      <c r="G430" s="133"/>
      <c r="H430" s="134"/>
      <c r="I430" s="134"/>
      <c r="J430" s="134"/>
      <c r="K430" s="134"/>
      <c r="L430" s="134"/>
      <c r="M430" s="134"/>
      <c r="N430" s="143"/>
      <c r="O430" s="136"/>
      <c r="P430" s="136"/>
      <c r="Q430" s="137"/>
      <c r="R430" s="138"/>
      <c r="S430" s="138"/>
      <c r="T430" s="139"/>
      <c r="U430" s="139"/>
      <c r="V430" s="139"/>
      <c r="W430" s="140"/>
      <c r="X430" s="141"/>
      <c r="Y430" s="140"/>
      <c r="Z430" s="142"/>
      <c r="AA430" s="139"/>
      <c r="AB430" s="139"/>
      <c r="AC430" s="140"/>
      <c r="AD430" s="140"/>
      <c r="AE430" s="140"/>
    </row>
    <row r="431">
      <c r="A431" s="130"/>
      <c r="B431" s="131"/>
      <c r="C431" s="131"/>
      <c r="D431" s="130"/>
      <c r="E431" s="132"/>
      <c r="F431" s="132"/>
      <c r="G431" s="133"/>
      <c r="H431" s="134"/>
      <c r="I431" s="134"/>
      <c r="J431" s="134"/>
      <c r="K431" s="134"/>
      <c r="L431" s="134"/>
      <c r="M431" s="134"/>
      <c r="N431" s="143"/>
      <c r="O431" s="136"/>
      <c r="P431" s="136"/>
      <c r="Q431" s="137"/>
      <c r="R431" s="138"/>
      <c r="S431" s="138"/>
      <c r="T431" s="139"/>
      <c r="U431" s="139"/>
      <c r="V431" s="139"/>
      <c r="W431" s="140"/>
      <c r="X431" s="141"/>
      <c r="Y431" s="140"/>
      <c r="Z431" s="142"/>
      <c r="AA431" s="139"/>
      <c r="AB431" s="139"/>
      <c r="AC431" s="140"/>
      <c r="AD431" s="140"/>
      <c r="AE431" s="140"/>
    </row>
    <row r="432">
      <c r="A432" s="130"/>
      <c r="B432" s="131"/>
      <c r="C432" s="131"/>
      <c r="D432" s="130"/>
      <c r="E432" s="132"/>
      <c r="F432" s="132"/>
      <c r="G432" s="133"/>
      <c r="H432" s="134"/>
      <c r="I432" s="134"/>
      <c r="J432" s="134"/>
      <c r="K432" s="134"/>
      <c r="L432" s="134"/>
      <c r="M432" s="134"/>
      <c r="N432" s="143"/>
      <c r="O432" s="136"/>
      <c r="P432" s="136"/>
      <c r="Q432" s="137"/>
      <c r="R432" s="138"/>
      <c r="S432" s="138"/>
      <c r="T432" s="139"/>
      <c r="U432" s="139"/>
      <c r="V432" s="139"/>
      <c r="W432" s="140"/>
      <c r="X432" s="141"/>
      <c r="Y432" s="140"/>
      <c r="Z432" s="142"/>
      <c r="AA432" s="139"/>
      <c r="AB432" s="139"/>
      <c r="AC432" s="140"/>
      <c r="AD432" s="140"/>
      <c r="AE432" s="140"/>
    </row>
    <row r="433">
      <c r="A433" s="130"/>
      <c r="B433" s="131"/>
      <c r="C433" s="131"/>
      <c r="D433" s="130"/>
      <c r="E433" s="132"/>
      <c r="F433" s="132"/>
      <c r="G433" s="133"/>
      <c r="H433" s="134"/>
      <c r="I433" s="134"/>
      <c r="J433" s="134"/>
      <c r="K433" s="134"/>
      <c r="L433" s="134"/>
      <c r="M433" s="134"/>
      <c r="N433" s="143"/>
      <c r="O433" s="136"/>
      <c r="P433" s="136"/>
      <c r="Q433" s="137"/>
      <c r="R433" s="138"/>
      <c r="S433" s="138"/>
      <c r="T433" s="139"/>
      <c r="U433" s="139"/>
      <c r="V433" s="139"/>
      <c r="W433" s="140"/>
      <c r="X433" s="141"/>
      <c r="Y433" s="140"/>
      <c r="Z433" s="142"/>
      <c r="AA433" s="139"/>
      <c r="AB433" s="139"/>
      <c r="AC433" s="140"/>
      <c r="AD433" s="140"/>
      <c r="AE433" s="140"/>
    </row>
    <row r="434">
      <c r="A434" s="130"/>
      <c r="B434" s="131"/>
      <c r="C434" s="131"/>
      <c r="D434" s="130"/>
      <c r="E434" s="132"/>
      <c r="F434" s="132"/>
      <c r="G434" s="133"/>
      <c r="H434" s="134"/>
      <c r="I434" s="134"/>
      <c r="J434" s="134"/>
      <c r="K434" s="134"/>
      <c r="L434" s="134"/>
      <c r="M434" s="134"/>
      <c r="N434" s="143"/>
      <c r="O434" s="136"/>
      <c r="P434" s="136"/>
      <c r="Q434" s="137"/>
      <c r="R434" s="138"/>
      <c r="S434" s="138"/>
      <c r="T434" s="139"/>
      <c r="U434" s="139"/>
      <c r="V434" s="139"/>
      <c r="W434" s="140"/>
      <c r="X434" s="141"/>
      <c r="Y434" s="140"/>
      <c r="Z434" s="142"/>
      <c r="AA434" s="139"/>
      <c r="AB434" s="139"/>
      <c r="AC434" s="140"/>
      <c r="AD434" s="140"/>
      <c r="AE434" s="140"/>
    </row>
    <row r="435">
      <c r="A435" s="130"/>
      <c r="B435" s="131"/>
      <c r="C435" s="131"/>
      <c r="D435" s="130"/>
      <c r="E435" s="132"/>
      <c r="F435" s="132"/>
      <c r="G435" s="133"/>
      <c r="H435" s="134"/>
      <c r="I435" s="134"/>
      <c r="J435" s="134"/>
      <c r="K435" s="134"/>
      <c r="L435" s="134"/>
      <c r="M435" s="134"/>
      <c r="N435" s="143"/>
      <c r="O435" s="136"/>
      <c r="P435" s="136"/>
      <c r="Q435" s="137"/>
      <c r="R435" s="138"/>
      <c r="S435" s="138"/>
      <c r="T435" s="139"/>
      <c r="U435" s="139"/>
      <c r="V435" s="139"/>
      <c r="W435" s="140"/>
      <c r="X435" s="141"/>
      <c r="Y435" s="140"/>
      <c r="Z435" s="142"/>
      <c r="AA435" s="139"/>
      <c r="AB435" s="139"/>
      <c r="AC435" s="140"/>
      <c r="AD435" s="140"/>
      <c r="AE435" s="140"/>
    </row>
    <row r="436">
      <c r="A436" s="130"/>
      <c r="B436" s="131"/>
      <c r="C436" s="131"/>
      <c r="D436" s="130"/>
      <c r="E436" s="132"/>
      <c r="F436" s="132"/>
      <c r="G436" s="133"/>
      <c r="H436" s="134"/>
      <c r="I436" s="134"/>
      <c r="J436" s="134"/>
      <c r="K436" s="134"/>
      <c r="L436" s="134"/>
      <c r="M436" s="134"/>
      <c r="N436" s="143"/>
      <c r="O436" s="136"/>
      <c r="P436" s="136"/>
      <c r="Q436" s="137"/>
      <c r="R436" s="138"/>
      <c r="S436" s="138"/>
      <c r="T436" s="139"/>
      <c r="U436" s="139"/>
      <c r="V436" s="139"/>
      <c r="W436" s="140"/>
      <c r="X436" s="141"/>
      <c r="Y436" s="140"/>
      <c r="Z436" s="142"/>
      <c r="AA436" s="139"/>
      <c r="AB436" s="139"/>
      <c r="AC436" s="140"/>
      <c r="AD436" s="140"/>
      <c r="AE436" s="140"/>
    </row>
    <row r="437">
      <c r="A437" s="130"/>
      <c r="B437" s="131"/>
      <c r="C437" s="131"/>
      <c r="D437" s="130"/>
      <c r="E437" s="132"/>
      <c r="F437" s="132"/>
      <c r="G437" s="133"/>
      <c r="H437" s="134"/>
      <c r="I437" s="134"/>
      <c r="J437" s="134"/>
      <c r="K437" s="134"/>
      <c r="L437" s="134"/>
      <c r="M437" s="134"/>
      <c r="N437" s="143"/>
      <c r="O437" s="136"/>
      <c r="P437" s="136"/>
      <c r="Q437" s="137"/>
      <c r="R437" s="138"/>
      <c r="S437" s="138"/>
      <c r="T437" s="139"/>
      <c r="U437" s="139"/>
      <c r="V437" s="139"/>
      <c r="W437" s="140"/>
      <c r="X437" s="141"/>
      <c r="Y437" s="140"/>
      <c r="Z437" s="142"/>
      <c r="AA437" s="139"/>
      <c r="AB437" s="139"/>
      <c r="AC437" s="140"/>
      <c r="AD437" s="140"/>
      <c r="AE437" s="140"/>
    </row>
    <row r="438">
      <c r="A438" s="130"/>
      <c r="B438" s="131"/>
      <c r="C438" s="131"/>
      <c r="D438" s="130"/>
      <c r="E438" s="132"/>
      <c r="F438" s="132"/>
      <c r="G438" s="133"/>
      <c r="H438" s="134"/>
      <c r="I438" s="134"/>
      <c r="J438" s="134"/>
      <c r="K438" s="134"/>
      <c r="L438" s="134"/>
      <c r="M438" s="134"/>
      <c r="N438" s="143"/>
      <c r="O438" s="136"/>
      <c r="P438" s="136"/>
      <c r="Q438" s="137"/>
      <c r="R438" s="138"/>
      <c r="S438" s="138"/>
      <c r="T438" s="139"/>
      <c r="U438" s="139"/>
      <c r="V438" s="139"/>
      <c r="W438" s="140"/>
      <c r="X438" s="141"/>
      <c r="Y438" s="140"/>
      <c r="Z438" s="142"/>
      <c r="AA438" s="139"/>
      <c r="AB438" s="139"/>
      <c r="AC438" s="140"/>
      <c r="AD438" s="140"/>
      <c r="AE438" s="140"/>
    </row>
    <row r="439">
      <c r="A439" s="130"/>
      <c r="B439" s="131"/>
      <c r="C439" s="131"/>
      <c r="D439" s="130"/>
      <c r="E439" s="132"/>
      <c r="F439" s="132"/>
      <c r="G439" s="133"/>
      <c r="H439" s="134"/>
      <c r="I439" s="134"/>
      <c r="J439" s="134"/>
      <c r="K439" s="134"/>
      <c r="L439" s="134"/>
      <c r="M439" s="134"/>
      <c r="N439" s="143"/>
      <c r="O439" s="136"/>
      <c r="P439" s="136"/>
      <c r="Q439" s="137"/>
      <c r="R439" s="138"/>
      <c r="S439" s="138"/>
      <c r="T439" s="139"/>
      <c r="U439" s="139"/>
      <c r="V439" s="139"/>
      <c r="W439" s="140"/>
      <c r="X439" s="141"/>
      <c r="Y439" s="140"/>
      <c r="Z439" s="142"/>
      <c r="AA439" s="139"/>
      <c r="AB439" s="139"/>
      <c r="AC439" s="140"/>
      <c r="AD439" s="140"/>
      <c r="AE439" s="140"/>
    </row>
    <row r="440">
      <c r="A440" s="130"/>
      <c r="B440" s="131"/>
      <c r="C440" s="131"/>
      <c r="D440" s="130"/>
      <c r="E440" s="132"/>
      <c r="F440" s="132"/>
      <c r="G440" s="133"/>
      <c r="H440" s="134"/>
      <c r="I440" s="134"/>
      <c r="J440" s="134"/>
      <c r="K440" s="134"/>
      <c r="L440" s="134"/>
      <c r="M440" s="134"/>
      <c r="N440" s="143"/>
      <c r="O440" s="136"/>
      <c r="P440" s="136"/>
      <c r="Q440" s="137"/>
      <c r="R440" s="138"/>
      <c r="S440" s="138"/>
      <c r="T440" s="139"/>
      <c r="U440" s="139"/>
      <c r="V440" s="139"/>
      <c r="W440" s="140"/>
      <c r="X440" s="141"/>
      <c r="Y440" s="140"/>
      <c r="Z440" s="142"/>
      <c r="AA440" s="139"/>
      <c r="AB440" s="139"/>
      <c r="AC440" s="140"/>
      <c r="AD440" s="140"/>
      <c r="AE440" s="140"/>
    </row>
    <row r="441">
      <c r="A441" s="130"/>
      <c r="B441" s="131"/>
      <c r="C441" s="131"/>
      <c r="D441" s="130"/>
      <c r="E441" s="132"/>
      <c r="F441" s="132"/>
      <c r="G441" s="133"/>
      <c r="H441" s="134"/>
      <c r="I441" s="134"/>
      <c r="J441" s="134"/>
      <c r="K441" s="134"/>
      <c r="L441" s="134"/>
      <c r="M441" s="134"/>
      <c r="N441" s="143"/>
      <c r="O441" s="136"/>
      <c r="P441" s="136"/>
      <c r="Q441" s="137"/>
      <c r="R441" s="138"/>
      <c r="S441" s="138"/>
      <c r="T441" s="139"/>
      <c r="U441" s="139"/>
      <c r="V441" s="139"/>
      <c r="W441" s="140"/>
      <c r="X441" s="141"/>
      <c r="Y441" s="140"/>
      <c r="Z441" s="142"/>
      <c r="AA441" s="139"/>
      <c r="AB441" s="139"/>
      <c r="AC441" s="140"/>
      <c r="AD441" s="140"/>
      <c r="AE441" s="140"/>
    </row>
    <row r="442">
      <c r="A442" s="130"/>
      <c r="B442" s="131"/>
      <c r="C442" s="131"/>
      <c r="D442" s="130"/>
      <c r="E442" s="132"/>
      <c r="F442" s="132"/>
      <c r="G442" s="133"/>
      <c r="H442" s="134"/>
      <c r="I442" s="134"/>
      <c r="J442" s="134"/>
      <c r="K442" s="134"/>
      <c r="L442" s="134"/>
      <c r="M442" s="134"/>
      <c r="N442" s="143"/>
      <c r="O442" s="136"/>
      <c r="P442" s="136"/>
      <c r="Q442" s="137"/>
      <c r="R442" s="138"/>
      <c r="S442" s="138"/>
      <c r="T442" s="139"/>
      <c r="U442" s="139"/>
      <c r="V442" s="139"/>
      <c r="W442" s="140"/>
      <c r="X442" s="141"/>
      <c r="Y442" s="140"/>
      <c r="Z442" s="142"/>
      <c r="AA442" s="139"/>
      <c r="AB442" s="139"/>
      <c r="AC442" s="140"/>
      <c r="AD442" s="140"/>
      <c r="AE442" s="140"/>
    </row>
    <row r="443">
      <c r="A443" s="130"/>
      <c r="B443" s="131"/>
      <c r="C443" s="131"/>
      <c r="D443" s="130"/>
      <c r="E443" s="132"/>
      <c r="F443" s="132"/>
      <c r="G443" s="133"/>
      <c r="H443" s="134"/>
      <c r="I443" s="134"/>
      <c r="J443" s="134"/>
      <c r="K443" s="134"/>
      <c r="L443" s="134"/>
      <c r="M443" s="134"/>
      <c r="N443" s="143"/>
      <c r="O443" s="136"/>
      <c r="P443" s="136"/>
      <c r="Q443" s="137"/>
      <c r="R443" s="138"/>
      <c r="S443" s="138"/>
      <c r="T443" s="139"/>
      <c r="U443" s="139"/>
      <c r="V443" s="139"/>
      <c r="W443" s="140"/>
      <c r="X443" s="141"/>
      <c r="Y443" s="140"/>
      <c r="Z443" s="142"/>
      <c r="AA443" s="139"/>
      <c r="AB443" s="139"/>
      <c r="AC443" s="140"/>
      <c r="AD443" s="140"/>
      <c r="AE443" s="140"/>
    </row>
    <row r="444">
      <c r="A444" s="130"/>
      <c r="B444" s="131"/>
      <c r="C444" s="131"/>
      <c r="D444" s="130"/>
      <c r="E444" s="132"/>
      <c r="F444" s="132"/>
      <c r="G444" s="133"/>
      <c r="H444" s="134"/>
      <c r="I444" s="134"/>
      <c r="J444" s="134"/>
      <c r="K444" s="134"/>
      <c r="L444" s="134"/>
      <c r="M444" s="134"/>
      <c r="N444" s="143"/>
      <c r="O444" s="136"/>
      <c r="P444" s="136"/>
      <c r="Q444" s="137"/>
      <c r="R444" s="138"/>
      <c r="S444" s="138"/>
      <c r="T444" s="139"/>
      <c r="U444" s="139"/>
      <c r="V444" s="139"/>
      <c r="W444" s="140"/>
      <c r="X444" s="141"/>
      <c r="Y444" s="140"/>
      <c r="Z444" s="142"/>
      <c r="AA444" s="139"/>
      <c r="AB444" s="139"/>
      <c r="AC444" s="140"/>
      <c r="AD444" s="140"/>
      <c r="AE444" s="140"/>
    </row>
    <row r="445">
      <c r="A445" s="130"/>
      <c r="B445" s="131"/>
      <c r="C445" s="131"/>
      <c r="D445" s="130"/>
      <c r="E445" s="132"/>
      <c r="F445" s="132"/>
      <c r="G445" s="133"/>
      <c r="H445" s="134"/>
      <c r="I445" s="134"/>
      <c r="J445" s="134"/>
      <c r="K445" s="134"/>
      <c r="L445" s="134"/>
      <c r="M445" s="134"/>
      <c r="N445" s="143"/>
      <c r="O445" s="136"/>
      <c r="P445" s="136"/>
      <c r="Q445" s="137"/>
      <c r="R445" s="138"/>
      <c r="S445" s="138"/>
      <c r="T445" s="139"/>
      <c r="U445" s="139"/>
      <c r="V445" s="139"/>
      <c r="W445" s="140"/>
      <c r="X445" s="141"/>
      <c r="Y445" s="140"/>
      <c r="Z445" s="142"/>
      <c r="AA445" s="139"/>
      <c r="AB445" s="139"/>
      <c r="AC445" s="140"/>
      <c r="AD445" s="140"/>
      <c r="AE445" s="140"/>
    </row>
    <row r="446">
      <c r="A446" s="130"/>
      <c r="B446" s="131"/>
      <c r="C446" s="131"/>
      <c r="D446" s="130"/>
      <c r="E446" s="132"/>
      <c r="F446" s="132"/>
      <c r="G446" s="133"/>
      <c r="H446" s="134"/>
      <c r="I446" s="134"/>
      <c r="J446" s="134"/>
      <c r="K446" s="134"/>
      <c r="L446" s="134"/>
      <c r="M446" s="134"/>
      <c r="N446" s="143"/>
      <c r="O446" s="136"/>
      <c r="P446" s="136"/>
      <c r="Q446" s="137"/>
      <c r="R446" s="138"/>
      <c r="S446" s="138"/>
      <c r="T446" s="139"/>
      <c r="U446" s="139"/>
      <c r="V446" s="139"/>
      <c r="W446" s="140"/>
      <c r="X446" s="141"/>
      <c r="Y446" s="140"/>
      <c r="Z446" s="142"/>
      <c r="AA446" s="139"/>
      <c r="AB446" s="139"/>
      <c r="AC446" s="140"/>
      <c r="AD446" s="140"/>
      <c r="AE446" s="140"/>
    </row>
    <row r="447">
      <c r="A447" s="130"/>
      <c r="B447" s="131"/>
      <c r="C447" s="131"/>
      <c r="D447" s="130"/>
      <c r="E447" s="132"/>
      <c r="F447" s="132"/>
      <c r="G447" s="133"/>
      <c r="H447" s="134"/>
      <c r="I447" s="134"/>
      <c r="J447" s="134"/>
      <c r="K447" s="134"/>
      <c r="L447" s="134"/>
      <c r="M447" s="134"/>
      <c r="N447" s="143"/>
      <c r="O447" s="136"/>
      <c r="P447" s="136"/>
      <c r="Q447" s="137"/>
      <c r="R447" s="138"/>
      <c r="S447" s="138"/>
      <c r="T447" s="139"/>
      <c r="U447" s="139"/>
      <c r="V447" s="139"/>
      <c r="W447" s="140"/>
      <c r="X447" s="141"/>
      <c r="Y447" s="140"/>
      <c r="Z447" s="142"/>
      <c r="AA447" s="139"/>
      <c r="AB447" s="139"/>
      <c r="AC447" s="140"/>
      <c r="AD447" s="140"/>
      <c r="AE447" s="140"/>
    </row>
    <row r="448">
      <c r="A448" s="130"/>
      <c r="B448" s="131"/>
      <c r="C448" s="131"/>
      <c r="D448" s="130"/>
      <c r="E448" s="132"/>
      <c r="F448" s="132"/>
      <c r="G448" s="133"/>
      <c r="H448" s="134"/>
      <c r="I448" s="134"/>
      <c r="J448" s="134"/>
      <c r="K448" s="134"/>
      <c r="L448" s="134"/>
      <c r="M448" s="134"/>
      <c r="N448" s="143"/>
      <c r="O448" s="136"/>
      <c r="P448" s="136"/>
      <c r="Q448" s="137"/>
      <c r="R448" s="138"/>
      <c r="S448" s="138"/>
      <c r="T448" s="139"/>
      <c r="U448" s="139"/>
      <c r="V448" s="139"/>
      <c r="W448" s="140"/>
      <c r="X448" s="141"/>
      <c r="Y448" s="140"/>
      <c r="Z448" s="142"/>
      <c r="AA448" s="139"/>
      <c r="AB448" s="139"/>
      <c r="AC448" s="140"/>
      <c r="AD448" s="140"/>
      <c r="AE448" s="140"/>
    </row>
    <row r="449">
      <c r="A449" s="130"/>
      <c r="B449" s="131"/>
      <c r="C449" s="131"/>
      <c r="D449" s="130"/>
      <c r="E449" s="132"/>
      <c r="F449" s="132"/>
      <c r="G449" s="133"/>
      <c r="H449" s="134"/>
      <c r="I449" s="134"/>
      <c r="J449" s="134"/>
      <c r="K449" s="134"/>
      <c r="L449" s="134"/>
      <c r="M449" s="134"/>
      <c r="N449" s="143"/>
      <c r="O449" s="136"/>
      <c r="P449" s="136"/>
      <c r="Q449" s="137"/>
      <c r="R449" s="138"/>
      <c r="S449" s="138"/>
      <c r="T449" s="139"/>
      <c r="U449" s="139"/>
      <c r="V449" s="139"/>
      <c r="W449" s="140"/>
      <c r="X449" s="141"/>
      <c r="Y449" s="140"/>
      <c r="Z449" s="142"/>
      <c r="AA449" s="139"/>
      <c r="AB449" s="139"/>
      <c r="AC449" s="140"/>
      <c r="AD449" s="140"/>
      <c r="AE449" s="140"/>
    </row>
    <row r="450">
      <c r="A450" s="130"/>
      <c r="B450" s="131"/>
      <c r="C450" s="131"/>
      <c r="D450" s="130"/>
      <c r="E450" s="132"/>
      <c r="F450" s="132"/>
      <c r="G450" s="133"/>
      <c r="H450" s="134"/>
      <c r="I450" s="134"/>
      <c r="J450" s="134"/>
      <c r="K450" s="134"/>
      <c r="L450" s="134"/>
      <c r="M450" s="134"/>
      <c r="N450" s="143"/>
      <c r="O450" s="136"/>
      <c r="P450" s="136"/>
      <c r="Q450" s="137"/>
      <c r="R450" s="138"/>
      <c r="S450" s="138"/>
      <c r="T450" s="139"/>
      <c r="U450" s="139"/>
      <c r="V450" s="139"/>
      <c r="W450" s="140"/>
      <c r="X450" s="141"/>
      <c r="Y450" s="140"/>
      <c r="Z450" s="142"/>
      <c r="AA450" s="139"/>
      <c r="AB450" s="139"/>
      <c r="AC450" s="140"/>
      <c r="AD450" s="140"/>
      <c r="AE450" s="140"/>
    </row>
    <row r="451">
      <c r="A451" s="130"/>
      <c r="B451" s="131"/>
      <c r="C451" s="131"/>
      <c r="D451" s="130"/>
      <c r="E451" s="132"/>
      <c r="F451" s="132"/>
      <c r="G451" s="133"/>
      <c r="H451" s="134"/>
      <c r="I451" s="134"/>
      <c r="J451" s="134"/>
      <c r="K451" s="134"/>
      <c r="L451" s="134"/>
      <c r="M451" s="134"/>
      <c r="N451" s="143"/>
      <c r="O451" s="136"/>
      <c r="P451" s="136"/>
      <c r="Q451" s="137"/>
      <c r="R451" s="138"/>
      <c r="S451" s="138"/>
      <c r="T451" s="139"/>
      <c r="U451" s="139"/>
      <c r="V451" s="139"/>
      <c r="W451" s="140"/>
      <c r="X451" s="141"/>
      <c r="Y451" s="140"/>
      <c r="Z451" s="142"/>
      <c r="AA451" s="139"/>
      <c r="AB451" s="139"/>
      <c r="AC451" s="140"/>
      <c r="AD451" s="140"/>
      <c r="AE451" s="140"/>
    </row>
    <row r="452">
      <c r="A452" s="130"/>
      <c r="B452" s="131"/>
      <c r="C452" s="131"/>
      <c r="D452" s="130"/>
      <c r="E452" s="132"/>
      <c r="F452" s="132"/>
      <c r="G452" s="133"/>
      <c r="H452" s="134"/>
      <c r="I452" s="134"/>
      <c r="J452" s="134"/>
      <c r="K452" s="134"/>
      <c r="L452" s="134"/>
      <c r="M452" s="134"/>
      <c r="N452" s="143"/>
      <c r="O452" s="136"/>
      <c r="P452" s="136"/>
      <c r="Q452" s="137"/>
      <c r="R452" s="138"/>
      <c r="S452" s="138"/>
      <c r="T452" s="139"/>
      <c r="U452" s="139"/>
      <c r="V452" s="139"/>
      <c r="W452" s="140"/>
      <c r="X452" s="141"/>
      <c r="Y452" s="140"/>
      <c r="Z452" s="142"/>
      <c r="AA452" s="139"/>
      <c r="AB452" s="139"/>
      <c r="AC452" s="140"/>
      <c r="AD452" s="140"/>
      <c r="AE452" s="140"/>
    </row>
    <row r="453">
      <c r="A453" s="130"/>
      <c r="B453" s="131"/>
      <c r="C453" s="131"/>
      <c r="D453" s="130"/>
      <c r="E453" s="132"/>
      <c r="F453" s="132"/>
      <c r="G453" s="133"/>
      <c r="H453" s="134"/>
      <c r="I453" s="134"/>
      <c r="J453" s="134"/>
      <c r="K453" s="134"/>
      <c r="L453" s="134"/>
      <c r="M453" s="134"/>
      <c r="N453" s="143"/>
      <c r="O453" s="136"/>
      <c r="P453" s="136"/>
      <c r="Q453" s="137"/>
      <c r="R453" s="138"/>
      <c r="S453" s="138"/>
      <c r="T453" s="139"/>
      <c r="U453" s="139"/>
      <c r="V453" s="139"/>
      <c r="W453" s="140"/>
      <c r="X453" s="141"/>
      <c r="Y453" s="140"/>
      <c r="Z453" s="142"/>
      <c r="AA453" s="139"/>
      <c r="AB453" s="139"/>
      <c r="AC453" s="140"/>
      <c r="AD453" s="140"/>
      <c r="AE453" s="140"/>
    </row>
    <row r="454">
      <c r="A454" s="130"/>
      <c r="B454" s="131"/>
      <c r="C454" s="131"/>
      <c r="D454" s="130"/>
      <c r="E454" s="132"/>
      <c r="F454" s="132"/>
      <c r="G454" s="133"/>
      <c r="H454" s="134"/>
      <c r="I454" s="134"/>
      <c r="J454" s="134"/>
      <c r="K454" s="134"/>
      <c r="L454" s="134"/>
      <c r="M454" s="134"/>
      <c r="N454" s="143"/>
      <c r="O454" s="136"/>
      <c r="P454" s="136"/>
      <c r="Q454" s="137"/>
      <c r="R454" s="138"/>
      <c r="S454" s="138"/>
      <c r="T454" s="139"/>
      <c r="U454" s="139"/>
      <c r="V454" s="139"/>
      <c r="W454" s="140"/>
      <c r="X454" s="141"/>
      <c r="Y454" s="140"/>
      <c r="Z454" s="142"/>
      <c r="AA454" s="139"/>
      <c r="AB454" s="139"/>
      <c r="AC454" s="140"/>
      <c r="AD454" s="140"/>
      <c r="AE454" s="140"/>
    </row>
    <row r="455">
      <c r="A455" s="130"/>
      <c r="B455" s="131"/>
      <c r="C455" s="131"/>
      <c r="D455" s="130"/>
      <c r="E455" s="132"/>
      <c r="F455" s="132"/>
      <c r="G455" s="133"/>
      <c r="H455" s="134"/>
      <c r="I455" s="134"/>
      <c r="J455" s="134"/>
      <c r="K455" s="134"/>
      <c r="L455" s="134"/>
      <c r="M455" s="134"/>
      <c r="N455" s="143"/>
      <c r="O455" s="136"/>
      <c r="P455" s="136"/>
      <c r="Q455" s="137"/>
      <c r="R455" s="138"/>
      <c r="S455" s="138"/>
      <c r="T455" s="139"/>
      <c r="U455" s="139"/>
      <c r="V455" s="139"/>
      <c r="W455" s="140"/>
      <c r="X455" s="141"/>
      <c r="Y455" s="140"/>
      <c r="Z455" s="142"/>
      <c r="AA455" s="139"/>
      <c r="AB455" s="139"/>
      <c r="AC455" s="140"/>
      <c r="AD455" s="140"/>
      <c r="AE455" s="140"/>
    </row>
    <row r="456">
      <c r="A456" s="130"/>
      <c r="B456" s="131"/>
      <c r="C456" s="131"/>
      <c r="D456" s="130"/>
      <c r="E456" s="132"/>
      <c r="F456" s="132"/>
      <c r="G456" s="133"/>
      <c r="H456" s="134"/>
      <c r="I456" s="134"/>
      <c r="J456" s="134"/>
      <c r="K456" s="134"/>
      <c r="L456" s="134"/>
      <c r="M456" s="134"/>
      <c r="N456" s="143"/>
      <c r="O456" s="136"/>
      <c r="P456" s="136"/>
      <c r="Q456" s="137"/>
      <c r="R456" s="138"/>
      <c r="S456" s="138"/>
      <c r="T456" s="139"/>
      <c r="U456" s="139"/>
      <c r="V456" s="139"/>
      <c r="W456" s="140"/>
      <c r="X456" s="141"/>
      <c r="Y456" s="140"/>
      <c r="Z456" s="142"/>
      <c r="AA456" s="139"/>
      <c r="AB456" s="139"/>
      <c r="AC456" s="140"/>
      <c r="AD456" s="140"/>
      <c r="AE456" s="140"/>
    </row>
    <row r="457">
      <c r="A457" s="130"/>
      <c r="B457" s="131"/>
      <c r="C457" s="131"/>
      <c r="D457" s="130"/>
      <c r="E457" s="132"/>
      <c r="F457" s="132"/>
      <c r="G457" s="133"/>
      <c r="H457" s="134"/>
      <c r="I457" s="134"/>
      <c r="J457" s="134"/>
      <c r="K457" s="134"/>
      <c r="L457" s="134"/>
      <c r="M457" s="134"/>
      <c r="N457" s="143"/>
      <c r="O457" s="136"/>
      <c r="P457" s="136"/>
      <c r="Q457" s="137"/>
      <c r="R457" s="138"/>
      <c r="S457" s="138"/>
      <c r="T457" s="139"/>
      <c r="U457" s="139"/>
      <c r="V457" s="139"/>
      <c r="W457" s="140"/>
      <c r="X457" s="141"/>
      <c r="Y457" s="140"/>
      <c r="Z457" s="142"/>
      <c r="AA457" s="139"/>
      <c r="AB457" s="139"/>
      <c r="AC457" s="140"/>
      <c r="AD457" s="140"/>
      <c r="AE457" s="140"/>
    </row>
    <row r="458">
      <c r="A458" s="130"/>
      <c r="B458" s="131"/>
      <c r="C458" s="131"/>
      <c r="D458" s="130"/>
      <c r="E458" s="132"/>
      <c r="F458" s="132"/>
      <c r="G458" s="133"/>
      <c r="H458" s="134"/>
      <c r="I458" s="134"/>
      <c r="J458" s="134"/>
      <c r="K458" s="134"/>
      <c r="L458" s="134"/>
      <c r="M458" s="134"/>
      <c r="N458" s="143"/>
      <c r="O458" s="136"/>
      <c r="P458" s="136"/>
      <c r="Q458" s="137"/>
      <c r="R458" s="138"/>
      <c r="S458" s="138"/>
      <c r="T458" s="139"/>
      <c r="U458" s="139"/>
      <c r="V458" s="139"/>
      <c r="W458" s="140"/>
      <c r="X458" s="141"/>
      <c r="Y458" s="140"/>
      <c r="Z458" s="142"/>
      <c r="AA458" s="139"/>
      <c r="AB458" s="139"/>
      <c r="AC458" s="140"/>
      <c r="AD458" s="140"/>
      <c r="AE458" s="140"/>
    </row>
    <row r="459">
      <c r="A459" s="130"/>
      <c r="B459" s="131"/>
      <c r="C459" s="131"/>
      <c r="D459" s="130"/>
      <c r="E459" s="132"/>
      <c r="F459" s="132"/>
      <c r="G459" s="133"/>
      <c r="H459" s="134"/>
      <c r="I459" s="134"/>
      <c r="J459" s="134"/>
      <c r="K459" s="134"/>
      <c r="L459" s="134"/>
      <c r="M459" s="134"/>
      <c r="N459" s="143"/>
      <c r="O459" s="136"/>
      <c r="P459" s="136"/>
      <c r="Q459" s="137"/>
      <c r="R459" s="138"/>
      <c r="S459" s="138"/>
      <c r="T459" s="139"/>
      <c r="U459" s="139"/>
      <c r="V459" s="139"/>
      <c r="W459" s="140"/>
      <c r="X459" s="141"/>
      <c r="Y459" s="140"/>
      <c r="Z459" s="142"/>
      <c r="AA459" s="139"/>
      <c r="AB459" s="139"/>
      <c r="AC459" s="140"/>
      <c r="AD459" s="140"/>
      <c r="AE459" s="140"/>
    </row>
    <row r="460">
      <c r="A460" s="130"/>
      <c r="B460" s="131"/>
      <c r="C460" s="131"/>
      <c r="D460" s="130"/>
      <c r="E460" s="132"/>
      <c r="F460" s="132"/>
      <c r="G460" s="133"/>
      <c r="H460" s="134"/>
      <c r="I460" s="134"/>
      <c r="J460" s="134"/>
      <c r="K460" s="134"/>
      <c r="L460" s="134"/>
      <c r="M460" s="134"/>
      <c r="N460" s="143"/>
      <c r="O460" s="136"/>
      <c r="P460" s="136"/>
      <c r="Q460" s="137"/>
      <c r="R460" s="138"/>
      <c r="S460" s="138"/>
      <c r="T460" s="139"/>
      <c r="U460" s="139"/>
      <c r="V460" s="139"/>
      <c r="W460" s="140"/>
      <c r="X460" s="141"/>
      <c r="Y460" s="140"/>
      <c r="Z460" s="142"/>
      <c r="AA460" s="139"/>
      <c r="AB460" s="139"/>
      <c r="AC460" s="140"/>
      <c r="AD460" s="140"/>
      <c r="AE460" s="140"/>
    </row>
    <row r="461">
      <c r="A461" s="130"/>
      <c r="B461" s="131"/>
      <c r="C461" s="131"/>
      <c r="D461" s="130"/>
      <c r="E461" s="132"/>
      <c r="F461" s="132"/>
      <c r="G461" s="133"/>
      <c r="H461" s="134"/>
      <c r="I461" s="134"/>
      <c r="J461" s="134"/>
      <c r="K461" s="134"/>
      <c r="L461" s="134"/>
      <c r="M461" s="134"/>
      <c r="N461" s="143"/>
      <c r="O461" s="136"/>
      <c r="P461" s="136"/>
      <c r="Q461" s="137"/>
      <c r="R461" s="138"/>
      <c r="S461" s="138"/>
      <c r="T461" s="139"/>
      <c r="U461" s="139"/>
      <c r="V461" s="139"/>
      <c r="W461" s="140"/>
      <c r="X461" s="141"/>
      <c r="Y461" s="140"/>
      <c r="Z461" s="142"/>
      <c r="AA461" s="139"/>
      <c r="AB461" s="139"/>
      <c r="AC461" s="140"/>
      <c r="AD461" s="140"/>
      <c r="AE461" s="140"/>
    </row>
    <row r="462">
      <c r="A462" s="130"/>
      <c r="B462" s="131"/>
      <c r="C462" s="131"/>
      <c r="D462" s="130"/>
      <c r="E462" s="132"/>
      <c r="F462" s="132"/>
      <c r="G462" s="133"/>
      <c r="H462" s="134"/>
      <c r="I462" s="134"/>
      <c r="J462" s="134"/>
      <c r="K462" s="134"/>
      <c r="L462" s="134"/>
      <c r="M462" s="134"/>
      <c r="N462" s="143"/>
      <c r="O462" s="136"/>
      <c r="P462" s="136"/>
      <c r="Q462" s="137"/>
      <c r="R462" s="138"/>
      <c r="S462" s="138"/>
      <c r="T462" s="139"/>
      <c r="U462" s="139"/>
      <c r="V462" s="139"/>
      <c r="W462" s="140"/>
      <c r="X462" s="141"/>
      <c r="Y462" s="140"/>
      <c r="Z462" s="142"/>
      <c r="AA462" s="139"/>
      <c r="AB462" s="139"/>
      <c r="AC462" s="140"/>
      <c r="AD462" s="140"/>
      <c r="AE462" s="140"/>
    </row>
    <row r="463">
      <c r="A463" s="130"/>
      <c r="B463" s="131"/>
      <c r="C463" s="131"/>
      <c r="D463" s="130"/>
      <c r="E463" s="132"/>
      <c r="F463" s="132"/>
      <c r="G463" s="133"/>
      <c r="H463" s="134"/>
      <c r="I463" s="134"/>
      <c r="J463" s="134"/>
      <c r="K463" s="134"/>
      <c r="L463" s="134"/>
      <c r="M463" s="134"/>
      <c r="N463" s="143"/>
      <c r="O463" s="136"/>
      <c r="P463" s="136"/>
      <c r="Q463" s="137"/>
      <c r="R463" s="138"/>
      <c r="S463" s="138"/>
      <c r="T463" s="139"/>
      <c r="U463" s="139"/>
      <c r="V463" s="139"/>
      <c r="W463" s="140"/>
      <c r="X463" s="141"/>
      <c r="Y463" s="140"/>
      <c r="Z463" s="142"/>
      <c r="AA463" s="139"/>
      <c r="AB463" s="139"/>
      <c r="AC463" s="140"/>
      <c r="AD463" s="140"/>
      <c r="AE463" s="140"/>
    </row>
    <row r="464">
      <c r="A464" s="130"/>
      <c r="B464" s="131"/>
      <c r="C464" s="131"/>
      <c r="D464" s="130"/>
      <c r="E464" s="132"/>
      <c r="F464" s="132"/>
      <c r="G464" s="133"/>
      <c r="H464" s="134"/>
      <c r="I464" s="134"/>
      <c r="J464" s="134"/>
      <c r="K464" s="134"/>
      <c r="L464" s="134"/>
      <c r="M464" s="134"/>
      <c r="N464" s="143"/>
      <c r="O464" s="136"/>
      <c r="P464" s="136"/>
      <c r="Q464" s="137"/>
      <c r="R464" s="138"/>
      <c r="S464" s="138"/>
      <c r="T464" s="139"/>
      <c r="U464" s="139"/>
      <c r="V464" s="139"/>
      <c r="W464" s="140"/>
      <c r="X464" s="141"/>
      <c r="Y464" s="140"/>
      <c r="Z464" s="142"/>
      <c r="AA464" s="139"/>
      <c r="AB464" s="139"/>
      <c r="AC464" s="140"/>
      <c r="AD464" s="140"/>
      <c r="AE464" s="140"/>
    </row>
    <row r="465">
      <c r="A465" s="130"/>
      <c r="B465" s="131"/>
      <c r="C465" s="131"/>
      <c r="D465" s="130"/>
      <c r="E465" s="132"/>
      <c r="F465" s="132"/>
      <c r="G465" s="133"/>
      <c r="H465" s="134"/>
      <c r="I465" s="134"/>
      <c r="J465" s="134"/>
      <c r="K465" s="134"/>
      <c r="L465" s="134"/>
      <c r="M465" s="134"/>
      <c r="N465" s="143"/>
      <c r="O465" s="136"/>
      <c r="P465" s="136"/>
      <c r="Q465" s="137"/>
      <c r="R465" s="138"/>
      <c r="S465" s="138"/>
      <c r="T465" s="139"/>
      <c r="U465" s="139"/>
      <c r="V465" s="139"/>
      <c r="W465" s="140"/>
      <c r="X465" s="141"/>
      <c r="Y465" s="140"/>
      <c r="Z465" s="142"/>
      <c r="AA465" s="139"/>
      <c r="AB465" s="139"/>
      <c r="AC465" s="140"/>
      <c r="AD465" s="140"/>
      <c r="AE465" s="140"/>
    </row>
    <row r="466">
      <c r="A466" s="130"/>
      <c r="B466" s="131"/>
      <c r="C466" s="131"/>
      <c r="D466" s="130"/>
      <c r="E466" s="132"/>
      <c r="F466" s="132"/>
      <c r="G466" s="133"/>
      <c r="H466" s="134"/>
      <c r="I466" s="134"/>
      <c r="J466" s="134"/>
      <c r="K466" s="134"/>
      <c r="L466" s="134"/>
      <c r="M466" s="134"/>
      <c r="N466" s="143"/>
      <c r="O466" s="136"/>
      <c r="P466" s="136"/>
      <c r="Q466" s="137"/>
      <c r="R466" s="138"/>
      <c r="S466" s="138"/>
      <c r="T466" s="139"/>
      <c r="U466" s="139"/>
      <c r="V466" s="139"/>
      <c r="W466" s="140"/>
      <c r="X466" s="141"/>
      <c r="Y466" s="140"/>
      <c r="Z466" s="142"/>
      <c r="AA466" s="139"/>
      <c r="AB466" s="139"/>
      <c r="AC466" s="140"/>
      <c r="AD466" s="140"/>
      <c r="AE466" s="140"/>
    </row>
    <row r="467">
      <c r="A467" s="130"/>
      <c r="B467" s="131"/>
      <c r="C467" s="131"/>
      <c r="D467" s="130"/>
      <c r="E467" s="132"/>
      <c r="F467" s="132"/>
      <c r="G467" s="133"/>
      <c r="H467" s="134"/>
      <c r="I467" s="134"/>
      <c r="J467" s="134"/>
      <c r="K467" s="134"/>
      <c r="L467" s="134"/>
      <c r="M467" s="134"/>
      <c r="N467" s="143"/>
      <c r="O467" s="136"/>
      <c r="P467" s="136"/>
      <c r="Q467" s="137"/>
      <c r="R467" s="138"/>
      <c r="S467" s="138"/>
      <c r="T467" s="139"/>
      <c r="U467" s="139"/>
      <c r="V467" s="139"/>
      <c r="W467" s="140"/>
      <c r="X467" s="141"/>
      <c r="Y467" s="140"/>
      <c r="Z467" s="142"/>
      <c r="AA467" s="139"/>
      <c r="AB467" s="139"/>
      <c r="AC467" s="140"/>
      <c r="AD467" s="140"/>
      <c r="AE467" s="140"/>
    </row>
    <row r="468">
      <c r="A468" s="130"/>
      <c r="B468" s="131"/>
      <c r="C468" s="131"/>
      <c r="D468" s="130"/>
      <c r="E468" s="132"/>
      <c r="F468" s="132"/>
      <c r="G468" s="133"/>
      <c r="H468" s="134"/>
      <c r="I468" s="134"/>
      <c r="J468" s="134"/>
      <c r="K468" s="134"/>
      <c r="L468" s="134"/>
      <c r="M468" s="134"/>
      <c r="N468" s="143"/>
      <c r="O468" s="136"/>
      <c r="P468" s="136"/>
      <c r="Q468" s="137"/>
      <c r="R468" s="138"/>
      <c r="S468" s="138"/>
      <c r="T468" s="139"/>
      <c r="U468" s="139"/>
      <c r="V468" s="139"/>
      <c r="W468" s="140"/>
      <c r="X468" s="141"/>
      <c r="Y468" s="140"/>
      <c r="Z468" s="142"/>
      <c r="AA468" s="139"/>
      <c r="AB468" s="139"/>
      <c r="AC468" s="140"/>
      <c r="AD468" s="140"/>
      <c r="AE468" s="140"/>
    </row>
    <row r="469">
      <c r="A469" s="130"/>
      <c r="B469" s="131"/>
      <c r="C469" s="131"/>
      <c r="D469" s="130"/>
      <c r="E469" s="132"/>
      <c r="F469" s="132"/>
      <c r="G469" s="133"/>
      <c r="H469" s="134"/>
      <c r="I469" s="134"/>
      <c r="J469" s="134"/>
      <c r="K469" s="134"/>
      <c r="L469" s="134"/>
      <c r="M469" s="134"/>
      <c r="N469" s="143"/>
      <c r="O469" s="136"/>
      <c r="P469" s="136"/>
      <c r="Q469" s="137"/>
      <c r="R469" s="138"/>
      <c r="S469" s="138"/>
      <c r="T469" s="139"/>
      <c r="U469" s="139"/>
      <c r="V469" s="139"/>
      <c r="W469" s="140"/>
      <c r="X469" s="141"/>
      <c r="Y469" s="140"/>
      <c r="Z469" s="142"/>
      <c r="AA469" s="139"/>
      <c r="AB469" s="139"/>
      <c r="AC469" s="140"/>
      <c r="AD469" s="140"/>
      <c r="AE469" s="140"/>
    </row>
    <row r="470">
      <c r="A470" s="130"/>
      <c r="B470" s="131"/>
      <c r="C470" s="131"/>
      <c r="D470" s="130"/>
      <c r="E470" s="132"/>
      <c r="F470" s="132"/>
      <c r="G470" s="133"/>
      <c r="H470" s="134"/>
      <c r="I470" s="134"/>
      <c r="J470" s="134"/>
      <c r="K470" s="134"/>
      <c r="L470" s="134"/>
      <c r="M470" s="134"/>
      <c r="N470" s="143"/>
      <c r="O470" s="136"/>
      <c r="P470" s="136"/>
      <c r="Q470" s="137"/>
      <c r="R470" s="138"/>
      <c r="S470" s="138"/>
      <c r="T470" s="139"/>
      <c r="U470" s="139"/>
      <c r="V470" s="139"/>
      <c r="W470" s="140"/>
      <c r="X470" s="141"/>
      <c r="Y470" s="140"/>
      <c r="Z470" s="142"/>
      <c r="AA470" s="139"/>
      <c r="AB470" s="139"/>
      <c r="AC470" s="140"/>
      <c r="AD470" s="140"/>
      <c r="AE470" s="140"/>
    </row>
    <row r="471">
      <c r="A471" s="130"/>
      <c r="B471" s="131"/>
      <c r="C471" s="131"/>
      <c r="D471" s="130"/>
      <c r="E471" s="132"/>
      <c r="F471" s="132"/>
      <c r="G471" s="133"/>
      <c r="H471" s="134"/>
      <c r="I471" s="134"/>
      <c r="J471" s="134"/>
      <c r="K471" s="134"/>
      <c r="L471" s="134"/>
      <c r="M471" s="134"/>
      <c r="N471" s="143"/>
      <c r="O471" s="136"/>
      <c r="P471" s="136"/>
      <c r="Q471" s="137"/>
      <c r="R471" s="138"/>
      <c r="S471" s="138"/>
      <c r="T471" s="139"/>
      <c r="U471" s="139"/>
      <c r="V471" s="139"/>
      <c r="W471" s="140"/>
      <c r="X471" s="141"/>
      <c r="Y471" s="140"/>
      <c r="Z471" s="142"/>
      <c r="AA471" s="139"/>
      <c r="AB471" s="139"/>
      <c r="AC471" s="140"/>
      <c r="AD471" s="140"/>
      <c r="AE471" s="140"/>
    </row>
    <row r="472">
      <c r="A472" s="130"/>
      <c r="B472" s="131"/>
      <c r="C472" s="131"/>
      <c r="D472" s="130"/>
      <c r="E472" s="132"/>
      <c r="F472" s="132"/>
      <c r="G472" s="133"/>
      <c r="H472" s="134"/>
      <c r="I472" s="134"/>
      <c r="J472" s="134"/>
      <c r="K472" s="134"/>
      <c r="L472" s="134"/>
      <c r="M472" s="134"/>
      <c r="N472" s="143"/>
      <c r="O472" s="136"/>
      <c r="P472" s="136"/>
      <c r="Q472" s="137"/>
      <c r="R472" s="138"/>
      <c r="S472" s="138"/>
      <c r="T472" s="139"/>
      <c r="U472" s="139"/>
      <c r="V472" s="139"/>
      <c r="W472" s="140"/>
      <c r="X472" s="141"/>
      <c r="Y472" s="140"/>
      <c r="Z472" s="142"/>
      <c r="AA472" s="139"/>
      <c r="AB472" s="139"/>
      <c r="AC472" s="140"/>
      <c r="AD472" s="140"/>
      <c r="AE472" s="140"/>
    </row>
    <row r="473">
      <c r="A473" s="130"/>
      <c r="B473" s="131"/>
      <c r="C473" s="131"/>
      <c r="D473" s="130"/>
      <c r="E473" s="132"/>
      <c r="F473" s="132"/>
      <c r="G473" s="133"/>
      <c r="H473" s="134"/>
      <c r="I473" s="134"/>
      <c r="J473" s="134"/>
      <c r="K473" s="134"/>
      <c r="L473" s="134"/>
      <c r="M473" s="134"/>
      <c r="N473" s="143"/>
      <c r="O473" s="136"/>
      <c r="P473" s="136"/>
      <c r="Q473" s="137"/>
      <c r="R473" s="138"/>
      <c r="S473" s="138"/>
      <c r="T473" s="139"/>
      <c r="U473" s="139"/>
      <c r="V473" s="139"/>
      <c r="W473" s="140"/>
      <c r="X473" s="141"/>
      <c r="Y473" s="140"/>
      <c r="Z473" s="142"/>
      <c r="AA473" s="139"/>
      <c r="AB473" s="139"/>
      <c r="AC473" s="140"/>
      <c r="AD473" s="140"/>
      <c r="AE473" s="140"/>
    </row>
    <row r="474">
      <c r="A474" s="130"/>
      <c r="B474" s="131"/>
      <c r="C474" s="131"/>
      <c r="D474" s="130"/>
      <c r="E474" s="132"/>
      <c r="F474" s="132"/>
      <c r="G474" s="133"/>
      <c r="H474" s="134"/>
      <c r="I474" s="134"/>
      <c r="J474" s="134"/>
      <c r="K474" s="134"/>
      <c r="L474" s="134"/>
      <c r="M474" s="134"/>
      <c r="N474" s="143"/>
      <c r="O474" s="136"/>
      <c r="P474" s="136"/>
      <c r="Q474" s="137"/>
      <c r="R474" s="138"/>
      <c r="S474" s="138"/>
      <c r="T474" s="139"/>
      <c r="U474" s="139"/>
      <c r="V474" s="139"/>
      <c r="W474" s="140"/>
      <c r="X474" s="141"/>
      <c r="Y474" s="140"/>
      <c r="Z474" s="142"/>
      <c r="AA474" s="139"/>
      <c r="AB474" s="139"/>
      <c r="AC474" s="140"/>
      <c r="AD474" s="140"/>
      <c r="AE474" s="140"/>
    </row>
    <row r="475">
      <c r="A475" s="130"/>
      <c r="B475" s="131"/>
      <c r="C475" s="131"/>
      <c r="D475" s="130"/>
      <c r="E475" s="132"/>
      <c r="F475" s="132"/>
      <c r="G475" s="133"/>
      <c r="H475" s="134"/>
      <c r="I475" s="134"/>
      <c r="J475" s="134"/>
      <c r="K475" s="134"/>
      <c r="L475" s="134"/>
      <c r="M475" s="134"/>
      <c r="N475" s="143"/>
      <c r="O475" s="136"/>
      <c r="P475" s="136"/>
      <c r="Q475" s="137"/>
      <c r="R475" s="138"/>
      <c r="S475" s="138"/>
      <c r="T475" s="139"/>
      <c r="U475" s="139"/>
      <c r="V475" s="139"/>
      <c r="W475" s="140"/>
      <c r="X475" s="141"/>
      <c r="Y475" s="140"/>
      <c r="Z475" s="142"/>
      <c r="AA475" s="139"/>
      <c r="AB475" s="139"/>
      <c r="AC475" s="140"/>
      <c r="AD475" s="140"/>
      <c r="AE475" s="140"/>
    </row>
    <row r="476">
      <c r="A476" s="130"/>
      <c r="B476" s="131"/>
      <c r="C476" s="131"/>
      <c r="D476" s="130"/>
      <c r="E476" s="132"/>
      <c r="F476" s="132"/>
      <c r="G476" s="133"/>
      <c r="H476" s="134"/>
      <c r="I476" s="134"/>
      <c r="J476" s="134"/>
      <c r="K476" s="134"/>
      <c r="L476" s="134"/>
      <c r="M476" s="134"/>
      <c r="N476" s="143"/>
      <c r="O476" s="136"/>
      <c r="P476" s="136"/>
      <c r="Q476" s="137"/>
      <c r="R476" s="138"/>
      <c r="S476" s="138"/>
      <c r="T476" s="139"/>
      <c r="U476" s="139"/>
      <c r="V476" s="139"/>
      <c r="W476" s="140"/>
      <c r="X476" s="141"/>
      <c r="Y476" s="140"/>
      <c r="Z476" s="142"/>
      <c r="AA476" s="139"/>
      <c r="AB476" s="139"/>
      <c r="AC476" s="140"/>
      <c r="AD476" s="140"/>
      <c r="AE476" s="140"/>
    </row>
    <row r="477">
      <c r="A477" s="130"/>
      <c r="B477" s="131"/>
      <c r="C477" s="131"/>
      <c r="D477" s="130"/>
      <c r="E477" s="132"/>
      <c r="F477" s="132"/>
      <c r="G477" s="133"/>
      <c r="H477" s="134"/>
      <c r="I477" s="134"/>
      <c r="J477" s="134"/>
      <c r="K477" s="134"/>
      <c r="L477" s="134"/>
      <c r="M477" s="134"/>
      <c r="N477" s="143"/>
      <c r="O477" s="136"/>
      <c r="P477" s="136"/>
      <c r="Q477" s="137"/>
      <c r="R477" s="138"/>
      <c r="S477" s="138"/>
      <c r="T477" s="139"/>
      <c r="U477" s="139"/>
      <c r="V477" s="139"/>
      <c r="W477" s="140"/>
      <c r="X477" s="141"/>
      <c r="Y477" s="140"/>
      <c r="Z477" s="142"/>
      <c r="AA477" s="139"/>
      <c r="AB477" s="139"/>
      <c r="AC477" s="140"/>
      <c r="AD477" s="140"/>
      <c r="AE477" s="140"/>
    </row>
    <row r="478">
      <c r="A478" s="130"/>
      <c r="B478" s="131"/>
      <c r="C478" s="131"/>
      <c r="D478" s="130"/>
      <c r="E478" s="132"/>
      <c r="F478" s="132"/>
      <c r="G478" s="133"/>
      <c r="H478" s="134"/>
      <c r="I478" s="134"/>
      <c r="J478" s="134"/>
      <c r="K478" s="134"/>
      <c r="L478" s="134"/>
      <c r="M478" s="134"/>
      <c r="N478" s="143"/>
      <c r="O478" s="136"/>
      <c r="P478" s="136"/>
      <c r="Q478" s="137"/>
      <c r="R478" s="138"/>
      <c r="S478" s="138"/>
      <c r="T478" s="139"/>
      <c r="U478" s="139"/>
      <c r="V478" s="139"/>
      <c r="W478" s="140"/>
      <c r="X478" s="141"/>
      <c r="Y478" s="140"/>
      <c r="Z478" s="142"/>
      <c r="AA478" s="139"/>
      <c r="AB478" s="139"/>
      <c r="AC478" s="140"/>
      <c r="AD478" s="140"/>
      <c r="AE478" s="140"/>
    </row>
    <row r="479">
      <c r="A479" s="130"/>
      <c r="B479" s="131"/>
      <c r="C479" s="131"/>
      <c r="D479" s="130"/>
      <c r="E479" s="132"/>
      <c r="F479" s="132"/>
      <c r="G479" s="133"/>
      <c r="H479" s="134"/>
      <c r="I479" s="134"/>
      <c r="J479" s="134"/>
      <c r="K479" s="134"/>
      <c r="L479" s="134"/>
      <c r="M479" s="134"/>
      <c r="N479" s="143"/>
      <c r="O479" s="136"/>
      <c r="P479" s="136"/>
      <c r="Q479" s="137"/>
      <c r="R479" s="138"/>
      <c r="S479" s="138"/>
      <c r="T479" s="139"/>
      <c r="U479" s="139"/>
      <c r="V479" s="139"/>
      <c r="W479" s="140"/>
      <c r="X479" s="141"/>
      <c r="Y479" s="140"/>
      <c r="Z479" s="142"/>
      <c r="AA479" s="139"/>
      <c r="AB479" s="139"/>
      <c r="AC479" s="140"/>
      <c r="AD479" s="140"/>
      <c r="AE479" s="140"/>
    </row>
    <row r="480">
      <c r="A480" s="130"/>
      <c r="B480" s="131"/>
      <c r="C480" s="131"/>
      <c r="D480" s="130"/>
      <c r="E480" s="132"/>
      <c r="F480" s="132"/>
      <c r="G480" s="133"/>
      <c r="H480" s="134"/>
      <c r="I480" s="134"/>
      <c r="J480" s="134"/>
      <c r="K480" s="134"/>
      <c r="L480" s="134"/>
      <c r="M480" s="134"/>
      <c r="N480" s="143"/>
      <c r="O480" s="136"/>
      <c r="P480" s="136"/>
      <c r="Q480" s="137"/>
      <c r="R480" s="138"/>
      <c r="S480" s="138"/>
      <c r="T480" s="139"/>
      <c r="U480" s="139"/>
      <c r="V480" s="139"/>
      <c r="W480" s="140"/>
      <c r="X480" s="141"/>
      <c r="Y480" s="140"/>
      <c r="Z480" s="142"/>
      <c r="AA480" s="139"/>
      <c r="AB480" s="139"/>
      <c r="AC480" s="140"/>
      <c r="AD480" s="140"/>
      <c r="AE480" s="140"/>
    </row>
    <row r="481">
      <c r="A481" s="130"/>
      <c r="B481" s="131"/>
      <c r="C481" s="131"/>
      <c r="D481" s="130"/>
      <c r="E481" s="132"/>
      <c r="F481" s="132"/>
      <c r="G481" s="133"/>
      <c r="H481" s="134"/>
      <c r="I481" s="134"/>
      <c r="J481" s="134"/>
      <c r="K481" s="134"/>
      <c r="L481" s="134"/>
      <c r="M481" s="134"/>
      <c r="N481" s="143"/>
      <c r="O481" s="136"/>
      <c r="P481" s="136"/>
      <c r="Q481" s="137"/>
      <c r="R481" s="138"/>
      <c r="S481" s="138"/>
      <c r="T481" s="139"/>
      <c r="U481" s="139"/>
      <c r="V481" s="139"/>
      <c r="W481" s="140"/>
      <c r="X481" s="141"/>
      <c r="Y481" s="140"/>
      <c r="Z481" s="142"/>
      <c r="AA481" s="139"/>
      <c r="AB481" s="139"/>
      <c r="AC481" s="140"/>
      <c r="AD481" s="140"/>
      <c r="AE481" s="140"/>
    </row>
    <row r="482">
      <c r="A482" s="130"/>
      <c r="B482" s="131"/>
      <c r="C482" s="131"/>
      <c r="D482" s="130"/>
      <c r="E482" s="132"/>
      <c r="F482" s="132"/>
      <c r="G482" s="133"/>
      <c r="H482" s="134"/>
      <c r="I482" s="134"/>
      <c r="J482" s="134"/>
      <c r="K482" s="134"/>
      <c r="L482" s="134"/>
      <c r="M482" s="134"/>
      <c r="N482" s="143"/>
      <c r="O482" s="136"/>
      <c r="P482" s="136"/>
      <c r="Q482" s="137"/>
      <c r="R482" s="138"/>
      <c r="S482" s="138"/>
      <c r="T482" s="139"/>
      <c r="U482" s="139"/>
      <c r="V482" s="139"/>
      <c r="W482" s="140"/>
      <c r="X482" s="141"/>
      <c r="Y482" s="140"/>
      <c r="Z482" s="142"/>
      <c r="AA482" s="139"/>
      <c r="AB482" s="139"/>
      <c r="AC482" s="140"/>
      <c r="AD482" s="140"/>
      <c r="AE482" s="140"/>
    </row>
    <row r="483">
      <c r="A483" s="130"/>
      <c r="B483" s="131"/>
      <c r="C483" s="131"/>
      <c r="D483" s="130"/>
      <c r="E483" s="132"/>
      <c r="F483" s="132"/>
      <c r="G483" s="133"/>
      <c r="H483" s="134"/>
      <c r="I483" s="134"/>
      <c r="J483" s="134"/>
      <c r="K483" s="134"/>
      <c r="L483" s="134"/>
      <c r="M483" s="134"/>
      <c r="N483" s="143"/>
      <c r="O483" s="136"/>
      <c r="P483" s="136"/>
      <c r="Q483" s="137"/>
      <c r="R483" s="138"/>
      <c r="S483" s="138"/>
      <c r="T483" s="139"/>
      <c r="U483" s="139"/>
      <c r="V483" s="139"/>
      <c r="W483" s="140"/>
      <c r="X483" s="141"/>
      <c r="Y483" s="140"/>
      <c r="Z483" s="142"/>
      <c r="AA483" s="139"/>
      <c r="AB483" s="139"/>
      <c r="AC483" s="140"/>
      <c r="AD483" s="140"/>
      <c r="AE483" s="140"/>
    </row>
    <row r="484">
      <c r="A484" s="130"/>
      <c r="B484" s="131"/>
      <c r="C484" s="131"/>
      <c r="D484" s="130"/>
      <c r="E484" s="132"/>
      <c r="F484" s="132"/>
      <c r="G484" s="133"/>
      <c r="H484" s="134"/>
      <c r="I484" s="134"/>
      <c r="J484" s="134"/>
      <c r="K484" s="134"/>
      <c r="L484" s="134"/>
      <c r="M484" s="134"/>
      <c r="N484" s="143"/>
      <c r="O484" s="136"/>
      <c r="P484" s="136"/>
      <c r="Q484" s="137"/>
      <c r="R484" s="138"/>
      <c r="S484" s="138"/>
      <c r="T484" s="139"/>
      <c r="U484" s="139"/>
      <c r="V484" s="139"/>
      <c r="W484" s="140"/>
      <c r="X484" s="141"/>
      <c r="Y484" s="140"/>
      <c r="Z484" s="142"/>
      <c r="AA484" s="139"/>
      <c r="AB484" s="139"/>
      <c r="AC484" s="140"/>
      <c r="AD484" s="140"/>
      <c r="AE484" s="140"/>
    </row>
    <row r="485">
      <c r="A485" s="130"/>
      <c r="B485" s="131"/>
      <c r="C485" s="131"/>
      <c r="D485" s="130"/>
      <c r="E485" s="132"/>
      <c r="F485" s="132"/>
      <c r="G485" s="133"/>
      <c r="H485" s="134"/>
      <c r="I485" s="134"/>
      <c r="J485" s="134"/>
      <c r="K485" s="134"/>
      <c r="L485" s="134"/>
      <c r="M485" s="134"/>
      <c r="N485" s="143"/>
      <c r="O485" s="136"/>
      <c r="P485" s="136"/>
      <c r="Q485" s="137"/>
      <c r="R485" s="138"/>
      <c r="S485" s="138"/>
      <c r="T485" s="139"/>
      <c r="U485" s="139"/>
      <c r="V485" s="139"/>
      <c r="W485" s="140"/>
      <c r="X485" s="141"/>
      <c r="Y485" s="140"/>
      <c r="Z485" s="142"/>
      <c r="AA485" s="139"/>
      <c r="AB485" s="139"/>
      <c r="AC485" s="140"/>
      <c r="AD485" s="140"/>
      <c r="AE485" s="140"/>
    </row>
    <row r="486">
      <c r="A486" s="130"/>
      <c r="B486" s="131"/>
      <c r="C486" s="131"/>
      <c r="D486" s="130"/>
      <c r="E486" s="132"/>
      <c r="F486" s="132"/>
      <c r="G486" s="133"/>
      <c r="H486" s="134"/>
      <c r="I486" s="134"/>
      <c r="J486" s="134"/>
      <c r="K486" s="134"/>
      <c r="L486" s="134"/>
      <c r="M486" s="134"/>
      <c r="N486" s="143"/>
      <c r="O486" s="136"/>
      <c r="P486" s="136"/>
      <c r="Q486" s="137"/>
      <c r="R486" s="138"/>
      <c r="S486" s="138"/>
      <c r="T486" s="139"/>
      <c r="U486" s="139"/>
      <c r="V486" s="139"/>
      <c r="W486" s="140"/>
      <c r="X486" s="141"/>
      <c r="Y486" s="140"/>
      <c r="Z486" s="142"/>
      <c r="AA486" s="139"/>
      <c r="AB486" s="139"/>
      <c r="AC486" s="140"/>
      <c r="AD486" s="140"/>
      <c r="AE486" s="140"/>
    </row>
    <row r="487">
      <c r="A487" s="130"/>
      <c r="B487" s="131"/>
      <c r="C487" s="131"/>
      <c r="D487" s="130"/>
      <c r="E487" s="132"/>
      <c r="F487" s="132"/>
      <c r="G487" s="133"/>
      <c r="H487" s="134"/>
      <c r="I487" s="134"/>
      <c r="J487" s="134"/>
      <c r="K487" s="134"/>
      <c r="L487" s="134"/>
      <c r="M487" s="134"/>
      <c r="N487" s="143"/>
      <c r="O487" s="136"/>
      <c r="P487" s="136"/>
      <c r="Q487" s="137"/>
      <c r="R487" s="138"/>
      <c r="S487" s="138"/>
      <c r="T487" s="139"/>
      <c r="U487" s="139"/>
      <c r="V487" s="139"/>
      <c r="W487" s="140"/>
      <c r="X487" s="141"/>
      <c r="Y487" s="140"/>
      <c r="Z487" s="142"/>
      <c r="AA487" s="139"/>
      <c r="AB487" s="139"/>
      <c r="AC487" s="140"/>
      <c r="AD487" s="140"/>
      <c r="AE487" s="140"/>
    </row>
    <row r="488">
      <c r="A488" s="130"/>
      <c r="B488" s="131"/>
      <c r="C488" s="131"/>
      <c r="D488" s="130"/>
      <c r="E488" s="132"/>
      <c r="F488" s="132"/>
      <c r="G488" s="133"/>
      <c r="H488" s="134"/>
      <c r="I488" s="134"/>
      <c r="J488" s="134"/>
      <c r="K488" s="134"/>
      <c r="L488" s="134"/>
      <c r="M488" s="134"/>
      <c r="N488" s="143"/>
      <c r="O488" s="136"/>
      <c r="P488" s="136"/>
      <c r="Q488" s="137"/>
      <c r="R488" s="138"/>
      <c r="S488" s="138"/>
      <c r="T488" s="139"/>
      <c r="U488" s="139"/>
      <c r="V488" s="139"/>
      <c r="W488" s="140"/>
      <c r="X488" s="141"/>
      <c r="Y488" s="140"/>
      <c r="Z488" s="142"/>
      <c r="AA488" s="139"/>
      <c r="AB488" s="139"/>
      <c r="AC488" s="140"/>
      <c r="AD488" s="140"/>
      <c r="AE488" s="140"/>
    </row>
    <row r="489">
      <c r="A489" s="130"/>
      <c r="B489" s="131"/>
      <c r="C489" s="131"/>
      <c r="D489" s="130"/>
      <c r="E489" s="132"/>
      <c r="F489" s="132"/>
      <c r="G489" s="133"/>
      <c r="H489" s="134"/>
      <c r="I489" s="134"/>
      <c r="J489" s="134"/>
      <c r="K489" s="134"/>
      <c r="L489" s="134"/>
      <c r="M489" s="134"/>
      <c r="N489" s="143"/>
      <c r="O489" s="136"/>
      <c r="P489" s="136"/>
      <c r="Q489" s="137"/>
      <c r="R489" s="138"/>
      <c r="S489" s="138"/>
      <c r="T489" s="139"/>
      <c r="U489" s="139"/>
      <c r="V489" s="139"/>
      <c r="W489" s="140"/>
      <c r="X489" s="141"/>
      <c r="Y489" s="140"/>
      <c r="Z489" s="142"/>
      <c r="AA489" s="139"/>
      <c r="AB489" s="139"/>
      <c r="AC489" s="140"/>
      <c r="AD489" s="140"/>
      <c r="AE489" s="140"/>
    </row>
    <row r="490">
      <c r="A490" s="130"/>
      <c r="B490" s="131"/>
      <c r="C490" s="131"/>
      <c r="D490" s="130"/>
      <c r="E490" s="132"/>
      <c r="F490" s="132"/>
      <c r="G490" s="133"/>
      <c r="H490" s="134"/>
      <c r="I490" s="134"/>
      <c r="J490" s="134"/>
      <c r="K490" s="134"/>
      <c r="L490" s="134"/>
      <c r="M490" s="134"/>
      <c r="N490" s="143"/>
      <c r="O490" s="136"/>
      <c r="P490" s="136"/>
      <c r="Q490" s="137"/>
      <c r="R490" s="138"/>
      <c r="S490" s="138"/>
      <c r="T490" s="139"/>
      <c r="U490" s="139"/>
      <c r="V490" s="139"/>
      <c r="W490" s="140"/>
      <c r="X490" s="141"/>
      <c r="Y490" s="140"/>
      <c r="Z490" s="142"/>
      <c r="AA490" s="139"/>
      <c r="AB490" s="139"/>
      <c r="AC490" s="140"/>
      <c r="AD490" s="140"/>
      <c r="AE490" s="140"/>
    </row>
    <row r="491">
      <c r="A491" s="130"/>
      <c r="B491" s="131"/>
      <c r="C491" s="131"/>
      <c r="D491" s="130"/>
      <c r="E491" s="132"/>
      <c r="F491" s="132"/>
      <c r="G491" s="133"/>
      <c r="H491" s="134"/>
      <c r="I491" s="134"/>
      <c r="J491" s="134"/>
      <c r="K491" s="134"/>
      <c r="L491" s="134"/>
      <c r="M491" s="134"/>
      <c r="N491" s="143"/>
      <c r="O491" s="136"/>
      <c r="P491" s="136"/>
      <c r="Q491" s="137"/>
      <c r="R491" s="138"/>
      <c r="S491" s="138"/>
      <c r="T491" s="139"/>
      <c r="U491" s="139"/>
      <c r="V491" s="139"/>
      <c r="W491" s="140"/>
      <c r="X491" s="141"/>
      <c r="Y491" s="140"/>
      <c r="Z491" s="142"/>
      <c r="AA491" s="139"/>
      <c r="AB491" s="139"/>
      <c r="AC491" s="140"/>
      <c r="AD491" s="140"/>
      <c r="AE491" s="140"/>
    </row>
    <row r="492">
      <c r="A492" s="130"/>
      <c r="B492" s="131"/>
      <c r="C492" s="131"/>
      <c r="D492" s="130"/>
      <c r="E492" s="132"/>
      <c r="F492" s="132"/>
      <c r="G492" s="133"/>
      <c r="H492" s="134"/>
      <c r="I492" s="134"/>
      <c r="J492" s="134"/>
      <c r="K492" s="134"/>
      <c r="L492" s="134"/>
      <c r="M492" s="134"/>
      <c r="N492" s="143"/>
      <c r="O492" s="136"/>
      <c r="P492" s="136"/>
      <c r="Q492" s="137"/>
      <c r="R492" s="138"/>
      <c r="S492" s="138"/>
      <c r="T492" s="139"/>
      <c r="U492" s="139"/>
      <c r="V492" s="139"/>
      <c r="W492" s="140"/>
      <c r="X492" s="141"/>
      <c r="Y492" s="140"/>
      <c r="Z492" s="142"/>
      <c r="AA492" s="139"/>
      <c r="AB492" s="139"/>
      <c r="AC492" s="140"/>
      <c r="AD492" s="140"/>
      <c r="AE492" s="140"/>
    </row>
    <row r="493">
      <c r="A493" s="130"/>
      <c r="B493" s="131"/>
      <c r="C493" s="131"/>
      <c r="D493" s="130"/>
      <c r="E493" s="132"/>
      <c r="F493" s="132"/>
      <c r="G493" s="133"/>
      <c r="H493" s="134"/>
      <c r="I493" s="134"/>
      <c r="J493" s="134"/>
      <c r="K493" s="134"/>
      <c r="L493" s="134"/>
      <c r="M493" s="134"/>
      <c r="N493" s="143"/>
      <c r="O493" s="136"/>
      <c r="P493" s="136"/>
      <c r="Q493" s="137"/>
      <c r="R493" s="138"/>
      <c r="S493" s="138"/>
      <c r="T493" s="139"/>
      <c r="U493" s="139"/>
      <c r="V493" s="139"/>
      <c r="W493" s="140"/>
      <c r="X493" s="141"/>
      <c r="Y493" s="140"/>
      <c r="Z493" s="142"/>
      <c r="AA493" s="139"/>
      <c r="AB493" s="139"/>
      <c r="AC493" s="140"/>
      <c r="AD493" s="140"/>
      <c r="AE493" s="140"/>
    </row>
    <row r="494">
      <c r="A494" s="130"/>
      <c r="B494" s="131"/>
      <c r="C494" s="131"/>
      <c r="D494" s="130"/>
      <c r="E494" s="132"/>
      <c r="F494" s="132"/>
      <c r="G494" s="133"/>
      <c r="H494" s="134"/>
      <c r="I494" s="134"/>
      <c r="J494" s="134"/>
      <c r="K494" s="134"/>
      <c r="L494" s="134"/>
      <c r="M494" s="134"/>
      <c r="N494" s="143"/>
      <c r="O494" s="136"/>
      <c r="P494" s="136"/>
      <c r="Q494" s="137"/>
      <c r="R494" s="138"/>
      <c r="S494" s="138"/>
      <c r="T494" s="139"/>
      <c r="U494" s="139"/>
      <c r="V494" s="139"/>
      <c r="W494" s="140"/>
      <c r="X494" s="141"/>
      <c r="Y494" s="140"/>
      <c r="Z494" s="142"/>
      <c r="AA494" s="139"/>
      <c r="AB494" s="139"/>
      <c r="AC494" s="140"/>
      <c r="AD494" s="140"/>
      <c r="AE494" s="140"/>
    </row>
    <row r="495">
      <c r="A495" s="130"/>
      <c r="B495" s="131"/>
      <c r="C495" s="131"/>
      <c r="D495" s="130"/>
      <c r="E495" s="132"/>
      <c r="F495" s="132"/>
      <c r="G495" s="133"/>
      <c r="H495" s="134"/>
      <c r="I495" s="134"/>
      <c r="J495" s="134"/>
      <c r="K495" s="134"/>
      <c r="L495" s="134"/>
      <c r="M495" s="134"/>
      <c r="N495" s="143"/>
      <c r="O495" s="136"/>
      <c r="P495" s="136"/>
      <c r="Q495" s="137"/>
      <c r="R495" s="138"/>
      <c r="S495" s="138"/>
      <c r="T495" s="139"/>
      <c r="U495" s="139"/>
      <c r="V495" s="139"/>
      <c r="W495" s="140"/>
      <c r="X495" s="141"/>
      <c r="Y495" s="140"/>
      <c r="Z495" s="142"/>
      <c r="AA495" s="139"/>
      <c r="AB495" s="139"/>
      <c r="AC495" s="140"/>
      <c r="AD495" s="140"/>
      <c r="AE495" s="140"/>
    </row>
    <row r="496">
      <c r="A496" s="130"/>
      <c r="B496" s="131"/>
      <c r="C496" s="131"/>
      <c r="D496" s="130"/>
      <c r="E496" s="132"/>
      <c r="F496" s="132"/>
      <c r="G496" s="133"/>
      <c r="H496" s="134"/>
      <c r="I496" s="134"/>
      <c r="J496" s="134"/>
      <c r="K496" s="134"/>
      <c r="L496" s="134"/>
      <c r="M496" s="134"/>
      <c r="N496" s="143"/>
      <c r="O496" s="136"/>
      <c r="P496" s="136"/>
      <c r="Q496" s="137"/>
      <c r="R496" s="138"/>
      <c r="S496" s="138"/>
      <c r="T496" s="139"/>
      <c r="U496" s="139"/>
      <c r="V496" s="139"/>
      <c r="W496" s="140"/>
      <c r="X496" s="141"/>
      <c r="Y496" s="140"/>
      <c r="Z496" s="142"/>
      <c r="AA496" s="139"/>
      <c r="AB496" s="139"/>
      <c r="AC496" s="140"/>
      <c r="AD496" s="140"/>
      <c r="AE496" s="140"/>
    </row>
    <row r="497">
      <c r="A497" s="130"/>
      <c r="B497" s="131"/>
      <c r="C497" s="131"/>
      <c r="D497" s="130"/>
      <c r="E497" s="132"/>
      <c r="F497" s="132"/>
      <c r="G497" s="133"/>
      <c r="H497" s="134"/>
      <c r="I497" s="134"/>
      <c r="J497" s="134"/>
      <c r="K497" s="134"/>
      <c r="L497" s="134"/>
      <c r="M497" s="134"/>
      <c r="N497" s="143"/>
      <c r="O497" s="136"/>
      <c r="P497" s="136"/>
      <c r="Q497" s="137"/>
      <c r="R497" s="138"/>
      <c r="S497" s="138"/>
      <c r="T497" s="139"/>
      <c r="U497" s="139"/>
      <c r="V497" s="139"/>
      <c r="W497" s="140"/>
      <c r="X497" s="141"/>
      <c r="Y497" s="140"/>
      <c r="Z497" s="142"/>
      <c r="AA497" s="139"/>
      <c r="AB497" s="139"/>
      <c r="AC497" s="140"/>
      <c r="AD497" s="140"/>
      <c r="AE497" s="140"/>
    </row>
    <row r="498">
      <c r="A498" s="130"/>
      <c r="B498" s="131"/>
      <c r="C498" s="131"/>
      <c r="D498" s="130"/>
      <c r="E498" s="132"/>
      <c r="F498" s="132"/>
      <c r="G498" s="133"/>
      <c r="H498" s="134"/>
      <c r="I498" s="134"/>
      <c r="J498" s="134"/>
      <c r="K498" s="134"/>
      <c r="L498" s="134"/>
      <c r="M498" s="134"/>
      <c r="N498" s="143"/>
      <c r="O498" s="136"/>
      <c r="P498" s="136"/>
      <c r="Q498" s="137"/>
      <c r="R498" s="138"/>
      <c r="S498" s="138"/>
      <c r="T498" s="139"/>
      <c r="U498" s="139"/>
      <c r="V498" s="139"/>
      <c r="W498" s="140"/>
      <c r="X498" s="141"/>
      <c r="Y498" s="140"/>
      <c r="Z498" s="142"/>
      <c r="AA498" s="139"/>
      <c r="AB498" s="139"/>
      <c r="AC498" s="140"/>
      <c r="AD498" s="140"/>
      <c r="AE498" s="140"/>
    </row>
    <row r="499">
      <c r="A499" s="130"/>
      <c r="B499" s="131"/>
      <c r="C499" s="131"/>
      <c r="D499" s="130"/>
      <c r="E499" s="132"/>
      <c r="F499" s="132"/>
      <c r="G499" s="133"/>
      <c r="H499" s="134"/>
      <c r="I499" s="134"/>
      <c r="J499" s="134"/>
      <c r="K499" s="134"/>
      <c r="L499" s="134"/>
      <c r="M499" s="134"/>
      <c r="N499" s="143"/>
      <c r="O499" s="136"/>
      <c r="P499" s="136"/>
      <c r="Q499" s="137"/>
      <c r="R499" s="138"/>
      <c r="S499" s="138"/>
      <c r="T499" s="139"/>
      <c r="U499" s="139"/>
      <c r="V499" s="139"/>
      <c r="W499" s="140"/>
      <c r="X499" s="141"/>
      <c r="Y499" s="140"/>
      <c r="Z499" s="142"/>
      <c r="AA499" s="139"/>
      <c r="AB499" s="139"/>
      <c r="AC499" s="140"/>
      <c r="AD499" s="140"/>
      <c r="AE499" s="140"/>
    </row>
    <row r="500">
      <c r="A500" s="130"/>
      <c r="B500" s="131"/>
      <c r="C500" s="131"/>
      <c r="D500" s="130"/>
      <c r="E500" s="132"/>
      <c r="F500" s="132"/>
      <c r="G500" s="133"/>
      <c r="H500" s="134"/>
      <c r="I500" s="134"/>
      <c r="J500" s="134"/>
      <c r="K500" s="134"/>
      <c r="L500" s="134"/>
      <c r="M500" s="134"/>
      <c r="N500" s="143"/>
      <c r="O500" s="136"/>
      <c r="P500" s="136"/>
      <c r="Q500" s="137"/>
      <c r="R500" s="138"/>
      <c r="S500" s="138"/>
      <c r="T500" s="139"/>
      <c r="U500" s="139"/>
      <c r="V500" s="139"/>
      <c r="W500" s="140"/>
      <c r="X500" s="141"/>
      <c r="Y500" s="140"/>
      <c r="Z500" s="142"/>
      <c r="AA500" s="139"/>
      <c r="AB500" s="139"/>
      <c r="AC500" s="140"/>
      <c r="AD500" s="140"/>
      <c r="AE500" s="140"/>
    </row>
    <row r="501">
      <c r="A501" s="130"/>
      <c r="B501" s="131"/>
      <c r="C501" s="131"/>
      <c r="D501" s="130"/>
      <c r="E501" s="132"/>
      <c r="F501" s="132"/>
      <c r="G501" s="133"/>
      <c r="H501" s="134"/>
      <c r="I501" s="134"/>
      <c r="J501" s="134"/>
      <c r="K501" s="134"/>
      <c r="L501" s="134"/>
      <c r="M501" s="134"/>
      <c r="N501" s="143"/>
      <c r="O501" s="136"/>
      <c r="P501" s="136"/>
      <c r="Q501" s="137"/>
      <c r="R501" s="138"/>
      <c r="S501" s="138"/>
      <c r="T501" s="139"/>
      <c r="U501" s="139"/>
      <c r="V501" s="139"/>
      <c r="W501" s="140"/>
      <c r="X501" s="141"/>
      <c r="Y501" s="140"/>
      <c r="Z501" s="142"/>
      <c r="AA501" s="139"/>
      <c r="AB501" s="139"/>
      <c r="AC501" s="140"/>
      <c r="AD501" s="140"/>
      <c r="AE501" s="140"/>
    </row>
    <row r="502">
      <c r="A502" s="130"/>
      <c r="B502" s="131"/>
      <c r="C502" s="131"/>
      <c r="D502" s="130"/>
      <c r="E502" s="132"/>
      <c r="F502" s="132"/>
      <c r="G502" s="133"/>
      <c r="H502" s="134"/>
      <c r="I502" s="134"/>
      <c r="J502" s="134"/>
      <c r="K502" s="134"/>
      <c r="L502" s="134"/>
      <c r="M502" s="134"/>
      <c r="N502" s="143"/>
      <c r="O502" s="136"/>
      <c r="P502" s="136"/>
      <c r="Q502" s="137"/>
      <c r="R502" s="138"/>
      <c r="S502" s="138"/>
      <c r="T502" s="139"/>
      <c r="U502" s="139"/>
      <c r="V502" s="139"/>
      <c r="W502" s="140"/>
      <c r="X502" s="141"/>
      <c r="Y502" s="140"/>
      <c r="Z502" s="142"/>
      <c r="AA502" s="139"/>
      <c r="AB502" s="139"/>
      <c r="AC502" s="140"/>
      <c r="AD502" s="140"/>
      <c r="AE502" s="140"/>
    </row>
    <row r="503">
      <c r="A503" s="130"/>
      <c r="B503" s="131"/>
      <c r="C503" s="131"/>
      <c r="D503" s="130"/>
      <c r="E503" s="132"/>
      <c r="F503" s="132"/>
      <c r="G503" s="133"/>
      <c r="H503" s="134"/>
      <c r="I503" s="134"/>
      <c r="J503" s="134"/>
      <c r="K503" s="134"/>
      <c r="L503" s="134"/>
      <c r="M503" s="134"/>
      <c r="N503" s="143"/>
      <c r="O503" s="136"/>
      <c r="P503" s="136"/>
      <c r="Q503" s="137"/>
      <c r="R503" s="138"/>
      <c r="S503" s="138"/>
      <c r="T503" s="139"/>
      <c r="U503" s="139"/>
      <c r="V503" s="139"/>
      <c r="W503" s="140"/>
      <c r="X503" s="141"/>
      <c r="Y503" s="140"/>
      <c r="Z503" s="142"/>
      <c r="AA503" s="139"/>
      <c r="AB503" s="139"/>
      <c r="AC503" s="140"/>
      <c r="AD503" s="140"/>
      <c r="AE503" s="140"/>
    </row>
    <row r="504">
      <c r="A504" s="130"/>
      <c r="B504" s="131"/>
      <c r="C504" s="131"/>
      <c r="D504" s="130"/>
      <c r="E504" s="132"/>
      <c r="F504" s="132"/>
      <c r="G504" s="133"/>
      <c r="H504" s="134"/>
      <c r="I504" s="134"/>
      <c r="J504" s="134"/>
      <c r="K504" s="134"/>
      <c r="L504" s="134"/>
      <c r="M504" s="134"/>
      <c r="N504" s="143"/>
      <c r="O504" s="136"/>
      <c r="P504" s="136"/>
      <c r="Q504" s="137"/>
      <c r="R504" s="138"/>
      <c r="S504" s="138"/>
      <c r="T504" s="139"/>
      <c r="U504" s="139"/>
      <c r="V504" s="139"/>
      <c r="W504" s="140"/>
      <c r="X504" s="141"/>
      <c r="Y504" s="140"/>
      <c r="Z504" s="142"/>
      <c r="AA504" s="139"/>
      <c r="AB504" s="139"/>
      <c r="AC504" s="140"/>
      <c r="AD504" s="140"/>
      <c r="AE504" s="140"/>
    </row>
    <row r="505">
      <c r="A505" s="130"/>
      <c r="B505" s="131"/>
      <c r="C505" s="131"/>
      <c r="D505" s="130"/>
      <c r="E505" s="132"/>
      <c r="F505" s="132"/>
      <c r="G505" s="133"/>
      <c r="H505" s="134"/>
      <c r="I505" s="134"/>
      <c r="J505" s="134"/>
      <c r="K505" s="134"/>
      <c r="L505" s="134"/>
      <c r="M505" s="134"/>
      <c r="N505" s="143"/>
      <c r="O505" s="136"/>
      <c r="P505" s="136"/>
      <c r="Q505" s="137"/>
      <c r="R505" s="138"/>
      <c r="S505" s="138"/>
      <c r="T505" s="139"/>
      <c r="U505" s="139"/>
      <c r="V505" s="139"/>
      <c r="W505" s="140"/>
      <c r="X505" s="141"/>
      <c r="Y505" s="140"/>
      <c r="Z505" s="142"/>
      <c r="AA505" s="139"/>
      <c r="AB505" s="139"/>
      <c r="AC505" s="140"/>
      <c r="AD505" s="140"/>
      <c r="AE505" s="140"/>
    </row>
    <row r="506">
      <c r="A506" s="130"/>
      <c r="B506" s="131"/>
      <c r="C506" s="131"/>
      <c r="D506" s="130"/>
      <c r="E506" s="132"/>
      <c r="F506" s="132"/>
      <c r="G506" s="133"/>
      <c r="H506" s="134"/>
      <c r="I506" s="134"/>
      <c r="J506" s="134"/>
      <c r="K506" s="134"/>
      <c r="L506" s="134"/>
      <c r="M506" s="134"/>
      <c r="N506" s="143"/>
      <c r="O506" s="136"/>
      <c r="P506" s="136"/>
      <c r="Q506" s="137"/>
      <c r="R506" s="138"/>
      <c r="S506" s="138"/>
      <c r="T506" s="139"/>
      <c r="U506" s="139"/>
      <c r="V506" s="139"/>
      <c r="W506" s="140"/>
      <c r="X506" s="141"/>
      <c r="Y506" s="140"/>
      <c r="Z506" s="142"/>
      <c r="AA506" s="139"/>
      <c r="AB506" s="139"/>
      <c r="AC506" s="140"/>
      <c r="AD506" s="140"/>
      <c r="AE506" s="140"/>
    </row>
    <row r="507">
      <c r="A507" s="130"/>
      <c r="B507" s="131"/>
      <c r="C507" s="131"/>
      <c r="D507" s="130"/>
      <c r="E507" s="132"/>
      <c r="F507" s="132"/>
      <c r="G507" s="133"/>
      <c r="H507" s="134"/>
      <c r="I507" s="134"/>
      <c r="J507" s="134"/>
      <c r="K507" s="134"/>
      <c r="L507" s="134"/>
      <c r="M507" s="134"/>
      <c r="N507" s="143"/>
      <c r="O507" s="136"/>
      <c r="P507" s="136"/>
      <c r="Q507" s="137"/>
      <c r="R507" s="138"/>
      <c r="S507" s="138"/>
      <c r="T507" s="139"/>
      <c r="U507" s="139"/>
      <c r="V507" s="139"/>
      <c r="W507" s="140"/>
      <c r="X507" s="141"/>
      <c r="Y507" s="140"/>
      <c r="Z507" s="142"/>
      <c r="AA507" s="139"/>
      <c r="AB507" s="139"/>
      <c r="AC507" s="140"/>
      <c r="AD507" s="140"/>
      <c r="AE507" s="140"/>
    </row>
    <row r="508">
      <c r="A508" s="130"/>
      <c r="B508" s="131"/>
      <c r="C508" s="131"/>
      <c r="D508" s="130"/>
      <c r="E508" s="132"/>
      <c r="F508" s="132"/>
      <c r="G508" s="133"/>
      <c r="H508" s="134"/>
      <c r="I508" s="134"/>
      <c r="J508" s="134"/>
      <c r="K508" s="134"/>
      <c r="L508" s="134"/>
      <c r="M508" s="134"/>
      <c r="N508" s="143"/>
      <c r="O508" s="136"/>
      <c r="P508" s="136"/>
      <c r="Q508" s="137"/>
      <c r="R508" s="138"/>
      <c r="S508" s="138"/>
      <c r="T508" s="139"/>
      <c r="U508" s="139"/>
      <c r="V508" s="139"/>
      <c r="W508" s="140"/>
      <c r="X508" s="141"/>
      <c r="Y508" s="140"/>
      <c r="Z508" s="142"/>
      <c r="AA508" s="139"/>
      <c r="AB508" s="139"/>
      <c r="AC508" s="140"/>
      <c r="AD508" s="140"/>
      <c r="AE508" s="140"/>
    </row>
    <row r="509">
      <c r="A509" s="130"/>
      <c r="B509" s="131"/>
      <c r="C509" s="131"/>
      <c r="D509" s="130"/>
      <c r="E509" s="132"/>
      <c r="F509" s="132"/>
      <c r="G509" s="133"/>
      <c r="H509" s="134"/>
      <c r="I509" s="134"/>
      <c r="J509" s="134"/>
      <c r="K509" s="134"/>
      <c r="L509" s="134"/>
      <c r="M509" s="134"/>
      <c r="N509" s="143"/>
      <c r="O509" s="136"/>
      <c r="P509" s="136"/>
      <c r="Q509" s="137"/>
      <c r="R509" s="138"/>
      <c r="S509" s="138"/>
      <c r="T509" s="139"/>
      <c r="U509" s="139"/>
      <c r="V509" s="139"/>
      <c r="W509" s="140"/>
      <c r="X509" s="141"/>
      <c r="Y509" s="140"/>
      <c r="Z509" s="142"/>
      <c r="AA509" s="139"/>
      <c r="AB509" s="139"/>
      <c r="AC509" s="140"/>
      <c r="AD509" s="140"/>
      <c r="AE509" s="140"/>
    </row>
    <row r="510">
      <c r="A510" s="130"/>
      <c r="B510" s="131"/>
      <c r="C510" s="131"/>
      <c r="D510" s="130"/>
      <c r="E510" s="132"/>
      <c r="F510" s="132"/>
      <c r="G510" s="133"/>
      <c r="H510" s="134"/>
      <c r="I510" s="134"/>
      <c r="J510" s="134"/>
      <c r="K510" s="134"/>
      <c r="L510" s="134"/>
      <c r="M510" s="134"/>
      <c r="N510" s="143"/>
      <c r="O510" s="136"/>
      <c r="P510" s="136"/>
      <c r="Q510" s="137"/>
      <c r="R510" s="138"/>
      <c r="S510" s="138"/>
      <c r="T510" s="139"/>
      <c r="U510" s="139"/>
      <c r="V510" s="139"/>
      <c r="W510" s="140"/>
      <c r="X510" s="141"/>
      <c r="Y510" s="140"/>
      <c r="Z510" s="142"/>
      <c r="AA510" s="139"/>
      <c r="AB510" s="139"/>
      <c r="AC510" s="140"/>
      <c r="AD510" s="140"/>
      <c r="AE510" s="140"/>
    </row>
    <row r="511">
      <c r="A511" s="130"/>
      <c r="B511" s="131"/>
      <c r="C511" s="131"/>
      <c r="D511" s="130"/>
      <c r="E511" s="132"/>
      <c r="F511" s="132"/>
      <c r="G511" s="133"/>
      <c r="H511" s="134"/>
      <c r="I511" s="134"/>
      <c r="J511" s="134"/>
      <c r="K511" s="134"/>
      <c r="L511" s="134"/>
      <c r="M511" s="134"/>
      <c r="N511" s="143"/>
      <c r="O511" s="136"/>
      <c r="P511" s="136"/>
      <c r="Q511" s="137"/>
      <c r="R511" s="138"/>
      <c r="S511" s="138"/>
      <c r="T511" s="139"/>
      <c r="U511" s="139"/>
      <c r="V511" s="139"/>
      <c r="W511" s="140"/>
      <c r="X511" s="141"/>
      <c r="Y511" s="140"/>
      <c r="Z511" s="142"/>
      <c r="AA511" s="139"/>
      <c r="AB511" s="139"/>
      <c r="AC511" s="140"/>
      <c r="AD511" s="140"/>
      <c r="AE511" s="140"/>
    </row>
    <row r="512">
      <c r="A512" s="130"/>
      <c r="B512" s="131"/>
      <c r="C512" s="131"/>
      <c r="D512" s="130"/>
      <c r="E512" s="132"/>
      <c r="F512" s="132"/>
      <c r="G512" s="133"/>
      <c r="H512" s="134"/>
      <c r="I512" s="134"/>
      <c r="J512" s="134"/>
      <c r="K512" s="134"/>
      <c r="L512" s="134"/>
      <c r="M512" s="134"/>
      <c r="N512" s="143"/>
      <c r="O512" s="136"/>
      <c r="P512" s="136"/>
      <c r="Q512" s="137"/>
      <c r="R512" s="138"/>
      <c r="S512" s="138"/>
      <c r="T512" s="139"/>
      <c r="U512" s="139"/>
      <c r="V512" s="139"/>
      <c r="W512" s="140"/>
      <c r="X512" s="141"/>
      <c r="Y512" s="140"/>
      <c r="Z512" s="142"/>
      <c r="AA512" s="139"/>
      <c r="AB512" s="139"/>
      <c r="AC512" s="140"/>
      <c r="AD512" s="140"/>
      <c r="AE512" s="140"/>
    </row>
    <row r="513">
      <c r="A513" s="130"/>
      <c r="B513" s="131"/>
      <c r="C513" s="131"/>
      <c r="D513" s="130"/>
      <c r="E513" s="132"/>
      <c r="F513" s="132"/>
      <c r="G513" s="133"/>
      <c r="H513" s="134"/>
      <c r="I513" s="134"/>
      <c r="J513" s="134"/>
      <c r="K513" s="134"/>
      <c r="L513" s="134"/>
      <c r="M513" s="134"/>
      <c r="N513" s="143"/>
      <c r="O513" s="136"/>
      <c r="P513" s="136"/>
      <c r="Q513" s="137"/>
      <c r="R513" s="138"/>
      <c r="S513" s="138"/>
      <c r="T513" s="139"/>
      <c r="U513" s="139"/>
      <c r="V513" s="139"/>
      <c r="W513" s="140"/>
      <c r="X513" s="141"/>
      <c r="Y513" s="140"/>
      <c r="Z513" s="142"/>
      <c r="AA513" s="139"/>
      <c r="AB513" s="139"/>
      <c r="AC513" s="140"/>
      <c r="AD513" s="140"/>
      <c r="AE513" s="140"/>
    </row>
    <row r="514">
      <c r="A514" s="130"/>
      <c r="B514" s="131"/>
      <c r="C514" s="131"/>
      <c r="D514" s="130"/>
      <c r="E514" s="132"/>
      <c r="F514" s="132"/>
      <c r="G514" s="133"/>
      <c r="H514" s="134"/>
      <c r="I514" s="134"/>
      <c r="J514" s="134"/>
      <c r="K514" s="134"/>
      <c r="L514" s="134"/>
      <c r="M514" s="134"/>
      <c r="N514" s="143"/>
      <c r="O514" s="136"/>
      <c r="P514" s="136"/>
      <c r="Q514" s="137"/>
      <c r="R514" s="138"/>
      <c r="S514" s="138"/>
      <c r="T514" s="139"/>
      <c r="U514" s="139"/>
      <c r="V514" s="139"/>
      <c r="W514" s="140"/>
      <c r="X514" s="141"/>
      <c r="Y514" s="140"/>
      <c r="Z514" s="142"/>
      <c r="AA514" s="139"/>
      <c r="AB514" s="139"/>
      <c r="AC514" s="140"/>
      <c r="AD514" s="140"/>
      <c r="AE514" s="140"/>
    </row>
    <row r="515">
      <c r="A515" s="130"/>
      <c r="B515" s="131"/>
      <c r="C515" s="131"/>
      <c r="D515" s="130"/>
      <c r="E515" s="132"/>
      <c r="F515" s="132"/>
      <c r="G515" s="133"/>
      <c r="H515" s="134"/>
      <c r="I515" s="134"/>
      <c r="J515" s="134"/>
      <c r="K515" s="134"/>
      <c r="L515" s="134"/>
      <c r="M515" s="134"/>
      <c r="N515" s="143"/>
      <c r="O515" s="136"/>
      <c r="P515" s="136"/>
      <c r="Q515" s="137"/>
      <c r="R515" s="138"/>
      <c r="S515" s="138"/>
      <c r="T515" s="139"/>
      <c r="U515" s="139"/>
      <c r="V515" s="139"/>
      <c r="W515" s="140"/>
      <c r="X515" s="141"/>
      <c r="Y515" s="140"/>
      <c r="Z515" s="142"/>
      <c r="AA515" s="139"/>
      <c r="AB515" s="139"/>
      <c r="AC515" s="140"/>
      <c r="AD515" s="140"/>
      <c r="AE515" s="140"/>
    </row>
    <row r="516">
      <c r="A516" s="130"/>
      <c r="B516" s="131"/>
      <c r="C516" s="131"/>
      <c r="D516" s="130"/>
      <c r="E516" s="132"/>
      <c r="F516" s="132"/>
      <c r="G516" s="133"/>
      <c r="H516" s="134"/>
      <c r="I516" s="134"/>
      <c r="J516" s="134"/>
      <c r="K516" s="134"/>
      <c r="L516" s="134"/>
      <c r="M516" s="134"/>
      <c r="N516" s="143"/>
      <c r="O516" s="136"/>
      <c r="P516" s="136"/>
      <c r="Q516" s="137"/>
      <c r="R516" s="138"/>
      <c r="S516" s="138"/>
      <c r="T516" s="139"/>
      <c r="U516" s="139"/>
      <c r="V516" s="139"/>
      <c r="W516" s="140"/>
      <c r="X516" s="141"/>
      <c r="Y516" s="140"/>
      <c r="Z516" s="142"/>
      <c r="AA516" s="139"/>
      <c r="AB516" s="139"/>
      <c r="AC516" s="140"/>
      <c r="AD516" s="140"/>
      <c r="AE516" s="140"/>
    </row>
    <row r="517">
      <c r="A517" s="130"/>
      <c r="B517" s="131"/>
      <c r="C517" s="131"/>
      <c r="D517" s="130"/>
      <c r="E517" s="132"/>
      <c r="F517" s="132"/>
      <c r="G517" s="133"/>
      <c r="H517" s="134"/>
      <c r="I517" s="134"/>
      <c r="J517" s="134"/>
      <c r="K517" s="134"/>
      <c r="L517" s="134"/>
      <c r="M517" s="134"/>
      <c r="N517" s="143"/>
      <c r="O517" s="136"/>
      <c r="P517" s="136"/>
      <c r="Q517" s="137"/>
      <c r="R517" s="138"/>
      <c r="S517" s="138"/>
      <c r="T517" s="139"/>
      <c r="U517" s="139"/>
      <c r="V517" s="139"/>
      <c r="W517" s="140"/>
      <c r="X517" s="141"/>
      <c r="Y517" s="140"/>
      <c r="Z517" s="142"/>
      <c r="AA517" s="139"/>
      <c r="AB517" s="139"/>
      <c r="AC517" s="140"/>
      <c r="AD517" s="140"/>
      <c r="AE517" s="140"/>
    </row>
    <row r="518">
      <c r="A518" s="130"/>
      <c r="B518" s="131"/>
      <c r="C518" s="131"/>
      <c r="D518" s="130"/>
      <c r="E518" s="132"/>
      <c r="F518" s="132"/>
      <c r="G518" s="133"/>
      <c r="H518" s="134"/>
      <c r="I518" s="134"/>
      <c r="J518" s="134"/>
      <c r="K518" s="134"/>
      <c r="L518" s="134"/>
      <c r="M518" s="134"/>
      <c r="N518" s="143"/>
      <c r="O518" s="136"/>
      <c r="P518" s="136"/>
      <c r="Q518" s="137"/>
      <c r="R518" s="138"/>
      <c r="S518" s="138"/>
      <c r="T518" s="139"/>
      <c r="U518" s="139"/>
      <c r="V518" s="139"/>
      <c r="W518" s="140"/>
      <c r="X518" s="141"/>
      <c r="Y518" s="140"/>
      <c r="Z518" s="142"/>
      <c r="AA518" s="139"/>
      <c r="AB518" s="139"/>
      <c r="AC518" s="140"/>
      <c r="AD518" s="140"/>
      <c r="AE518" s="140"/>
    </row>
    <row r="519">
      <c r="A519" s="130"/>
      <c r="B519" s="131"/>
      <c r="C519" s="131"/>
      <c r="D519" s="130"/>
      <c r="E519" s="132"/>
      <c r="F519" s="132"/>
      <c r="G519" s="133"/>
      <c r="H519" s="134"/>
      <c r="I519" s="134"/>
      <c r="J519" s="134"/>
      <c r="K519" s="134"/>
      <c r="L519" s="134"/>
      <c r="M519" s="134"/>
      <c r="N519" s="143"/>
      <c r="O519" s="136"/>
      <c r="P519" s="136"/>
      <c r="Q519" s="137"/>
      <c r="R519" s="138"/>
      <c r="S519" s="138"/>
      <c r="T519" s="139"/>
      <c r="U519" s="139"/>
      <c r="V519" s="139"/>
      <c r="W519" s="140"/>
      <c r="X519" s="141"/>
      <c r="Y519" s="140"/>
      <c r="Z519" s="142"/>
      <c r="AA519" s="139"/>
      <c r="AB519" s="139"/>
      <c r="AC519" s="140"/>
      <c r="AD519" s="140"/>
      <c r="AE519" s="140"/>
    </row>
    <row r="520">
      <c r="A520" s="130"/>
      <c r="B520" s="131"/>
      <c r="C520" s="131"/>
      <c r="D520" s="130"/>
      <c r="E520" s="132"/>
      <c r="F520" s="132"/>
      <c r="G520" s="133"/>
      <c r="H520" s="134"/>
      <c r="I520" s="134"/>
      <c r="J520" s="134"/>
      <c r="K520" s="134"/>
      <c r="L520" s="134"/>
      <c r="M520" s="134"/>
      <c r="N520" s="143"/>
      <c r="O520" s="136"/>
      <c r="P520" s="136"/>
      <c r="Q520" s="137"/>
      <c r="R520" s="138"/>
      <c r="S520" s="138"/>
      <c r="T520" s="139"/>
      <c r="U520" s="139"/>
      <c r="V520" s="139"/>
      <c r="W520" s="140"/>
      <c r="X520" s="141"/>
      <c r="Y520" s="140"/>
      <c r="Z520" s="142"/>
      <c r="AA520" s="139"/>
      <c r="AB520" s="139"/>
      <c r="AC520" s="140"/>
      <c r="AD520" s="140"/>
      <c r="AE520" s="140"/>
    </row>
    <row r="521">
      <c r="A521" s="130"/>
      <c r="B521" s="131"/>
      <c r="C521" s="131"/>
      <c r="D521" s="130"/>
      <c r="E521" s="132"/>
      <c r="F521" s="132"/>
      <c r="G521" s="133"/>
      <c r="H521" s="134"/>
      <c r="I521" s="134"/>
      <c r="J521" s="134"/>
      <c r="K521" s="134"/>
      <c r="L521" s="134"/>
      <c r="M521" s="134"/>
      <c r="N521" s="143"/>
      <c r="O521" s="136"/>
      <c r="P521" s="136"/>
      <c r="Q521" s="137"/>
      <c r="R521" s="138"/>
      <c r="S521" s="138"/>
      <c r="T521" s="139"/>
      <c r="U521" s="139"/>
      <c r="V521" s="139"/>
      <c r="W521" s="140"/>
      <c r="X521" s="141"/>
      <c r="Y521" s="140"/>
      <c r="Z521" s="142"/>
      <c r="AA521" s="139"/>
      <c r="AB521" s="139"/>
      <c r="AC521" s="140"/>
      <c r="AD521" s="140"/>
      <c r="AE521" s="140"/>
    </row>
    <row r="522">
      <c r="A522" s="130"/>
      <c r="B522" s="131"/>
      <c r="C522" s="131"/>
      <c r="D522" s="130"/>
      <c r="E522" s="132"/>
      <c r="F522" s="132"/>
      <c r="G522" s="133"/>
      <c r="H522" s="134"/>
      <c r="I522" s="134"/>
      <c r="J522" s="134"/>
      <c r="K522" s="134"/>
      <c r="L522" s="134"/>
      <c r="M522" s="134"/>
      <c r="N522" s="143"/>
      <c r="O522" s="136"/>
      <c r="P522" s="136"/>
      <c r="Q522" s="137"/>
      <c r="R522" s="138"/>
      <c r="S522" s="138"/>
      <c r="T522" s="139"/>
      <c r="U522" s="139"/>
      <c r="V522" s="139"/>
      <c r="W522" s="140"/>
      <c r="X522" s="141"/>
      <c r="Y522" s="140"/>
      <c r="Z522" s="142"/>
      <c r="AA522" s="139"/>
      <c r="AB522" s="139"/>
      <c r="AC522" s="140"/>
      <c r="AD522" s="140"/>
      <c r="AE522" s="140"/>
    </row>
    <row r="523">
      <c r="A523" s="130"/>
      <c r="B523" s="131"/>
      <c r="C523" s="131"/>
      <c r="D523" s="130"/>
      <c r="E523" s="132"/>
      <c r="F523" s="132"/>
      <c r="G523" s="133"/>
      <c r="H523" s="134"/>
      <c r="I523" s="134"/>
      <c r="J523" s="134"/>
      <c r="K523" s="134"/>
      <c r="L523" s="134"/>
      <c r="M523" s="134"/>
      <c r="N523" s="143"/>
      <c r="O523" s="136"/>
      <c r="P523" s="136"/>
      <c r="Q523" s="137"/>
      <c r="R523" s="138"/>
      <c r="S523" s="138"/>
      <c r="T523" s="139"/>
      <c r="U523" s="139"/>
      <c r="V523" s="139"/>
      <c r="W523" s="140"/>
      <c r="X523" s="141"/>
      <c r="Y523" s="140"/>
      <c r="Z523" s="142"/>
      <c r="AA523" s="139"/>
      <c r="AB523" s="139"/>
      <c r="AC523" s="140"/>
      <c r="AD523" s="140"/>
      <c r="AE523" s="140"/>
    </row>
    <row r="524">
      <c r="A524" s="130"/>
      <c r="B524" s="131"/>
      <c r="C524" s="131"/>
      <c r="D524" s="130"/>
      <c r="E524" s="132"/>
      <c r="F524" s="132"/>
      <c r="G524" s="133"/>
      <c r="H524" s="134"/>
      <c r="I524" s="134"/>
      <c r="J524" s="134"/>
      <c r="K524" s="134"/>
      <c r="L524" s="134"/>
      <c r="M524" s="134"/>
      <c r="N524" s="143"/>
      <c r="O524" s="136"/>
      <c r="P524" s="136"/>
      <c r="Q524" s="137"/>
      <c r="R524" s="138"/>
      <c r="S524" s="138"/>
      <c r="T524" s="139"/>
      <c r="U524" s="139"/>
      <c r="V524" s="139"/>
      <c r="W524" s="140"/>
      <c r="X524" s="141"/>
      <c r="Y524" s="140"/>
      <c r="Z524" s="142"/>
      <c r="AA524" s="139"/>
      <c r="AB524" s="139"/>
      <c r="AC524" s="140"/>
      <c r="AD524" s="140"/>
      <c r="AE524" s="140"/>
    </row>
    <row r="525">
      <c r="A525" s="130"/>
      <c r="B525" s="131"/>
      <c r="C525" s="131"/>
      <c r="D525" s="130"/>
      <c r="E525" s="132"/>
      <c r="F525" s="132"/>
      <c r="G525" s="133"/>
      <c r="H525" s="134"/>
      <c r="I525" s="134"/>
      <c r="J525" s="134"/>
      <c r="K525" s="134"/>
      <c r="L525" s="134"/>
      <c r="M525" s="134"/>
      <c r="N525" s="143"/>
      <c r="O525" s="136"/>
      <c r="P525" s="136"/>
      <c r="Q525" s="137"/>
      <c r="R525" s="138"/>
      <c r="S525" s="138"/>
      <c r="T525" s="139"/>
      <c r="U525" s="139"/>
      <c r="V525" s="139"/>
      <c r="W525" s="140"/>
      <c r="X525" s="141"/>
      <c r="Y525" s="140"/>
      <c r="Z525" s="142"/>
      <c r="AA525" s="139"/>
      <c r="AB525" s="139"/>
      <c r="AC525" s="140"/>
      <c r="AD525" s="140"/>
      <c r="AE525" s="140"/>
    </row>
    <row r="526">
      <c r="A526" s="130"/>
      <c r="B526" s="131"/>
      <c r="C526" s="131"/>
      <c r="D526" s="130"/>
      <c r="E526" s="132"/>
      <c r="F526" s="132"/>
      <c r="G526" s="133"/>
      <c r="H526" s="134"/>
      <c r="I526" s="134"/>
      <c r="J526" s="134"/>
      <c r="K526" s="134"/>
      <c r="L526" s="134"/>
      <c r="M526" s="134"/>
      <c r="N526" s="143"/>
      <c r="O526" s="136"/>
      <c r="P526" s="136"/>
      <c r="Q526" s="137"/>
      <c r="R526" s="138"/>
      <c r="S526" s="138"/>
      <c r="T526" s="139"/>
      <c r="U526" s="139"/>
      <c r="V526" s="139"/>
      <c r="W526" s="140"/>
      <c r="X526" s="141"/>
      <c r="Y526" s="140"/>
      <c r="Z526" s="142"/>
      <c r="AA526" s="139"/>
      <c r="AB526" s="139"/>
      <c r="AC526" s="140"/>
      <c r="AD526" s="140"/>
      <c r="AE526" s="140"/>
    </row>
    <row r="527">
      <c r="A527" s="130"/>
      <c r="B527" s="131"/>
      <c r="C527" s="131"/>
      <c r="D527" s="130"/>
      <c r="E527" s="132"/>
      <c r="F527" s="132"/>
      <c r="G527" s="133"/>
      <c r="H527" s="134"/>
      <c r="I527" s="134"/>
      <c r="J527" s="134"/>
      <c r="K527" s="134"/>
      <c r="L527" s="134"/>
      <c r="M527" s="134"/>
      <c r="N527" s="143"/>
      <c r="O527" s="136"/>
      <c r="P527" s="136"/>
      <c r="Q527" s="137"/>
      <c r="R527" s="138"/>
      <c r="S527" s="138"/>
      <c r="T527" s="139"/>
      <c r="U527" s="139"/>
      <c r="V527" s="139"/>
      <c r="W527" s="140"/>
      <c r="X527" s="141"/>
      <c r="Y527" s="140"/>
      <c r="Z527" s="142"/>
      <c r="AA527" s="139"/>
      <c r="AB527" s="139"/>
      <c r="AC527" s="140"/>
      <c r="AD527" s="140"/>
      <c r="AE527" s="140"/>
    </row>
    <row r="528">
      <c r="A528" s="130"/>
      <c r="B528" s="131"/>
      <c r="C528" s="131"/>
      <c r="D528" s="130"/>
      <c r="E528" s="132"/>
      <c r="F528" s="132"/>
      <c r="G528" s="133"/>
      <c r="H528" s="134"/>
      <c r="I528" s="134"/>
      <c r="J528" s="134"/>
      <c r="K528" s="134"/>
      <c r="L528" s="134"/>
      <c r="M528" s="134"/>
      <c r="N528" s="143"/>
      <c r="O528" s="136"/>
      <c r="P528" s="136"/>
      <c r="Q528" s="137"/>
      <c r="R528" s="138"/>
      <c r="S528" s="138"/>
      <c r="T528" s="139"/>
      <c r="U528" s="139"/>
      <c r="V528" s="139"/>
      <c r="W528" s="140"/>
      <c r="X528" s="141"/>
      <c r="Y528" s="140"/>
      <c r="Z528" s="142"/>
      <c r="AA528" s="139"/>
      <c r="AB528" s="139"/>
      <c r="AC528" s="140"/>
      <c r="AD528" s="140"/>
      <c r="AE528" s="140"/>
    </row>
    <row r="529">
      <c r="A529" s="130"/>
      <c r="B529" s="131"/>
      <c r="C529" s="131"/>
      <c r="D529" s="130"/>
      <c r="E529" s="132"/>
      <c r="F529" s="132"/>
      <c r="G529" s="133"/>
      <c r="H529" s="134"/>
      <c r="I529" s="134"/>
      <c r="J529" s="134"/>
      <c r="K529" s="134"/>
      <c r="L529" s="134"/>
      <c r="M529" s="134"/>
      <c r="N529" s="143"/>
      <c r="O529" s="136"/>
      <c r="P529" s="136"/>
      <c r="Q529" s="137"/>
      <c r="R529" s="138"/>
      <c r="S529" s="138"/>
      <c r="T529" s="139"/>
      <c r="U529" s="139"/>
      <c r="V529" s="139"/>
      <c r="W529" s="140"/>
      <c r="X529" s="141"/>
      <c r="Y529" s="140"/>
      <c r="Z529" s="142"/>
      <c r="AA529" s="139"/>
      <c r="AB529" s="139"/>
      <c r="AC529" s="140"/>
      <c r="AD529" s="140"/>
      <c r="AE529" s="140"/>
    </row>
    <row r="530">
      <c r="A530" s="130"/>
      <c r="B530" s="131"/>
      <c r="C530" s="131"/>
      <c r="D530" s="130"/>
      <c r="E530" s="132"/>
      <c r="F530" s="132"/>
      <c r="G530" s="133"/>
      <c r="H530" s="134"/>
      <c r="I530" s="134"/>
      <c r="J530" s="134"/>
      <c r="K530" s="134"/>
      <c r="L530" s="134"/>
      <c r="M530" s="134"/>
      <c r="N530" s="143"/>
      <c r="O530" s="136"/>
      <c r="P530" s="136"/>
      <c r="Q530" s="137"/>
      <c r="R530" s="138"/>
      <c r="S530" s="138"/>
      <c r="T530" s="139"/>
      <c r="U530" s="139"/>
      <c r="V530" s="139"/>
      <c r="W530" s="140"/>
      <c r="X530" s="141"/>
      <c r="Y530" s="140"/>
      <c r="Z530" s="142"/>
      <c r="AA530" s="139"/>
      <c r="AB530" s="139"/>
      <c r="AC530" s="140"/>
      <c r="AD530" s="140"/>
      <c r="AE530" s="140"/>
    </row>
    <row r="531">
      <c r="A531" s="130"/>
      <c r="B531" s="131"/>
      <c r="C531" s="131"/>
      <c r="D531" s="130"/>
      <c r="E531" s="132"/>
      <c r="F531" s="132"/>
      <c r="G531" s="133"/>
      <c r="H531" s="134"/>
      <c r="I531" s="134"/>
      <c r="J531" s="134"/>
      <c r="K531" s="134"/>
      <c r="L531" s="134"/>
      <c r="M531" s="134"/>
      <c r="N531" s="143"/>
      <c r="O531" s="136"/>
      <c r="P531" s="136"/>
      <c r="Q531" s="137"/>
      <c r="R531" s="138"/>
      <c r="S531" s="138"/>
      <c r="T531" s="139"/>
      <c r="U531" s="139"/>
      <c r="V531" s="139"/>
      <c r="W531" s="140"/>
      <c r="X531" s="141"/>
      <c r="Y531" s="140"/>
      <c r="Z531" s="142"/>
      <c r="AA531" s="139"/>
      <c r="AB531" s="139"/>
      <c r="AC531" s="140"/>
      <c r="AD531" s="140"/>
      <c r="AE531" s="140"/>
    </row>
    <row r="532">
      <c r="A532" s="130"/>
      <c r="B532" s="131"/>
      <c r="C532" s="131"/>
      <c r="D532" s="130"/>
      <c r="E532" s="132"/>
      <c r="F532" s="132"/>
      <c r="G532" s="133"/>
      <c r="H532" s="134"/>
      <c r="I532" s="134"/>
      <c r="J532" s="134"/>
      <c r="K532" s="134"/>
      <c r="L532" s="134"/>
      <c r="M532" s="134"/>
      <c r="N532" s="143"/>
      <c r="O532" s="136"/>
      <c r="P532" s="136"/>
      <c r="Q532" s="137"/>
      <c r="R532" s="138"/>
      <c r="S532" s="138"/>
      <c r="T532" s="139"/>
      <c r="U532" s="139"/>
      <c r="V532" s="139"/>
      <c r="W532" s="140"/>
      <c r="X532" s="141"/>
      <c r="Y532" s="140"/>
      <c r="Z532" s="142"/>
      <c r="AA532" s="139"/>
      <c r="AB532" s="139"/>
      <c r="AC532" s="140"/>
      <c r="AD532" s="140"/>
      <c r="AE532" s="140"/>
    </row>
    <row r="533">
      <c r="A533" s="130"/>
      <c r="B533" s="131"/>
      <c r="C533" s="131"/>
      <c r="D533" s="130"/>
      <c r="E533" s="132"/>
      <c r="F533" s="132"/>
      <c r="G533" s="133"/>
      <c r="H533" s="134"/>
      <c r="I533" s="134"/>
      <c r="J533" s="134"/>
      <c r="K533" s="134"/>
      <c r="L533" s="134"/>
      <c r="M533" s="134"/>
      <c r="N533" s="143"/>
      <c r="O533" s="136"/>
      <c r="P533" s="136"/>
      <c r="Q533" s="137"/>
      <c r="R533" s="138"/>
      <c r="S533" s="138"/>
      <c r="T533" s="139"/>
      <c r="U533" s="139"/>
      <c r="V533" s="139"/>
      <c r="W533" s="140"/>
      <c r="X533" s="141"/>
      <c r="Y533" s="140"/>
      <c r="Z533" s="142"/>
      <c r="AA533" s="139"/>
      <c r="AB533" s="139"/>
      <c r="AC533" s="140"/>
      <c r="AD533" s="140"/>
      <c r="AE533" s="140"/>
    </row>
    <row r="534">
      <c r="A534" s="130"/>
      <c r="B534" s="131"/>
      <c r="C534" s="131"/>
      <c r="D534" s="130"/>
      <c r="E534" s="132"/>
      <c r="F534" s="132"/>
      <c r="G534" s="133"/>
      <c r="H534" s="134"/>
      <c r="I534" s="134"/>
      <c r="J534" s="134"/>
      <c r="K534" s="134"/>
      <c r="L534" s="134"/>
      <c r="M534" s="134"/>
      <c r="N534" s="143"/>
      <c r="O534" s="136"/>
      <c r="P534" s="136"/>
      <c r="Q534" s="137"/>
      <c r="R534" s="138"/>
      <c r="S534" s="138"/>
      <c r="T534" s="139"/>
      <c r="U534" s="139"/>
      <c r="V534" s="139"/>
      <c r="W534" s="140"/>
      <c r="X534" s="141"/>
      <c r="Y534" s="140"/>
      <c r="Z534" s="142"/>
      <c r="AA534" s="139"/>
      <c r="AB534" s="139"/>
      <c r="AC534" s="140"/>
      <c r="AD534" s="140"/>
      <c r="AE534" s="140"/>
    </row>
    <row r="535">
      <c r="A535" s="130"/>
      <c r="B535" s="131"/>
      <c r="C535" s="131"/>
      <c r="D535" s="130"/>
      <c r="E535" s="132"/>
      <c r="F535" s="132"/>
      <c r="G535" s="133"/>
      <c r="H535" s="134"/>
      <c r="I535" s="134"/>
      <c r="J535" s="134"/>
      <c r="K535" s="134"/>
      <c r="L535" s="134"/>
      <c r="M535" s="134"/>
      <c r="N535" s="143"/>
      <c r="O535" s="136"/>
      <c r="P535" s="136"/>
      <c r="Q535" s="137"/>
      <c r="R535" s="138"/>
      <c r="S535" s="138"/>
      <c r="T535" s="139"/>
      <c r="U535" s="139"/>
      <c r="V535" s="139"/>
      <c r="W535" s="140"/>
      <c r="X535" s="141"/>
      <c r="Y535" s="140"/>
      <c r="Z535" s="142"/>
      <c r="AA535" s="139"/>
      <c r="AB535" s="139"/>
      <c r="AC535" s="140"/>
      <c r="AD535" s="140"/>
      <c r="AE535" s="140"/>
    </row>
    <row r="536">
      <c r="A536" s="130"/>
      <c r="B536" s="131"/>
      <c r="C536" s="131"/>
      <c r="D536" s="130"/>
      <c r="E536" s="132"/>
      <c r="F536" s="132"/>
      <c r="G536" s="133"/>
      <c r="H536" s="134"/>
      <c r="I536" s="134"/>
      <c r="J536" s="134"/>
      <c r="K536" s="134"/>
      <c r="L536" s="134"/>
      <c r="M536" s="134"/>
      <c r="N536" s="143"/>
      <c r="O536" s="136"/>
      <c r="P536" s="136"/>
      <c r="Q536" s="137"/>
      <c r="R536" s="138"/>
      <c r="S536" s="138"/>
      <c r="T536" s="139"/>
      <c r="U536" s="139"/>
      <c r="V536" s="139"/>
      <c r="W536" s="140"/>
      <c r="X536" s="141"/>
      <c r="Y536" s="140"/>
      <c r="Z536" s="142"/>
      <c r="AA536" s="139"/>
      <c r="AB536" s="139"/>
      <c r="AC536" s="140"/>
      <c r="AD536" s="140"/>
      <c r="AE536" s="140"/>
    </row>
    <row r="537">
      <c r="A537" s="130"/>
      <c r="B537" s="131"/>
      <c r="C537" s="131"/>
      <c r="D537" s="130"/>
      <c r="E537" s="132"/>
      <c r="F537" s="132"/>
      <c r="G537" s="133"/>
      <c r="H537" s="134"/>
      <c r="I537" s="134"/>
      <c r="J537" s="134"/>
      <c r="K537" s="134"/>
      <c r="L537" s="134"/>
      <c r="M537" s="134"/>
      <c r="N537" s="143"/>
      <c r="O537" s="136"/>
      <c r="P537" s="136"/>
      <c r="Q537" s="137"/>
      <c r="R537" s="138"/>
      <c r="S537" s="138"/>
      <c r="T537" s="139"/>
      <c r="U537" s="139"/>
      <c r="V537" s="139"/>
      <c r="W537" s="140"/>
      <c r="X537" s="141"/>
      <c r="Y537" s="140"/>
      <c r="Z537" s="142"/>
      <c r="AA537" s="139"/>
      <c r="AB537" s="139"/>
      <c r="AC537" s="140"/>
      <c r="AD537" s="140"/>
      <c r="AE537" s="140"/>
    </row>
    <row r="538">
      <c r="A538" s="130"/>
      <c r="B538" s="131"/>
      <c r="C538" s="131"/>
      <c r="D538" s="130"/>
      <c r="E538" s="132"/>
      <c r="F538" s="132"/>
      <c r="G538" s="133"/>
      <c r="H538" s="134"/>
      <c r="I538" s="134"/>
      <c r="J538" s="134"/>
      <c r="K538" s="134"/>
      <c r="L538" s="134"/>
      <c r="M538" s="134"/>
      <c r="N538" s="143"/>
      <c r="O538" s="136"/>
      <c r="P538" s="136"/>
      <c r="Q538" s="137"/>
      <c r="R538" s="138"/>
      <c r="S538" s="138"/>
      <c r="T538" s="139"/>
      <c r="U538" s="139"/>
      <c r="V538" s="139"/>
      <c r="W538" s="140"/>
      <c r="X538" s="141"/>
      <c r="Y538" s="140"/>
      <c r="Z538" s="142"/>
      <c r="AA538" s="139"/>
      <c r="AB538" s="139"/>
      <c r="AC538" s="140"/>
      <c r="AD538" s="140"/>
      <c r="AE538" s="140"/>
    </row>
    <row r="539">
      <c r="A539" s="130"/>
      <c r="B539" s="131"/>
      <c r="C539" s="131"/>
      <c r="D539" s="130"/>
      <c r="E539" s="132"/>
      <c r="F539" s="132"/>
      <c r="G539" s="133"/>
      <c r="H539" s="134"/>
      <c r="I539" s="134"/>
      <c r="J539" s="134"/>
      <c r="K539" s="134"/>
      <c r="L539" s="134"/>
      <c r="M539" s="134"/>
      <c r="N539" s="143"/>
      <c r="O539" s="136"/>
      <c r="P539" s="136"/>
      <c r="Q539" s="137"/>
      <c r="R539" s="138"/>
      <c r="S539" s="138"/>
      <c r="T539" s="139"/>
      <c r="U539" s="139"/>
      <c r="V539" s="139"/>
      <c r="W539" s="140"/>
      <c r="X539" s="141"/>
      <c r="Y539" s="140"/>
      <c r="Z539" s="142"/>
      <c r="AA539" s="139"/>
      <c r="AB539" s="139"/>
      <c r="AC539" s="140"/>
      <c r="AD539" s="140"/>
      <c r="AE539" s="140"/>
    </row>
    <row r="540">
      <c r="A540" s="130"/>
      <c r="B540" s="131"/>
      <c r="C540" s="131"/>
      <c r="D540" s="130"/>
      <c r="E540" s="132"/>
      <c r="F540" s="132"/>
      <c r="G540" s="133"/>
      <c r="H540" s="134"/>
      <c r="I540" s="134"/>
      <c r="J540" s="134"/>
      <c r="K540" s="134"/>
      <c r="L540" s="134"/>
      <c r="M540" s="134"/>
      <c r="N540" s="143"/>
      <c r="O540" s="136"/>
      <c r="P540" s="136"/>
      <c r="Q540" s="137"/>
      <c r="R540" s="138"/>
      <c r="S540" s="138"/>
      <c r="T540" s="139"/>
      <c r="U540" s="139"/>
      <c r="V540" s="139"/>
      <c r="W540" s="140"/>
      <c r="X540" s="141"/>
      <c r="Y540" s="140"/>
      <c r="Z540" s="142"/>
      <c r="AA540" s="139"/>
      <c r="AB540" s="139"/>
      <c r="AC540" s="140"/>
      <c r="AD540" s="140"/>
      <c r="AE540" s="140"/>
    </row>
    <row r="541">
      <c r="A541" s="130"/>
      <c r="B541" s="131"/>
      <c r="C541" s="131"/>
      <c r="D541" s="130"/>
      <c r="E541" s="132"/>
      <c r="F541" s="132"/>
      <c r="G541" s="133"/>
      <c r="H541" s="134"/>
      <c r="I541" s="134"/>
      <c r="J541" s="134"/>
      <c r="K541" s="134"/>
      <c r="L541" s="134"/>
      <c r="M541" s="134"/>
      <c r="N541" s="143"/>
      <c r="O541" s="136"/>
      <c r="P541" s="136"/>
      <c r="Q541" s="137"/>
      <c r="R541" s="138"/>
      <c r="S541" s="138"/>
      <c r="T541" s="139"/>
      <c r="U541" s="139"/>
      <c r="V541" s="139"/>
      <c r="W541" s="140"/>
      <c r="X541" s="141"/>
      <c r="Y541" s="140"/>
      <c r="Z541" s="142"/>
      <c r="AA541" s="139"/>
      <c r="AB541" s="139"/>
      <c r="AC541" s="140"/>
      <c r="AD541" s="140"/>
      <c r="AE541" s="140"/>
    </row>
    <row r="542">
      <c r="A542" s="130"/>
      <c r="B542" s="131"/>
      <c r="C542" s="131"/>
      <c r="D542" s="130"/>
      <c r="E542" s="132"/>
      <c r="F542" s="132"/>
      <c r="G542" s="133"/>
      <c r="H542" s="134"/>
      <c r="I542" s="134"/>
      <c r="J542" s="134"/>
      <c r="K542" s="134"/>
      <c r="L542" s="134"/>
      <c r="M542" s="134"/>
      <c r="N542" s="143"/>
      <c r="O542" s="136"/>
      <c r="P542" s="136"/>
      <c r="Q542" s="137"/>
      <c r="R542" s="138"/>
      <c r="S542" s="138"/>
      <c r="T542" s="139"/>
      <c r="U542" s="139"/>
      <c r="V542" s="139"/>
      <c r="W542" s="140"/>
      <c r="X542" s="141"/>
      <c r="Y542" s="140"/>
      <c r="Z542" s="142"/>
      <c r="AA542" s="139"/>
      <c r="AB542" s="139"/>
      <c r="AC542" s="140"/>
      <c r="AD542" s="140"/>
      <c r="AE542" s="140"/>
    </row>
    <row r="543">
      <c r="A543" s="130"/>
      <c r="B543" s="131"/>
      <c r="C543" s="131"/>
      <c r="D543" s="130"/>
      <c r="E543" s="132"/>
      <c r="F543" s="132"/>
      <c r="G543" s="133"/>
      <c r="H543" s="134"/>
      <c r="I543" s="134"/>
      <c r="J543" s="134"/>
      <c r="K543" s="134"/>
      <c r="L543" s="134"/>
      <c r="M543" s="134"/>
      <c r="N543" s="143"/>
      <c r="O543" s="136"/>
      <c r="P543" s="136"/>
      <c r="Q543" s="137"/>
      <c r="R543" s="138"/>
      <c r="S543" s="138"/>
      <c r="T543" s="139"/>
      <c r="U543" s="139"/>
      <c r="V543" s="139"/>
      <c r="W543" s="140"/>
      <c r="X543" s="141"/>
      <c r="Y543" s="140"/>
      <c r="Z543" s="142"/>
      <c r="AA543" s="139"/>
      <c r="AB543" s="139"/>
      <c r="AC543" s="140"/>
      <c r="AD543" s="140"/>
      <c r="AE543" s="140"/>
    </row>
    <row r="544">
      <c r="A544" s="130"/>
      <c r="B544" s="131"/>
      <c r="C544" s="131"/>
      <c r="D544" s="130"/>
      <c r="E544" s="132"/>
      <c r="F544" s="132"/>
      <c r="G544" s="133"/>
      <c r="H544" s="134"/>
      <c r="I544" s="134"/>
      <c r="J544" s="134"/>
      <c r="K544" s="134"/>
      <c r="L544" s="134"/>
      <c r="M544" s="134"/>
      <c r="N544" s="143"/>
      <c r="O544" s="136"/>
      <c r="P544" s="136"/>
      <c r="Q544" s="137"/>
      <c r="R544" s="138"/>
      <c r="S544" s="138"/>
      <c r="T544" s="139"/>
      <c r="U544" s="139"/>
      <c r="V544" s="139"/>
      <c r="W544" s="140"/>
      <c r="X544" s="141"/>
      <c r="Y544" s="140"/>
      <c r="Z544" s="142"/>
      <c r="AA544" s="139"/>
      <c r="AB544" s="139"/>
      <c r="AC544" s="140"/>
      <c r="AD544" s="140"/>
      <c r="AE544" s="140"/>
    </row>
    <row r="545">
      <c r="A545" s="130"/>
      <c r="B545" s="131"/>
      <c r="C545" s="131"/>
      <c r="D545" s="130"/>
      <c r="E545" s="132"/>
      <c r="F545" s="132"/>
      <c r="G545" s="133"/>
      <c r="H545" s="134"/>
      <c r="I545" s="134"/>
      <c r="J545" s="134"/>
      <c r="K545" s="134"/>
      <c r="L545" s="134"/>
      <c r="M545" s="134"/>
      <c r="N545" s="143"/>
      <c r="O545" s="136"/>
      <c r="P545" s="136"/>
      <c r="Q545" s="137"/>
      <c r="R545" s="138"/>
      <c r="S545" s="138"/>
      <c r="T545" s="139"/>
      <c r="U545" s="139"/>
      <c r="V545" s="139"/>
      <c r="W545" s="140"/>
      <c r="X545" s="141"/>
      <c r="Y545" s="140"/>
      <c r="Z545" s="142"/>
      <c r="AA545" s="139"/>
      <c r="AB545" s="139"/>
      <c r="AC545" s="140"/>
      <c r="AD545" s="140"/>
      <c r="AE545" s="140"/>
    </row>
    <row r="546">
      <c r="A546" s="130"/>
      <c r="B546" s="131"/>
      <c r="C546" s="131"/>
      <c r="D546" s="130"/>
      <c r="E546" s="132"/>
      <c r="F546" s="132"/>
      <c r="G546" s="133"/>
      <c r="H546" s="134"/>
      <c r="I546" s="134"/>
      <c r="J546" s="134"/>
      <c r="K546" s="134"/>
      <c r="L546" s="134"/>
      <c r="M546" s="134"/>
      <c r="N546" s="143"/>
      <c r="O546" s="136"/>
      <c r="P546" s="136"/>
      <c r="Q546" s="137"/>
      <c r="R546" s="138"/>
      <c r="S546" s="138"/>
      <c r="T546" s="139"/>
      <c r="U546" s="139"/>
      <c r="V546" s="139"/>
      <c r="W546" s="140"/>
      <c r="X546" s="141"/>
      <c r="Y546" s="140"/>
      <c r="Z546" s="142"/>
      <c r="AA546" s="139"/>
      <c r="AB546" s="139"/>
      <c r="AC546" s="140"/>
      <c r="AD546" s="140"/>
      <c r="AE546" s="140"/>
    </row>
    <row r="547">
      <c r="A547" s="130"/>
      <c r="B547" s="131"/>
      <c r="C547" s="131"/>
      <c r="D547" s="130"/>
      <c r="E547" s="132"/>
      <c r="F547" s="132"/>
      <c r="G547" s="133"/>
      <c r="H547" s="134"/>
      <c r="I547" s="134"/>
      <c r="J547" s="134"/>
      <c r="K547" s="134"/>
      <c r="L547" s="134"/>
      <c r="M547" s="134"/>
      <c r="N547" s="143"/>
      <c r="O547" s="136"/>
      <c r="P547" s="136"/>
      <c r="Q547" s="137"/>
      <c r="R547" s="138"/>
      <c r="S547" s="138"/>
      <c r="T547" s="139"/>
      <c r="U547" s="139"/>
      <c r="V547" s="139"/>
      <c r="W547" s="140"/>
      <c r="X547" s="141"/>
      <c r="Y547" s="140"/>
      <c r="Z547" s="142"/>
      <c r="AA547" s="139"/>
      <c r="AB547" s="139"/>
      <c r="AC547" s="140"/>
      <c r="AD547" s="140"/>
      <c r="AE547" s="140"/>
    </row>
    <row r="548">
      <c r="A548" s="130"/>
      <c r="B548" s="131"/>
      <c r="C548" s="131"/>
      <c r="D548" s="130"/>
      <c r="E548" s="132"/>
      <c r="F548" s="132"/>
      <c r="G548" s="133"/>
      <c r="H548" s="134"/>
      <c r="I548" s="134"/>
      <c r="J548" s="134"/>
      <c r="K548" s="134"/>
      <c r="L548" s="134"/>
      <c r="M548" s="134"/>
      <c r="N548" s="143"/>
      <c r="O548" s="136"/>
      <c r="P548" s="136"/>
      <c r="Q548" s="137"/>
      <c r="R548" s="138"/>
      <c r="S548" s="138"/>
      <c r="T548" s="139"/>
      <c r="U548" s="139"/>
      <c r="V548" s="139"/>
      <c r="W548" s="140"/>
      <c r="X548" s="141"/>
      <c r="Y548" s="140"/>
      <c r="Z548" s="142"/>
      <c r="AA548" s="139"/>
      <c r="AB548" s="139"/>
      <c r="AC548" s="140"/>
      <c r="AD548" s="140"/>
      <c r="AE548" s="140"/>
    </row>
    <row r="549">
      <c r="A549" s="130"/>
      <c r="B549" s="131"/>
      <c r="C549" s="131"/>
      <c r="D549" s="130"/>
      <c r="E549" s="132"/>
      <c r="F549" s="132"/>
      <c r="G549" s="133"/>
      <c r="H549" s="134"/>
      <c r="I549" s="134"/>
      <c r="J549" s="134"/>
      <c r="K549" s="134"/>
      <c r="L549" s="134"/>
      <c r="M549" s="134"/>
      <c r="N549" s="143"/>
      <c r="O549" s="136"/>
      <c r="P549" s="136"/>
      <c r="Q549" s="137"/>
      <c r="R549" s="138"/>
      <c r="S549" s="138"/>
      <c r="T549" s="139"/>
      <c r="U549" s="139"/>
      <c r="V549" s="139"/>
      <c r="W549" s="140"/>
      <c r="X549" s="141"/>
      <c r="Y549" s="140"/>
      <c r="Z549" s="142"/>
      <c r="AA549" s="139"/>
      <c r="AB549" s="139"/>
      <c r="AC549" s="140"/>
      <c r="AD549" s="140"/>
      <c r="AE549" s="140"/>
    </row>
    <row r="550">
      <c r="A550" s="130"/>
      <c r="B550" s="131"/>
      <c r="C550" s="131"/>
      <c r="D550" s="130"/>
      <c r="E550" s="132"/>
      <c r="F550" s="132"/>
      <c r="G550" s="133"/>
      <c r="H550" s="134"/>
      <c r="I550" s="134"/>
      <c r="J550" s="134"/>
      <c r="K550" s="134"/>
      <c r="L550" s="134"/>
      <c r="M550" s="134"/>
      <c r="N550" s="143"/>
      <c r="O550" s="136"/>
      <c r="P550" s="136"/>
      <c r="Q550" s="137"/>
      <c r="R550" s="138"/>
      <c r="S550" s="138"/>
      <c r="T550" s="139"/>
      <c r="U550" s="139"/>
      <c r="V550" s="139"/>
      <c r="W550" s="140"/>
      <c r="X550" s="141"/>
      <c r="Y550" s="140"/>
      <c r="Z550" s="142"/>
      <c r="AA550" s="139"/>
      <c r="AB550" s="139"/>
      <c r="AC550" s="140"/>
      <c r="AD550" s="140"/>
      <c r="AE550" s="140"/>
    </row>
    <row r="551">
      <c r="A551" s="130"/>
      <c r="B551" s="131"/>
      <c r="C551" s="131"/>
      <c r="D551" s="130"/>
      <c r="E551" s="132"/>
      <c r="F551" s="132"/>
      <c r="G551" s="133"/>
      <c r="H551" s="134"/>
      <c r="I551" s="134"/>
      <c r="J551" s="134"/>
      <c r="K551" s="134"/>
      <c r="L551" s="134"/>
      <c r="M551" s="134"/>
      <c r="N551" s="143"/>
      <c r="O551" s="136"/>
      <c r="P551" s="136"/>
      <c r="Q551" s="137"/>
      <c r="R551" s="138"/>
      <c r="S551" s="138"/>
      <c r="T551" s="139"/>
      <c r="U551" s="139"/>
      <c r="V551" s="139"/>
      <c r="W551" s="140"/>
      <c r="X551" s="141"/>
      <c r="Y551" s="140"/>
      <c r="Z551" s="142"/>
      <c r="AA551" s="139"/>
      <c r="AB551" s="139"/>
      <c r="AC551" s="140"/>
      <c r="AD551" s="140"/>
      <c r="AE551" s="140"/>
    </row>
    <row r="552">
      <c r="A552" s="130"/>
      <c r="B552" s="131"/>
      <c r="C552" s="131"/>
      <c r="D552" s="130"/>
      <c r="E552" s="132"/>
      <c r="F552" s="132"/>
      <c r="G552" s="133"/>
      <c r="H552" s="134"/>
      <c r="I552" s="134"/>
      <c r="J552" s="134"/>
      <c r="K552" s="134"/>
      <c r="L552" s="134"/>
      <c r="M552" s="134"/>
      <c r="N552" s="143"/>
      <c r="O552" s="136"/>
      <c r="P552" s="136"/>
      <c r="Q552" s="137"/>
      <c r="R552" s="138"/>
      <c r="S552" s="138"/>
      <c r="T552" s="139"/>
      <c r="U552" s="139"/>
      <c r="V552" s="139"/>
      <c r="W552" s="140"/>
      <c r="X552" s="141"/>
      <c r="Y552" s="140"/>
      <c r="Z552" s="142"/>
      <c r="AA552" s="139"/>
      <c r="AB552" s="139"/>
      <c r="AC552" s="140"/>
      <c r="AD552" s="140"/>
      <c r="AE552" s="140"/>
    </row>
    <row r="553">
      <c r="A553" s="130"/>
      <c r="B553" s="131"/>
      <c r="C553" s="131"/>
      <c r="D553" s="130"/>
      <c r="E553" s="132"/>
      <c r="F553" s="132"/>
      <c r="G553" s="133"/>
      <c r="H553" s="134"/>
      <c r="I553" s="134"/>
      <c r="J553" s="134"/>
      <c r="K553" s="134"/>
      <c r="L553" s="134"/>
      <c r="M553" s="134"/>
      <c r="N553" s="143"/>
      <c r="O553" s="136"/>
      <c r="P553" s="136"/>
      <c r="Q553" s="137"/>
      <c r="R553" s="138"/>
      <c r="S553" s="138"/>
      <c r="T553" s="139"/>
      <c r="U553" s="139"/>
      <c r="V553" s="139"/>
      <c r="W553" s="140"/>
      <c r="X553" s="141"/>
      <c r="Y553" s="140"/>
      <c r="Z553" s="142"/>
      <c r="AA553" s="139"/>
      <c r="AB553" s="139"/>
      <c r="AC553" s="140"/>
      <c r="AD553" s="140"/>
      <c r="AE553" s="140"/>
    </row>
    <row r="554">
      <c r="A554" s="130"/>
      <c r="B554" s="131"/>
      <c r="C554" s="131"/>
      <c r="D554" s="130"/>
      <c r="E554" s="132"/>
      <c r="F554" s="132"/>
      <c r="G554" s="133"/>
      <c r="H554" s="134"/>
      <c r="I554" s="134"/>
      <c r="J554" s="134"/>
      <c r="K554" s="134"/>
      <c r="L554" s="134"/>
      <c r="M554" s="134"/>
      <c r="N554" s="143"/>
      <c r="O554" s="136"/>
      <c r="P554" s="136"/>
      <c r="Q554" s="137"/>
      <c r="R554" s="138"/>
      <c r="S554" s="138"/>
      <c r="T554" s="139"/>
      <c r="U554" s="139"/>
      <c r="V554" s="139"/>
      <c r="W554" s="140"/>
      <c r="X554" s="141"/>
      <c r="Y554" s="140"/>
      <c r="Z554" s="142"/>
      <c r="AA554" s="139"/>
      <c r="AB554" s="139"/>
      <c r="AC554" s="140"/>
      <c r="AD554" s="140"/>
      <c r="AE554" s="140"/>
    </row>
    <row r="555">
      <c r="A555" s="130"/>
      <c r="B555" s="131"/>
      <c r="C555" s="131"/>
      <c r="D555" s="130"/>
      <c r="E555" s="132"/>
      <c r="F555" s="132"/>
      <c r="G555" s="133"/>
      <c r="H555" s="134"/>
      <c r="I555" s="134"/>
      <c r="J555" s="134"/>
      <c r="K555" s="134"/>
      <c r="L555" s="134"/>
      <c r="M555" s="134"/>
      <c r="N555" s="143"/>
      <c r="O555" s="136"/>
      <c r="P555" s="136"/>
      <c r="Q555" s="137"/>
      <c r="R555" s="138"/>
      <c r="S555" s="138"/>
      <c r="T555" s="139"/>
      <c r="U555" s="139"/>
      <c r="V555" s="139"/>
      <c r="W555" s="140"/>
      <c r="X555" s="141"/>
      <c r="Y555" s="140"/>
      <c r="Z555" s="142"/>
      <c r="AA555" s="139"/>
      <c r="AB555" s="139"/>
      <c r="AC555" s="140"/>
      <c r="AD555" s="140"/>
      <c r="AE555" s="140"/>
    </row>
    <row r="556">
      <c r="A556" s="130"/>
      <c r="B556" s="131"/>
      <c r="C556" s="131"/>
      <c r="D556" s="130"/>
      <c r="E556" s="132"/>
      <c r="F556" s="132"/>
      <c r="G556" s="133"/>
      <c r="H556" s="134"/>
      <c r="I556" s="134"/>
      <c r="J556" s="134"/>
      <c r="K556" s="134"/>
      <c r="L556" s="134"/>
      <c r="M556" s="134"/>
      <c r="N556" s="143"/>
      <c r="O556" s="136"/>
      <c r="P556" s="136"/>
      <c r="Q556" s="137"/>
      <c r="R556" s="138"/>
      <c r="S556" s="138"/>
      <c r="T556" s="139"/>
      <c r="U556" s="139"/>
      <c r="V556" s="139"/>
      <c r="W556" s="140"/>
      <c r="X556" s="141"/>
      <c r="Y556" s="140"/>
      <c r="Z556" s="142"/>
      <c r="AA556" s="139"/>
      <c r="AB556" s="139"/>
      <c r="AC556" s="140"/>
      <c r="AD556" s="140"/>
      <c r="AE556" s="140"/>
    </row>
    <row r="557">
      <c r="A557" s="130"/>
      <c r="B557" s="131"/>
      <c r="C557" s="131"/>
      <c r="D557" s="130"/>
      <c r="E557" s="132"/>
      <c r="F557" s="132"/>
      <c r="G557" s="133"/>
      <c r="H557" s="134"/>
      <c r="I557" s="134"/>
      <c r="J557" s="134"/>
      <c r="K557" s="134"/>
      <c r="L557" s="134"/>
      <c r="M557" s="134"/>
      <c r="N557" s="143"/>
      <c r="O557" s="136"/>
      <c r="P557" s="136"/>
      <c r="Q557" s="137"/>
      <c r="R557" s="138"/>
      <c r="S557" s="138"/>
      <c r="T557" s="139"/>
      <c r="U557" s="139"/>
      <c r="V557" s="139"/>
      <c r="W557" s="140"/>
      <c r="X557" s="141"/>
      <c r="Y557" s="140"/>
      <c r="Z557" s="142"/>
      <c r="AA557" s="139"/>
      <c r="AB557" s="139"/>
      <c r="AC557" s="140"/>
      <c r="AD557" s="140"/>
      <c r="AE557" s="140"/>
    </row>
    <row r="558">
      <c r="A558" s="130"/>
      <c r="B558" s="131"/>
      <c r="C558" s="131"/>
      <c r="D558" s="130"/>
      <c r="E558" s="132"/>
      <c r="F558" s="132"/>
      <c r="G558" s="133"/>
      <c r="H558" s="134"/>
      <c r="I558" s="134"/>
      <c r="J558" s="134"/>
      <c r="K558" s="134"/>
      <c r="L558" s="134"/>
      <c r="M558" s="134"/>
      <c r="N558" s="143"/>
      <c r="O558" s="136"/>
      <c r="P558" s="136"/>
      <c r="Q558" s="137"/>
      <c r="R558" s="138"/>
      <c r="S558" s="138"/>
      <c r="T558" s="139"/>
      <c r="U558" s="139"/>
      <c r="V558" s="139"/>
      <c r="W558" s="140"/>
      <c r="X558" s="141"/>
      <c r="Y558" s="140"/>
      <c r="Z558" s="142"/>
      <c r="AA558" s="139"/>
      <c r="AB558" s="139"/>
      <c r="AC558" s="140"/>
      <c r="AD558" s="140"/>
      <c r="AE558" s="140"/>
    </row>
    <row r="559">
      <c r="A559" s="130"/>
      <c r="B559" s="131"/>
      <c r="C559" s="131"/>
      <c r="D559" s="130"/>
      <c r="E559" s="132"/>
      <c r="F559" s="132"/>
      <c r="G559" s="133"/>
      <c r="H559" s="134"/>
      <c r="I559" s="134"/>
      <c r="J559" s="134"/>
      <c r="K559" s="134"/>
      <c r="L559" s="134"/>
      <c r="M559" s="134"/>
      <c r="N559" s="143"/>
      <c r="O559" s="136"/>
      <c r="P559" s="136"/>
      <c r="Q559" s="137"/>
      <c r="R559" s="138"/>
      <c r="S559" s="138"/>
      <c r="T559" s="139"/>
      <c r="U559" s="139"/>
      <c r="V559" s="139"/>
      <c r="W559" s="140"/>
      <c r="X559" s="141"/>
      <c r="Y559" s="140"/>
      <c r="Z559" s="142"/>
      <c r="AA559" s="139"/>
      <c r="AB559" s="139"/>
      <c r="AC559" s="140"/>
      <c r="AD559" s="140"/>
      <c r="AE559" s="140"/>
    </row>
    <row r="560">
      <c r="A560" s="130"/>
      <c r="B560" s="131"/>
      <c r="C560" s="131"/>
      <c r="D560" s="130"/>
      <c r="E560" s="132"/>
      <c r="F560" s="132"/>
      <c r="G560" s="133"/>
      <c r="H560" s="134"/>
      <c r="I560" s="134"/>
      <c r="J560" s="134"/>
      <c r="K560" s="134"/>
      <c r="L560" s="134"/>
      <c r="M560" s="134"/>
      <c r="N560" s="143"/>
      <c r="O560" s="136"/>
      <c r="P560" s="136"/>
      <c r="Q560" s="137"/>
      <c r="R560" s="138"/>
      <c r="S560" s="138"/>
      <c r="T560" s="139"/>
      <c r="U560" s="139"/>
      <c r="V560" s="139"/>
      <c r="W560" s="140"/>
      <c r="X560" s="141"/>
      <c r="Y560" s="140"/>
      <c r="Z560" s="142"/>
      <c r="AA560" s="139"/>
      <c r="AB560" s="139"/>
      <c r="AC560" s="140"/>
      <c r="AD560" s="140"/>
      <c r="AE560" s="140"/>
    </row>
    <row r="561">
      <c r="A561" s="130"/>
      <c r="B561" s="131"/>
      <c r="C561" s="131"/>
      <c r="D561" s="130"/>
      <c r="E561" s="132"/>
      <c r="F561" s="132"/>
      <c r="G561" s="133"/>
      <c r="H561" s="134"/>
      <c r="I561" s="134"/>
      <c r="J561" s="134"/>
      <c r="K561" s="134"/>
      <c r="L561" s="134"/>
      <c r="M561" s="134"/>
      <c r="N561" s="143"/>
      <c r="O561" s="136"/>
      <c r="P561" s="136"/>
      <c r="Q561" s="137"/>
      <c r="R561" s="138"/>
      <c r="S561" s="138"/>
      <c r="T561" s="139"/>
      <c r="U561" s="139"/>
      <c r="V561" s="139"/>
      <c r="W561" s="140"/>
      <c r="X561" s="141"/>
      <c r="Y561" s="140"/>
      <c r="Z561" s="142"/>
      <c r="AA561" s="139"/>
      <c r="AB561" s="139"/>
      <c r="AC561" s="140"/>
      <c r="AD561" s="140"/>
      <c r="AE561" s="140"/>
    </row>
    <row r="562">
      <c r="A562" s="130"/>
      <c r="B562" s="131"/>
      <c r="C562" s="131"/>
      <c r="D562" s="130"/>
      <c r="E562" s="132"/>
      <c r="F562" s="132"/>
      <c r="G562" s="133"/>
      <c r="H562" s="134"/>
      <c r="I562" s="134"/>
      <c r="J562" s="134"/>
      <c r="K562" s="134"/>
      <c r="L562" s="134"/>
      <c r="M562" s="134"/>
      <c r="N562" s="143"/>
      <c r="O562" s="136"/>
      <c r="P562" s="136"/>
      <c r="Q562" s="137"/>
      <c r="R562" s="138"/>
      <c r="S562" s="138"/>
      <c r="T562" s="139"/>
      <c r="U562" s="139"/>
      <c r="V562" s="139"/>
      <c r="W562" s="140"/>
      <c r="X562" s="141"/>
      <c r="Y562" s="140"/>
      <c r="Z562" s="142"/>
      <c r="AA562" s="139"/>
      <c r="AB562" s="139"/>
      <c r="AC562" s="140"/>
      <c r="AD562" s="140"/>
      <c r="AE562" s="140"/>
    </row>
    <row r="563">
      <c r="A563" s="130"/>
      <c r="B563" s="131"/>
      <c r="C563" s="131"/>
      <c r="D563" s="130"/>
      <c r="E563" s="132"/>
      <c r="F563" s="132"/>
      <c r="G563" s="133"/>
      <c r="H563" s="134"/>
      <c r="I563" s="134"/>
      <c r="J563" s="134"/>
      <c r="K563" s="134"/>
      <c r="L563" s="134"/>
      <c r="M563" s="134"/>
      <c r="N563" s="143"/>
      <c r="O563" s="136"/>
      <c r="P563" s="136"/>
      <c r="Q563" s="137"/>
      <c r="R563" s="138"/>
      <c r="S563" s="138"/>
      <c r="T563" s="139"/>
      <c r="U563" s="139"/>
      <c r="V563" s="139"/>
      <c r="W563" s="140"/>
      <c r="X563" s="141"/>
      <c r="Y563" s="140"/>
      <c r="Z563" s="142"/>
      <c r="AA563" s="139"/>
      <c r="AB563" s="139"/>
      <c r="AC563" s="140"/>
      <c r="AD563" s="140"/>
      <c r="AE563" s="140"/>
    </row>
    <row r="564">
      <c r="A564" s="130"/>
      <c r="B564" s="131"/>
      <c r="C564" s="131"/>
      <c r="D564" s="130"/>
      <c r="E564" s="132"/>
      <c r="F564" s="132"/>
      <c r="G564" s="133"/>
      <c r="H564" s="134"/>
      <c r="I564" s="134"/>
      <c r="J564" s="134"/>
      <c r="K564" s="134"/>
      <c r="L564" s="134"/>
      <c r="M564" s="134"/>
      <c r="N564" s="143"/>
      <c r="O564" s="136"/>
      <c r="P564" s="136"/>
      <c r="Q564" s="137"/>
      <c r="R564" s="138"/>
      <c r="S564" s="138"/>
      <c r="T564" s="139"/>
      <c r="U564" s="139"/>
      <c r="V564" s="139"/>
      <c r="W564" s="140"/>
      <c r="X564" s="141"/>
      <c r="Y564" s="140"/>
      <c r="Z564" s="142"/>
      <c r="AA564" s="139"/>
      <c r="AB564" s="139"/>
      <c r="AC564" s="140"/>
      <c r="AD564" s="140"/>
      <c r="AE564" s="140"/>
    </row>
    <row r="565">
      <c r="A565" s="130"/>
      <c r="B565" s="131"/>
      <c r="C565" s="131"/>
      <c r="D565" s="130"/>
      <c r="E565" s="132"/>
      <c r="F565" s="132"/>
      <c r="G565" s="133"/>
      <c r="H565" s="134"/>
      <c r="I565" s="134"/>
      <c r="J565" s="134"/>
      <c r="K565" s="134"/>
      <c r="L565" s="134"/>
      <c r="M565" s="134"/>
      <c r="N565" s="143"/>
      <c r="O565" s="136"/>
      <c r="P565" s="136"/>
      <c r="Q565" s="137"/>
      <c r="R565" s="138"/>
      <c r="S565" s="138"/>
      <c r="T565" s="139"/>
      <c r="U565" s="139"/>
      <c r="V565" s="139"/>
      <c r="W565" s="140"/>
      <c r="X565" s="141"/>
      <c r="Y565" s="140"/>
      <c r="Z565" s="142"/>
      <c r="AA565" s="139"/>
      <c r="AB565" s="139"/>
      <c r="AC565" s="140"/>
      <c r="AD565" s="140"/>
      <c r="AE565" s="140"/>
    </row>
    <row r="566">
      <c r="A566" s="130"/>
      <c r="B566" s="131"/>
      <c r="C566" s="131"/>
      <c r="D566" s="130"/>
      <c r="E566" s="132"/>
      <c r="F566" s="132"/>
      <c r="G566" s="133"/>
      <c r="H566" s="134"/>
      <c r="I566" s="134"/>
      <c r="J566" s="134"/>
      <c r="K566" s="134"/>
      <c r="L566" s="134"/>
      <c r="M566" s="134"/>
      <c r="N566" s="143"/>
      <c r="O566" s="136"/>
      <c r="P566" s="136"/>
      <c r="Q566" s="137"/>
      <c r="R566" s="138"/>
      <c r="S566" s="138"/>
      <c r="T566" s="139"/>
      <c r="U566" s="139"/>
      <c r="V566" s="139"/>
      <c r="W566" s="140"/>
      <c r="X566" s="141"/>
      <c r="Y566" s="140"/>
      <c r="Z566" s="142"/>
      <c r="AA566" s="139"/>
      <c r="AB566" s="139"/>
      <c r="AC566" s="140"/>
      <c r="AD566" s="140"/>
      <c r="AE566" s="140"/>
    </row>
    <row r="567">
      <c r="A567" s="130"/>
      <c r="B567" s="131"/>
      <c r="C567" s="131"/>
      <c r="D567" s="130"/>
      <c r="E567" s="132"/>
      <c r="F567" s="132"/>
      <c r="G567" s="133"/>
      <c r="H567" s="134"/>
      <c r="I567" s="134"/>
      <c r="J567" s="134"/>
      <c r="K567" s="134"/>
      <c r="L567" s="134"/>
      <c r="M567" s="134"/>
      <c r="N567" s="143"/>
      <c r="O567" s="136"/>
      <c r="P567" s="136"/>
      <c r="Q567" s="137"/>
      <c r="R567" s="138"/>
      <c r="S567" s="138"/>
      <c r="T567" s="139"/>
      <c r="U567" s="139"/>
      <c r="V567" s="139"/>
      <c r="W567" s="140"/>
      <c r="X567" s="141"/>
      <c r="Y567" s="140"/>
      <c r="Z567" s="142"/>
      <c r="AA567" s="139"/>
      <c r="AB567" s="139"/>
      <c r="AC567" s="140"/>
      <c r="AD567" s="140"/>
      <c r="AE567" s="140"/>
    </row>
    <row r="568">
      <c r="A568" s="130"/>
      <c r="B568" s="131"/>
      <c r="C568" s="131"/>
      <c r="D568" s="130"/>
      <c r="E568" s="132"/>
      <c r="F568" s="132"/>
      <c r="G568" s="133"/>
      <c r="H568" s="134"/>
      <c r="I568" s="134"/>
      <c r="J568" s="134"/>
      <c r="K568" s="134"/>
      <c r="L568" s="134"/>
      <c r="M568" s="134"/>
      <c r="N568" s="143"/>
      <c r="O568" s="136"/>
      <c r="P568" s="136"/>
      <c r="Q568" s="137"/>
      <c r="R568" s="138"/>
      <c r="S568" s="138"/>
      <c r="T568" s="139"/>
      <c r="U568" s="139"/>
      <c r="V568" s="139"/>
      <c r="W568" s="140"/>
      <c r="X568" s="141"/>
      <c r="Y568" s="140"/>
      <c r="Z568" s="142"/>
      <c r="AA568" s="139"/>
      <c r="AB568" s="139"/>
      <c r="AC568" s="140"/>
      <c r="AD568" s="140"/>
      <c r="AE568" s="140"/>
    </row>
    <row r="569">
      <c r="A569" s="130"/>
      <c r="B569" s="131"/>
      <c r="C569" s="131"/>
      <c r="D569" s="130"/>
      <c r="E569" s="132"/>
      <c r="F569" s="132"/>
      <c r="G569" s="133"/>
      <c r="H569" s="134"/>
      <c r="I569" s="134"/>
      <c r="J569" s="134"/>
      <c r="K569" s="134"/>
      <c r="L569" s="134"/>
      <c r="M569" s="134"/>
      <c r="N569" s="143"/>
      <c r="O569" s="136"/>
      <c r="P569" s="136"/>
      <c r="Q569" s="137"/>
      <c r="R569" s="138"/>
      <c r="S569" s="138"/>
      <c r="T569" s="139"/>
      <c r="U569" s="139"/>
      <c r="V569" s="139"/>
      <c r="W569" s="140"/>
      <c r="X569" s="141"/>
      <c r="Y569" s="140"/>
      <c r="Z569" s="142"/>
      <c r="AA569" s="139"/>
      <c r="AB569" s="139"/>
      <c r="AC569" s="140"/>
      <c r="AD569" s="140"/>
      <c r="AE569" s="140"/>
    </row>
    <row r="570">
      <c r="A570" s="130"/>
      <c r="B570" s="131"/>
      <c r="C570" s="131"/>
      <c r="D570" s="130"/>
      <c r="E570" s="132"/>
      <c r="F570" s="132"/>
      <c r="G570" s="133"/>
      <c r="H570" s="134"/>
      <c r="I570" s="134"/>
      <c r="J570" s="134"/>
      <c r="K570" s="134"/>
      <c r="L570" s="134"/>
      <c r="M570" s="134"/>
      <c r="N570" s="143"/>
      <c r="O570" s="136"/>
      <c r="P570" s="136"/>
      <c r="Q570" s="137"/>
      <c r="R570" s="138"/>
      <c r="S570" s="138"/>
      <c r="T570" s="139"/>
      <c r="U570" s="139"/>
      <c r="V570" s="139"/>
      <c r="W570" s="140"/>
      <c r="X570" s="141"/>
      <c r="Y570" s="140"/>
      <c r="Z570" s="142"/>
      <c r="AA570" s="139"/>
      <c r="AB570" s="139"/>
      <c r="AC570" s="140"/>
      <c r="AD570" s="140"/>
      <c r="AE570" s="140"/>
    </row>
    <row r="571">
      <c r="A571" s="130"/>
      <c r="B571" s="131"/>
      <c r="C571" s="131"/>
      <c r="D571" s="130"/>
      <c r="E571" s="132"/>
      <c r="F571" s="132"/>
      <c r="G571" s="133"/>
      <c r="H571" s="134"/>
      <c r="I571" s="134"/>
      <c r="J571" s="134"/>
      <c r="K571" s="134"/>
      <c r="L571" s="134"/>
      <c r="M571" s="134"/>
      <c r="N571" s="143"/>
      <c r="O571" s="136"/>
      <c r="P571" s="136"/>
      <c r="Q571" s="137"/>
      <c r="R571" s="138"/>
      <c r="S571" s="138"/>
      <c r="T571" s="139"/>
      <c r="U571" s="139"/>
      <c r="V571" s="139"/>
      <c r="W571" s="140"/>
      <c r="X571" s="141"/>
      <c r="Y571" s="140"/>
      <c r="Z571" s="142"/>
      <c r="AA571" s="139"/>
      <c r="AB571" s="139"/>
      <c r="AC571" s="140"/>
      <c r="AD571" s="140"/>
      <c r="AE571" s="140"/>
    </row>
    <row r="572">
      <c r="A572" s="130"/>
      <c r="B572" s="131"/>
      <c r="C572" s="131"/>
      <c r="D572" s="130"/>
      <c r="E572" s="132"/>
      <c r="F572" s="132"/>
      <c r="G572" s="133"/>
      <c r="H572" s="134"/>
      <c r="I572" s="134"/>
      <c r="J572" s="134"/>
      <c r="K572" s="134"/>
      <c r="L572" s="134"/>
      <c r="M572" s="134"/>
      <c r="N572" s="143"/>
      <c r="O572" s="136"/>
      <c r="P572" s="136"/>
      <c r="Q572" s="137"/>
      <c r="R572" s="138"/>
      <c r="S572" s="138"/>
      <c r="T572" s="139"/>
      <c r="U572" s="139"/>
      <c r="V572" s="139"/>
      <c r="W572" s="140"/>
      <c r="X572" s="141"/>
      <c r="Y572" s="140"/>
      <c r="Z572" s="142"/>
      <c r="AA572" s="139"/>
      <c r="AB572" s="139"/>
      <c r="AC572" s="140"/>
      <c r="AD572" s="140"/>
      <c r="AE572" s="140"/>
    </row>
    <row r="573">
      <c r="A573" s="130"/>
      <c r="B573" s="131"/>
      <c r="C573" s="131"/>
      <c r="D573" s="130"/>
      <c r="E573" s="132"/>
      <c r="F573" s="132"/>
      <c r="G573" s="133"/>
      <c r="H573" s="134"/>
      <c r="I573" s="134"/>
      <c r="J573" s="134"/>
      <c r="K573" s="134"/>
      <c r="L573" s="134"/>
      <c r="M573" s="134"/>
      <c r="N573" s="143"/>
      <c r="O573" s="136"/>
      <c r="P573" s="136"/>
      <c r="Q573" s="137"/>
      <c r="R573" s="138"/>
      <c r="S573" s="138"/>
      <c r="T573" s="139"/>
      <c r="U573" s="139"/>
      <c r="V573" s="139"/>
      <c r="W573" s="140"/>
      <c r="X573" s="141"/>
      <c r="Y573" s="140"/>
      <c r="Z573" s="142"/>
      <c r="AA573" s="139"/>
      <c r="AB573" s="139"/>
      <c r="AC573" s="140"/>
      <c r="AD573" s="140"/>
      <c r="AE573" s="140"/>
    </row>
    <row r="574">
      <c r="A574" s="130"/>
      <c r="B574" s="131"/>
      <c r="C574" s="131"/>
      <c r="D574" s="130"/>
      <c r="E574" s="132"/>
      <c r="F574" s="132"/>
      <c r="G574" s="133"/>
      <c r="H574" s="134"/>
      <c r="I574" s="134"/>
      <c r="J574" s="134"/>
      <c r="K574" s="134"/>
      <c r="L574" s="134"/>
      <c r="M574" s="134"/>
      <c r="N574" s="143"/>
      <c r="O574" s="136"/>
      <c r="P574" s="136"/>
      <c r="Q574" s="137"/>
      <c r="R574" s="138"/>
      <c r="S574" s="138"/>
      <c r="T574" s="139"/>
      <c r="U574" s="139"/>
      <c r="V574" s="139"/>
      <c r="W574" s="140"/>
      <c r="X574" s="141"/>
      <c r="Y574" s="140"/>
      <c r="Z574" s="142"/>
      <c r="AA574" s="139"/>
      <c r="AB574" s="139"/>
      <c r="AC574" s="140"/>
      <c r="AD574" s="140"/>
      <c r="AE574" s="140"/>
    </row>
    <row r="575">
      <c r="A575" s="130"/>
      <c r="B575" s="131"/>
      <c r="C575" s="131"/>
      <c r="D575" s="130"/>
      <c r="E575" s="132"/>
      <c r="F575" s="132"/>
      <c r="G575" s="133"/>
      <c r="H575" s="134"/>
      <c r="I575" s="134"/>
      <c r="J575" s="134"/>
      <c r="K575" s="134"/>
      <c r="L575" s="134"/>
      <c r="M575" s="134"/>
      <c r="N575" s="143"/>
      <c r="O575" s="136"/>
      <c r="P575" s="136"/>
      <c r="Q575" s="137"/>
      <c r="R575" s="138"/>
      <c r="S575" s="138"/>
      <c r="T575" s="139"/>
      <c r="U575" s="139"/>
      <c r="V575" s="139"/>
      <c r="W575" s="140"/>
      <c r="X575" s="141"/>
      <c r="Y575" s="140"/>
      <c r="Z575" s="142"/>
      <c r="AA575" s="139"/>
      <c r="AB575" s="139"/>
      <c r="AC575" s="140"/>
      <c r="AD575" s="140"/>
      <c r="AE575" s="140"/>
    </row>
    <row r="576">
      <c r="A576" s="130"/>
      <c r="B576" s="131"/>
      <c r="C576" s="131"/>
      <c r="D576" s="130"/>
      <c r="E576" s="132"/>
      <c r="F576" s="132"/>
      <c r="G576" s="133"/>
      <c r="H576" s="134"/>
      <c r="I576" s="134"/>
      <c r="J576" s="134"/>
      <c r="K576" s="134"/>
      <c r="L576" s="134"/>
      <c r="M576" s="134"/>
      <c r="N576" s="143"/>
      <c r="O576" s="136"/>
      <c r="P576" s="136"/>
      <c r="Q576" s="137"/>
      <c r="R576" s="138"/>
      <c r="S576" s="138"/>
      <c r="T576" s="139"/>
      <c r="U576" s="139"/>
      <c r="V576" s="139"/>
      <c r="W576" s="140"/>
      <c r="X576" s="141"/>
      <c r="Y576" s="140"/>
      <c r="Z576" s="142"/>
      <c r="AA576" s="139"/>
      <c r="AB576" s="139"/>
      <c r="AC576" s="140"/>
      <c r="AD576" s="140"/>
      <c r="AE576" s="140"/>
    </row>
    <row r="577">
      <c r="A577" s="130"/>
      <c r="B577" s="131"/>
      <c r="C577" s="131"/>
      <c r="D577" s="130"/>
      <c r="E577" s="132"/>
      <c r="F577" s="132"/>
      <c r="G577" s="133"/>
      <c r="H577" s="134"/>
      <c r="I577" s="134"/>
      <c r="J577" s="134"/>
      <c r="K577" s="134"/>
      <c r="L577" s="134"/>
      <c r="M577" s="134"/>
      <c r="N577" s="143"/>
      <c r="O577" s="136"/>
      <c r="P577" s="136"/>
      <c r="Q577" s="137"/>
      <c r="R577" s="138"/>
      <c r="S577" s="138"/>
      <c r="T577" s="139"/>
      <c r="U577" s="139"/>
      <c r="V577" s="139"/>
      <c r="W577" s="140"/>
      <c r="X577" s="141"/>
      <c r="Y577" s="140"/>
      <c r="Z577" s="142"/>
      <c r="AA577" s="139"/>
      <c r="AB577" s="139"/>
      <c r="AC577" s="140"/>
      <c r="AD577" s="140"/>
      <c r="AE577" s="140"/>
    </row>
    <row r="578">
      <c r="A578" s="130"/>
      <c r="B578" s="131"/>
      <c r="C578" s="131"/>
      <c r="D578" s="130"/>
      <c r="E578" s="132"/>
      <c r="F578" s="132"/>
      <c r="G578" s="133"/>
      <c r="H578" s="134"/>
      <c r="I578" s="134"/>
      <c r="J578" s="134"/>
      <c r="K578" s="134"/>
      <c r="L578" s="134"/>
      <c r="M578" s="134"/>
      <c r="N578" s="143"/>
      <c r="O578" s="136"/>
      <c r="P578" s="136"/>
      <c r="Q578" s="137"/>
      <c r="R578" s="138"/>
      <c r="S578" s="138"/>
      <c r="T578" s="139"/>
      <c r="U578" s="139"/>
      <c r="V578" s="139"/>
      <c r="W578" s="140"/>
      <c r="X578" s="141"/>
      <c r="Y578" s="140"/>
      <c r="Z578" s="142"/>
      <c r="AA578" s="139"/>
      <c r="AB578" s="139"/>
      <c r="AC578" s="140"/>
      <c r="AD578" s="140"/>
      <c r="AE578" s="140"/>
    </row>
    <row r="579">
      <c r="A579" s="130"/>
      <c r="B579" s="131"/>
      <c r="C579" s="131"/>
      <c r="D579" s="130"/>
      <c r="E579" s="132"/>
      <c r="F579" s="132"/>
      <c r="G579" s="133"/>
      <c r="H579" s="134"/>
      <c r="I579" s="134"/>
      <c r="J579" s="134"/>
      <c r="K579" s="134"/>
      <c r="L579" s="134"/>
      <c r="M579" s="134"/>
      <c r="N579" s="143"/>
      <c r="O579" s="136"/>
      <c r="P579" s="136"/>
      <c r="Q579" s="137"/>
      <c r="R579" s="138"/>
      <c r="S579" s="138"/>
      <c r="T579" s="139"/>
      <c r="U579" s="139"/>
      <c r="V579" s="139"/>
      <c r="W579" s="140"/>
      <c r="X579" s="141"/>
      <c r="Y579" s="140"/>
      <c r="Z579" s="142"/>
      <c r="AA579" s="139"/>
      <c r="AB579" s="139"/>
      <c r="AC579" s="140"/>
      <c r="AD579" s="140"/>
      <c r="AE579" s="140"/>
    </row>
    <row r="580">
      <c r="A580" s="130"/>
      <c r="B580" s="131"/>
      <c r="C580" s="131"/>
      <c r="D580" s="130"/>
      <c r="E580" s="132"/>
      <c r="F580" s="132"/>
      <c r="G580" s="133"/>
      <c r="H580" s="134"/>
      <c r="I580" s="134"/>
      <c r="J580" s="134"/>
      <c r="K580" s="134"/>
      <c r="L580" s="134"/>
      <c r="M580" s="134"/>
      <c r="N580" s="143"/>
      <c r="O580" s="136"/>
      <c r="P580" s="136"/>
      <c r="Q580" s="137"/>
      <c r="R580" s="138"/>
      <c r="S580" s="138"/>
      <c r="T580" s="139"/>
      <c r="U580" s="139"/>
      <c r="V580" s="139"/>
      <c r="W580" s="140"/>
      <c r="X580" s="141"/>
      <c r="Y580" s="140"/>
      <c r="Z580" s="142"/>
      <c r="AA580" s="139"/>
      <c r="AB580" s="139"/>
      <c r="AC580" s="140"/>
      <c r="AD580" s="140"/>
      <c r="AE580" s="140"/>
    </row>
    <row r="581">
      <c r="A581" s="130"/>
      <c r="B581" s="131"/>
      <c r="C581" s="131"/>
      <c r="D581" s="130"/>
      <c r="E581" s="132"/>
      <c r="F581" s="132"/>
      <c r="G581" s="133"/>
      <c r="H581" s="134"/>
      <c r="I581" s="134"/>
      <c r="J581" s="134"/>
      <c r="K581" s="134"/>
      <c r="L581" s="134"/>
      <c r="M581" s="134"/>
      <c r="N581" s="143"/>
      <c r="O581" s="136"/>
      <c r="P581" s="136"/>
      <c r="Q581" s="137"/>
      <c r="R581" s="138"/>
      <c r="S581" s="138"/>
      <c r="T581" s="139"/>
      <c r="U581" s="139"/>
      <c r="V581" s="139"/>
      <c r="W581" s="140"/>
      <c r="X581" s="141"/>
      <c r="Y581" s="140"/>
      <c r="Z581" s="142"/>
      <c r="AA581" s="139"/>
      <c r="AB581" s="139"/>
      <c r="AC581" s="140"/>
      <c r="AD581" s="140"/>
      <c r="AE581" s="140"/>
    </row>
    <row r="582">
      <c r="A582" s="130"/>
      <c r="B582" s="131"/>
      <c r="C582" s="131"/>
      <c r="D582" s="130"/>
      <c r="E582" s="132"/>
      <c r="F582" s="132"/>
      <c r="G582" s="133"/>
      <c r="H582" s="134"/>
      <c r="I582" s="134"/>
      <c r="J582" s="134"/>
      <c r="K582" s="134"/>
      <c r="L582" s="134"/>
      <c r="M582" s="134"/>
      <c r="N582" s="143"/>
      <c r="O582" s="136"/>
      <c r="P582" s="136"/>
      <c r="Q582" s="137"/>
      <c r="R582" s="138"/>
      <c r="S582" s="138"/>
      <c r="T582" s="139"/>
      <c r="U582" s="139"/>
      <c r="V582" s="139"/>
      <c r="W582" s="140"/>
      <c r="X582" s="141"/>
      <c r="Y582" s="140"/>
      <c r="Z582" s="142"/>
      <c r="AA582" s="139"/>
      <c r="AB582" s="139"/>
      <c r="AC582" s="140"/>
      <c r="AD582" s="140"/>
      <c r="AE582" s="140"/>
    </row>
    <row r="583">
      <c r="A583" s="130"/>
      <c r="B583" s="131"/>
      <c r="C583" s="131"/>
      <c r="D583" s="130"/>
      <c r="E583" s="132"/>
      <c r="F583" s="132"/>
      <c r="G583" s="133"/>
      <c r="H583" s="134"/>
      <c r="I583" s="134"/>
      <c r="J583" s="134"/>
      <c r="K583" s="134"/>
      <c r="L583" s="134"/>
      <c r="M583" s="134"/>
      <c r="N583" s="143"/>
      <c r="O583" s="136"/>
      <c r="P583" s="136"/>
      <c r="Q583" s="137"/>
      <c r="R583" s="138"/>
      <c r="S583" s="138"/>
      <c r="T583" s="139"/>
      <c r="U583" s="139"/>
      <c r="V583" s="139"/>
      <c r="W583" s="140"/>
      <c r="X583" s="141"/>
      <c r="Y583" s="140"/>
      <c r="Z583" s="142"/>
      <c r="AA583" s="139"/>
      <c r="AB583" s="139"/>
      <c r="AC583" s="140"/>
      <c r="AD583" s="140"/>
      <c r="AE583" s="140"/>
    </row>
    <row r="584">
      <c r="A584" s="130"/>
      <c r="B584" s="131"/>
      <c r="C584" s="131"/>
      <c r="D584" s="130"/>
      <c r="E584" s="132"/>
      <c r="F584" s="132"/>
      <c r="G584" s="133"/>
      <c r="H584" s="134"/>
      <c r="I584" s="134"/>
      <c r="J584" s="134"/>
      <c r="K584" s="134"/>
      <c r="L584" s="134"/>
      <c r="M584" s="134"/>
      <c r="N584" s="143"/>
      <c r="O584" s="136"/>
      <c r="P584" s="136"/>
      <c r="Q584" s="137"/>
      <c r="R584" s="138"/>
      <c r="S584" s="138"/>
      <c r="T584" s="139"/>
      <c r="U584" s="139"/>
      <c r="V584" s="139"/>
      <c r="W584" s="140"/>
      <c r="X584" s="141"/>
      <c r="Y584" s="140"/>
      <c r="Z584" s="142"/>
      <c r="AA584" s="139"/>
      <c r="AB584" s="139"/>
      <c r="AC584" s="140"/>
      <c r="AD584" s="140"/>
      <c r="AE584" s="140"/>
    </row>
    <row r="585">
      <c r="A585" s="130"/>
      <c r="B585" s="131"/>
      <c r="C585" s="131"/>
      <c r="D585" s="130"/>
      <c r="E585" s="132"/>
      <c r="F585" s="132"/>
      <c r="G585" s="133"/>
      <c r="H585" s="134"/>
      <c r="I585" s="134"/>
      <c r="J585" s="134"/>
      <c r="K585" s="134"/>
      <c r="L585" s="134"/>
      <c r="M585" s="134"/>
      <c r="N585" s="143"/>
      <c r="O585" s="136"/>
      <c r="P585" s="136"/>
      <c r="Q585" s="137"/>
      <c r="R585" s="138"/>
      <c r="S585" s="138"/>
      <c r="T585" s="139"/>
      <c r="U585" s="139"/>
      <c r="V585" s="139"/>
      <c r="W585" s="140"/>
      <c r="X585" s="141"/>
      <c r="Y585" s="140"/>
      <c r="Z585" s="142"/>
      <c r="AA585" s="139"/>
      <c r="AB585" s="139"/>
      <c r="AC585" s="140"/>
      <c r="AD585" s="140"/>
      <c r="AE585" s="140"/>
    </row>
    <row r="586">
      <c r="A586" s="130"/>
      <c r="B586" s="131"/>
      <c r="C586" s="131"/>
      <c r="D586" s="130"/>
      <c r="E586" s="132"/>
      <c r="F586" s="132"/>
      <c r="G586" s="133"/>
      <c r="H586" s="134"/>
      <c r="I586" s="134"/>
      <c r="J586" s="134"/>
      <c r="K586" s="134"/>
      <c r="L586" s="134"/>
      <c r="M586" s="134"/>
      <c r="N586" s="143"/>
      <c r="O586" s="136"/>
      <c r="P586" s="136"/>
      <c r="Q586" s="137"/>
      <c r="R586" s="138"/>
      <c r="S586" s="138"/>
      <c r="T586" s="139"/>
      <c r="U586" s="139"/>
      <c r="V586" s="139"/>
      <c r="W586" s="140"/>
      <c r="X586" s="141"/>
      <c r="Y586" s="140"/>
      <c r="Z586" s="142"/>
      <c r="AA586" s="139"/>
      <c r="AB586" s="139"/>
      <c r="AC586" s="140"/>
      <c r="AD586" s="140"/>
      <c r="AE586" s="140"/>
    </row>
    <row r="587">
      <c r="A587" s="130"/>
      <c r="B587" s="131"/>
      <c r="C587" s="131"/>
      <c r="D587" s="130"/>
      <c r="E587" s="132"/>
      <c r="F587" s="132"/>
      <c r="G587" s="133"/>
      <c r="H587" s="134"/>
      <c r="I587" s="134"/>
      <c r="J587" s="134"/>
      <c r="K587" s="134"/>
      <c r="L587" s="134"/>
      <c r="M587" s="134"/>
      <c r="N587" s="143"/>
      <c r="O587" s="136"/>
      <c r="P587" s="136"/>
      <c r="Q587" s="137"/>
      <c r="R587" s="138"/>
      <c r="S587" s="138"/>
      <c r="T587" s="139"/>
      <c r="U587" s="139"/>
      <c r="V587" s="139"/>
      <c r="W587" s="140"/>
      <c r="X587" s="141"/>
      <c r="Y587" s="140"/>
      <c r="Z587" s="142"/>
      <c r="AA587" s="139"/>
      <c r="AB587" s="139"/>
      <c r="AC587" s="140"/>
      <c r="AD587" s="140"/>
      <c r="AE587" s="140"/>
    </row>
    <row r="588">
      <c r="A588" s="130"/>
      <c r="B588" s="131"/>
      <c r="C588" s="131"/>
      <c r="D588" s="130"/>
      <c r="E588" s="132"/>
      <c r="F588" s="132"/>
      <c r="G588" s="133"/>
      <c r="H588" s="134"/>
      <c r="I588" s="134"/>
      <c r="J588" s="134"/>
      <c r="K588" s="134"/>
      <c r="L588" s="134"/>
      <c r="M588" s="134"/>
      <c r="N588" s="143"/>
      <c r="O588" s="136"/>
      <c r="P588" s="136"/>
      <c r="Q588" s="137"/>
      <c r="R588" s="138"/>
      <c r="S588" s="138"/>
      <c r="T588" s="139"/>
      <c r="U588" s="139"/>
      <c r="V588" s="139"/>
      <c r="W588" s="140"/>
      <c r="X588" s="141"/>
      <c r="Y588" s="140"/>
      <c r="Z588" s="142"/>
      <c r="AA588" s="139"/>
      <c r="AB588" s="139"/>
      <c r="AC588" s="140"/>
      <c r="AD588" s="140"/>
      <c r="AE588" s="140"/>
    </row>
    <row r="589">
      <c r="A589" s="130"/>
      <c r="B589" s="131"/>
      <c r="C589" s="131"/>
      <c r="D589" s="130"/>
      <c r="E589" s="132"/>
      <c r="F589" s="132"/>
      <c r="G589" s="133"/>
      <c r="H589" s="134"/>
      <c r="I589" s="134"/>
      <c r="J589" s="134"/>
      <c r="K589" s="134"/>
      <c r="L589" s="134"/>
      <c r="M589" s="134"/>
      <c r="N589" s="143"/>
      <c r="O589" s="136"/>
      <c r="P589" s="136"/>
      <c r="Q589" s="137"/>
      <c r="R589" s="138"/>
      <c r="S589" s="138"/>
      <c r="T589" s="139"/>
      <c r="U589" s="139"/>
      <c r="V589" s="139"/>
      <c r="W589" s="140"/>
      <c r="X589" s="141"/>
      <c r="Y589" s="140"/>
      <c r="Z589" s="142"/>
      <c r="AA589" s="139"/>
      <c r="AB589" s="139"/>
      <c r="AC589" s="140"/>
      <c r="AD589" s="140"/>
      <c r="AE589" s="140"/>
    </row>
    <row r="590">
      <c r="A590" s="130"/>
      <c r="B590" s="131"/>
      <c r="C590" s="131"/>
      <c r="D590" s="130"/>
      <c r="E590" s="132"/>
      <c r="F590" s="132"/>
      <c r="G590" s="133"/>
      <c r="H590" s="134"/>
      <c r="I590" s="134"/>
      <c r="J590" s="134"/>
      <c r="K590" s="134"/>
      <c r="L590" s="134"/>
      <c r="M590" s="134"/>
      <c r="N590" s="143"/>
      <c r="O590" s="136"/>
      <c r="P590" s="136"/>
      <c r="Q590" s="137"/>
      <c r="R590" s="138"/>
      <c r="S590" s="138"/>
      <c r="T590" s="139"/>
      <c r="U590" s="139"/>
      <c r="V590" s="139"/>
      <c r="W590" s="140"/>
      <c r="X590" s="141"/>
      <c r="Y590" s="140"/>
      <c r="Z590" s="142"/>
      <c r="AA590" s="139"/>
      <c r="AB590" s="139"/>
      <c r="AC590" s="140"/>
      <c r="AD590" s="140"/>
      <c r="AE590" s="140"/>
    </row>
    <row r="591">
      <c r="A591" s="130"/>
      <c r="B591" s="131"/>
      <c r="C591" s="131"/>
      <c r="D591" s="130"/>
      <c r="E591" s="132"/>
      <c r="F591" s="132"/>
      <c r="G591" s="133"/>
      <c r="H591" s="134"/>
      <c r="I591" s="134"/>
      <c r="J591" s="134"/>
      <c r="K591" s="134"/>
      <c r="L591" s="134"/>
      <c r="M591" s="134"/>
      <c r="N591" s="143"/>
      <c r="O591" s="136"/>
      <c r="P591" s="136"/>
      <c r="Q591" s="137"/>
      <c r="R591" s="138"/>
      <c r="S591" s="138"/>
      <c r="T591" s="139"/>
      <c r="U591" s="139"/>
      <c r="V591" s="139"/>
      <c r="W591" s="140"/>
      <c r="X591" s="141"/>
      <c r="Y591" s="140"/>
      <c r="Z591" s="142"/>
      <c r="AA591" s="139"/>
      <c r="AB591" s="139"/>
      <c r="AC591" s="140"/>
      <c r="AD591" s="140"/>
      <c r="AE591" s="140"/>
    </row>
    <row r="592">
      <c r="A592" s="130"/>
      <c r="B592" s="131"/>
      <c r="C592" s="131"/>
      <c r="D592" s="130"/>
      <c r="E592" s="132"/>
      <c r="F592" s="132"/>
      <c r="G592" s="133"/>
      <c r="H592" s="134"/>
      <c r="I592" s="134"/>
      <c r="J592" s="134"/>
      <c r="K592" s="134"/>
      <c r="L592" s="134"/>
      <c r="M592" s="134"/>
      <c r="N592" s="143"/>
      <c r="O592" s="136"/>
      <c r="P592" s="136"/>
      <c r="Q592" s="137"/>
      <c r="R592" s="138"/>
      <c r="S592" s="138"/>
      <c r="T592" s="139"/>
      <c r="U592" s="139"/>
      <c r="V592" s="139"/>
      <c r="W592" s="140"/>
      <c r="X592" s="141"/>
      <c r="Y592" s="140"/>
      <c r="Z592" s="142"/>
      <c r="AA592" s="139"/>
      <c r="AB592" s="139"/>
      <c r="AC592" s="140"/>
      <c r="AD592" s="140"/>
      <c r="AE592" s="140"/>
    </row>
    <row r="593">
      <c r="A593" s="130"/>
      <c r="B593" s="131"/>
      <c r="C593" s="131"/>
      <c r="D593" s="130"/>
      <c r="E593" s="132"/>
      <c r="F593" s="132"/>
      <c r="G593" s="133"/>
      <c r="H593" s="134"/>
      <c r="I593" s="134"/>
      <c r="J593" s="134"/>
      <c r="K593" s="134"/>
      <c r="L593" s="134"/>
      <c r="M593" s="134"/>
      <c r="N593" s="143"/>
      <c r="O593" s="136"/>
      <c r="P593" s="136"/>
      <c r="Q593" s="137"/>
      <c r="R593" s="138"/>
      <c r="S593" s="138"/>
      <c r="T593" s="139"/>
      <c r="U593" s="139"/>
      <c r="V593" s="139"/>
      <c r="W593" s="140"/>
      <c r="X593" s="141"/>
      <c r="Y593" s="140"/>
      <c r="Z593" s="142"/>
      <c r="AA593" s="139"/>
      <c r="AB593" s="139"/>
      <c r="AC593" s="140"/>
      <c r="AD593" s="140"/>
      <c r="AE593" s="140"/>
    </row>
    <row r="594">
      <c r="A594" s="130"/>
      <c r="B594" s="131"/>
      <c r="C594" s="131"/>
      <c r="D594" s="130"/>
      <c r="E594" s="132"/>
      <c r="F594" s="132"/>
      <c r="G594" s="133"/>
      <c r="H594" s="134"/>
      <c r="I594" s="134"/>
      <c r="J594" s="134"/>
      <c r="K594" s="134"/>
      <c r="L594" s="134"/>
      <c r="M594" s="134"/>
      <c r="N594" s="143"/>
      <c r="O594" s="136"/>
      <c r="P594" s="136"/>
      <c r="Q594" s="137"/>
      <c r="R594" s="138"/>
      <c r="S594" s="138"/>
      <c r="T594" s="139"/>
      <c r="U594" s="139"/>
      <c r="V594" s="139"/>
      <c r="W594" s="140"/>
      <c r="X594" s="141"/>
      <c r="Y594" s="140"/>
      <c r="Z594" s="142"/>
      <c r="AA594" s="139"/>
      <c r="AB594" s="139"/>
      <c r="AC594" s="140"/>
      <c r="AD594" s="140"/>
      <c r="AE594" s="140"/>
    </row>
    <row r="595">
      <c r="A595" s="130"/>
      <c r="B595" s="131"/>
      <c r="C595" s="131"/>
      <c r="D595" s="130"/>
      <c r="E595" s="132"/>
      <c r="F595" s="132"/>
      <c r="G595" s="133"/>
      <c r="H595" s="134"/>
      <c r="I595" s="134"/>
      <c r="J595" s="134"/>
      <c r="K595" s="134"/>
      <c r="L595" s="134"/>
      <c r="M595" s="134"/>
      <c r="N595" s="143"/>
      <c r="O595" s="136"/>
      <c r="P595" s="136"/>
      <c r="Q595" s="137"/>
      <c r="R595" s="138"/>
      <c r="S595" s="138"/>
      <c r="T595" s="139"/>
      <c r="U595" s="139"/>
      <c r="V595" s="139"/>
      <c r="W595" s="140"/>
      <c r="X595" s="141"/>
      <c r="Y595" s="140"/>
      <c r="Z595" s="142"/>
      <c r="AA595" s="139"/>
      <c r="AB595" s="139"/>
      <c r="AC595" s="140"/>
      <c r="AD595" s="140"/>
      <c r="AE595" s="140"/>
    </row>
    <row r="596">
      <c r="A596" s="130"/>
      <c r="B596" s="131"/>
      <c r="C596" s="131"/>
      <c r="D596" s="130"/>
      <c r="E596" s="132"/>
      <c r="F596" s="132"/>
      <c r="G596" s="133"/>
      <c r="H596" s="134"/>
      <c r="I596" s="134"/>
      <c r="J596" s="134"/>
      <c r="K596" s="134"/>
      <c r="L596" s="134"/>
      <c r="M596" s="134"/>
      <c r="N596" s="143"/>
      <c r="O596" s="136"/>
      <c r="P596" s="136"/>
      <c r="Q596" s="137"/>
      <c r="R596" s="138"/>
      <c r="S596" s="138"/>
      <c r="T596" s="139"/>
      <c r="U596" s="139"/>
      <c r="V596" s="139"/>
      <c r="W596" s="140"/>
      <c r="X596" s="141"/>
      <c r="Y596" s="140"/>
      <c r="Z596" s="142"/>
      <c r="AA596" s="139"/>
      <c r="AB596" s="139"/>
      <c r="AC596" s="140"/>
      <c r="AD596" s="140"/>
      <c r="AE596" s="140"/>
    </row>
    <row r="597">
      <c r="A597" s="130"/>
      <c r="B597" s="131"/>
      <c r="C597" s="131"/>
      <c r="D597" s="130"/>
      <c r="E597" s="132"/>
      <c r="F597" s="132"/>
      <c r="G597" s="133"/>
      <c r="H597" s="134"/>
      <c r="I597" s="134"/>
      <c r="J597" s="134"/>
      <c r="K597" s="134"/>
      <c r="L597" s="134"/>
      <c r="M597" s="134"/>
      <c r="N597" s="143"/>
      <c r="O597" s="136"/>
      <c r="P597" s="136"/>
      <c r="Q597" s="137"/>
      <c r="R597" s="138"/>
      <c r="S597" s="138"/>
      <c r="T597" s="139"/>
      <c r="U597" s="139"/>
      <c r="V597" s="139"/>
      <c r="W597" s="140"/>
      <c r="X597" s="141"/>
      <c r="Y597" s="140"/>
      <c r="Z597" s="142"/>
      <c r="AA597" s="139"/>
      <c r="AB597" s="139"/>
      <c r="AC597" s="140"/>
      <c r="AD597" s="140"/>
      <c r="AE597" s="140"/>
    </row>
    <row r="598">
      <c r="A598" s="130"/>
      <c r="B598" s="131"/>
      <c r="C598" s="131"/>
      <c r="D598" s="130"/>
      <c r="E598" s="132"/>
      <c r="F598" s="132"/>
      <c r="G598" s="133"/>
      <c r="H598" s="134"/>
      <c r="I598" s="134"/>
      <c r="J598" s="134"/>
      <c r="K598" s="134"/>
      <c r="L598" s="134"/>
      <c r="M598" s="134"/>
      <c r="N598" s="143"/>
      <c r="O598" s="136"/>
      <c r="P598" s="136"/>
      <c r="Q598" s="137"/>
      <c r="R598" s="138"/>
      <c r="S598" s="138"/>
      <c r="T598" s="139"/>
      <c r="U598" s="139"/>
      <c r="V598" s="139"/>
      <c r="W598" s="140"/>
      <c r="X598" s="141"/>
      <c r="Y598" s="140"/>
      <c r="Z598" s="142"/>
      <c r="AA598" s="139"/>
      <c r="AB598" s="139"/>
      <c r="AC598" s="140"/>
      <c r="AD598" s="140"/>
      <c r="AE598" s="140"/>
    </row>
    <row r="599">
      <c r="A599" s="130"/>
      <c r="B599" s="131"/>
      <c r="C599" s="131"/>
      <c r="D599" s="130"/>
      <c r="E599" s="132"/>
      <c r="F599" s="132"/>
      <c r="G599" s="133"/>
      <c r="H599" s="134"/>
      <c r="I599" s="134"/>
      <c r="J599" s="134"/>
      <c r="K599" s="134"/>
      <c r="L599" s="134"/>
      <c r="M599" s="134"/>
      <c r="N599" s="143"/>
      <c r="O599" s="136"/>
      <c r="P599" s="136"/>
      <c r="Q599" s="137"/>
      <c r="R599" s="138"/>
      <c r="S599" s="138"/>
      <c r="T599" s="139"/>
      <c r="U599" s="139"/>
      <c r="V599" s="139"/>
      <c r="W599" s="140"/>
      <c r="X599" s="141"/>
      <c r="Y599" s="140"/>
      <c r="Z599" s="142"/>
      <c r="AA599" s="139"/>
      <c r="AB599" s="139"/>
      <c r="AC599" s="140"/>
      <c r="AD599" s="140"/>
      <c r="AE599" s="140"/>
    </row>
    <row r="600">
      <c r="A600" s="130"/>
      <c r="B600" s="131"/>
      <c r="C600" s="131"/>
      <c r="D600" s="130"/>
      <c r="E600" s="132"/>
      <c r="F600" s="132"/>
      <c r="G600" s="133"/>
      <c r="H600" s="134"/>
      <c r="I600" s="134"/>
      <c r="J600" s="134"/>
      <c r="K600" s="134"/>
      <c r="L600" s="134"/>
      <c r="M600" s="134"/>
      <c r="N600" s="143"/>
      <c r="O600" s="136"/>
      <c r="P600" s="136"/>
      <c r="Q600" s="137"/>
      <c r="R600" s="138"/>
      <c r="S600" s="138"/>
      <c r="T600" s="139"/>
      <c r="U600" s="139"/>
      <c r="V600" s="139"/>
      <c r="W600" s="140"/>
      <c r="X600" s="141"/>
      <c r="Y600" s="140"/>
      <c r="Z600" s="142"/>
      <c r="AA600" s="139"/>
      <c r="AB600" s="139"/>
      <c r="AC600" s="140"/>
      <c r="AD600" s="140"/>
      <c r="AE600" s="140"/>
    </row>
    <row r="601">
      <c r="A601" s="130"/>
      <c r="B601" s="131"/>
      <c r="C601" s="131"/>
      <c r="D601" s="130"/>
      <c r="E601" s="132"/>
      <c r="F601" s="132"/>
      <c r="G601" s="133"/>
      <c r="H601" s="134"/>
      <c r="I601" s="134"/>
      <c r="J601" s="134"/>
      <c r="K601" s="134"/>
      <c r="L601" s="134"/>
      <c r="M601" s="134"/>
      <c r="N601" s="143"/>
      <c r="O601" s="136"/>
      <c r="P601" s="136"/>
      <c r="Q601" s="137"/>
      <c r="R601" s="138"/>
      <c r="S601" s="138"/>
      <c r="T601" s="139"/>
      <c r="U601" s="139"/>
      <c r="V601" s="139"/>
      <c r="W601" s="140"/>
      <c r="X601" s="141"/>
      <c r="Y601" s="140"/>
      <c r="Z601" s="142"/>
      <c r="AA601" s="139"/>
      <c r="AB601" s="139"/>
      <c r="AC601" s="140"/>
      <c r="AD601" s="140"/>
      <c r="AE601" s="140"/>
    </row>
    <row r="602">
      <c r="A602" s="130"/>
      <c r="B602" s="131"/>
      <c r="C602" s="131"/>
      <c r="D602" s="130"/>
      <c r="E602" s="132"/>
      <c r="F602" s="132"/>
      <c r="G602" s="133"/>
      <c r="H602" s="134"/>
      <c r="I602" s="134"/>
      <c r="J602" s="134"/>
      <c r="K602" s="134"/>
      <c r="L602" s="134"/>
      <c r="M602" s="134"/>
      <c r="N602" s="143"/>
      <c r="O602" s="136"/>
      <c r="P602" s="136"/>
      <c r="Q602" s="137"/>
      <c r="R602" s="138"/>
      <c r="S602" s="138"/>
      <c r="T602" s="139"/>
      <c r="U602" s="139"/>
      <c r="V602" s="139"/>
      <c r="W602" s="140"/>
      <c r="X602" s="141"/>
      <c r="Y602" s="140"/>
      <c r="Z602" s="142"/>
      <c r="AA602" s="139"/>
      <c r="AB602" s="139"/>
      <c r="AC602" s="140"/>
      <c r="AD602" s="140"/>
      <c r="AE602" s="140"/>
    </row>
    <row r="603">
      <c r="A603" s="130"/>
      <c r="B603" s="131"/>
      <c r="C603" s="131"/>
      <c r="D603" s="130"/>
      <c r="E603" s="132"/>
      <c r="F603" s="132"/>
      <c r="G603" s="133"/>
      <c r="H603" s="134"/>
      <c r="I603" s="134"/>
      <c r="J603" s="134"/>
      <c r="K603" s="134"/>
      <c r="L603" s="134"/>
      <c r="M603" s="134"/>
      <c r="N603" s="143"/>
      <c r="O603" s="136"/>
      <c r="P603" s="136"/>
      <c r="Q603" s="137"/>
      <c r="R603" s="138"/>
      <c r="S603" s="138"/>
      <c r="T603" s="139"/>
      <c r="U603" s="139"/>
      <c r="V603" s="139"/>
      <c r="W603" s="140"/>
      <c r="X603" s="141"/>
      <c r="Y603" s="140"/>
      <c r="Z603" s="142"/>
      <c r="AA603" s="139"/>
      <c r="AB603" s="139"/>
      <c r="AC603" s="140"/>
      <c r="AD603" s="140"/>
      <c r="AE603" s="140"/>
    </row>
    <row r="604">
      <c r="A604" s="130"/>
      <c r="B604" s="131"/>
      <c r="C604" s="131"/>
      <c r="D604" s="130"/>
      <c r="E604" s="132"/>
      <c r="F604" s="132"/>
      <c r="G604" s="133"/>
      <c r="H604" s="134"/>
      <c r="I604" s="134"/>
      <c r="J604" s="134"/>
      <c r="K604" s="134"/>
      <c r="L604" s="134"/>
      <c r="M604" s="134"/>
      <c r="N604" s="143"/>
      <c r="O604" s="136"/>
      <c r="P604" s="136"/>
      <c r="Q604" s="137"/>
      <c r="R604" s="138"/>
      <c r="S604" s="138"/>
      <c r="T604" s="139"/>
      <c r="U604" s="139"/>
      <c r="V604" s="139"/>
      <c r="W604" s="140"/>
      <c r="X604" s="141"/>
      <c r="Y604" s="140"/>
      <c r="Z604" s="142"/>
      <c r="AA604" s="139"/>
      <c r="AB604" s="139"/>
      <c r="AC604" s="140"/>
      <c r="AD604" s="140"/>
      <c r="AE604" s="140"/>
    </row>
    <row r="605">
      <c r="A605" s="130"/>
      <c r="B605" s="131"/>
      <c r="C605" s="131"/>
      <c r="D605" s="130"/>
      <c r="E605" s="132"/>
      <c r="F605" s="132"/>
      <c r="G605" s="133"/>
      <c r="H605" s="134"/>
      <c r="I605" s="134"/>
      <c r="J605" s="134"/>
      <c r="K605" s="134"/>
      <c r="L605" s="134"/>
      <c r="M605" s="134"/>
      <c r="N605" s="143"/>
      <c r="O605" s="136"/>
      <c r="P605" s="136"/>
      <c r="Q605" s="137"/>
      <c r="R605" s="138"/>
      <c r="S605" s="138"/>
      <c r="T605" s="139"/>
      <c r="U605" s="139"/>
      <c r="V605" s="139"/>
      <c r="W605" s="140"/>
      <c r="X605" s="141"/>
      <c r="Y605" s="140"/>
      <c r="Z605" s="142"/>
      <c r="AA605" s="139"/>
      <c r="AB605" s="139"/>
      <c r="AC605" s="140"/>
      <c r="AD605" s="140"/>
      <c r="AE605" s="140"/>
    </row>
    <row r="606">
      <c r="A606" s="130"/>
      <c r="B606" s="131"/>
      <c r="C606" s="131"/>
      <c r="D606" s="130"/>
      <c r="E606" s="132"/>
      <c r="F606" s="132"/>
      <c r="G606" s="133"/>
      <c r="H606" s="134"/>
      <c r="I606" s="134"/>
      <c r="J606" s="134"/>
      <c r="K606" s="134"/>
      <c r="L606" s="134"/>
      <c r="M606" s="134"/>
      <c r="N606" s="143"/>
      <c r="O606" s="136"/>
      <c r="P606" s="136"/>
      <c r="Q606" s="137"/>
      <c r="R606" s="138"/>
      <c r="S606" s="138"/>
      <c r="T606" s="139"/>
      <c r="U606" s="139"/>
      <c r="V606" s="139"/>
      <c r="W606" s="140"/>
      <c r="X606" s="141"/>
      <c r="Y606" s="140"/>
      <c r="Z606" s="142"/>
      <c r="AA606" s="139"/>
      <c r="AB606" s="139"/>
      <c r="AC606" s="140"/>
      <c r="AD606" s="140"/>
      <c r="AE606" s="140"/>
    </row>
    <row r="607">
      <c r="A607" s="130"/>
      <c r="B607" s="131"/>
      <c r="C607" s="131"/>
      <c r="D607" s="130"/>
      <c r="E607" s="132"/>
      <c r="F607" s="132"/>
      <c r="G607" s="133"/>
      <c r="H607" s="134"/>
      <c r="I607" s="134"/>
      <c r="J607" s="134"/>
      <c r="K607" s="134"/>
      <c r="L607" s="134"/>
      <c r="M607" s="134"/>
      <c r="N607" s="143"/>
      <c r="O607" s="136"/>
      <c r="P607" s="136"/>
      <c r="Q607" s="137"/>
      <c r="R607" s="138"/>
      <c r="S607" s="138"/>
      <c r="T607" s="139"/>
      <c r="U607" s="139"/>
      <c r="V607" s="139"/>
      <c r="W607" s="140"/>
      <c r="X607" s="141"/>
      <c r="Y607" s="140"/>
      <c r="Z607" s="142"/>
      <c r="AA607" s="139"/>
      <c r="AB607" s="139"/>
      <c r="AC607" s="140"/>
      <c r="AD607" s="140"/>
      <c r="AE607" s="140"/>
    </row>
    <row r="608">
      <c r="A608" s="130"/>
      <c r="B608" s="131"/>
      <c r="C608" s="131"/>
      <c r="D608" s="130"/>
      <c r="E608" s="132"/>
      <c r="F608" s="132"/>
      <c r="G608" s="133"/>
      <c r="H608" s="134"/>
      <c r="I608" s="134"/>
      <c r="J608" s="134"/>
      <c r="K608" s="134"/>
      <c r="L608" s="134"/>
      <c r="M608" s="134"/>
      <c r="N608" s="143"/>
      <c r="O608" s="136"/>
      <c r="P608" s="136"/>
      <c r="Q608" s="137"/>
      <c r="R608" s="138"/>
      <c r="S608" s="138"/>
      <c r="T608" s="139"/>
      <c r="U608" s="139"/>
      <c r="V608" s="139"/>
      <c r="W608" s="140"/>
      <c r="X608" s="141"/>
      <c r="Y608" s="140"/>
      <c r="Z608" s="142"/>
      <c r="AA608" s="139"/>
      <c r="AB608" s="139"/>
      <c r="AC608" s="140"/>
      <c r="AD608" s="140"/>
      <c r="AE608" s="140"/>
    </row>
    <row r="609">
      <c r="A609" s="130"/>
      <c r="B609" s="131"/>
      <c r="C609" s="131"/>
      <c r="D609" s="130"/>
      <c r="E609" s="132"/>
      <c r="F609" s="132"/>
      <c r="G609" s="133"/>
      <c r="H609" s="134"/>
      <c r="I609" s="134"/>
      <c r="J609" s="134"/>
      <c r="K609" s="134"/>
      <c r="L609" s="134"/>
      <c r="M609" s="134"/>
      <c r="N609" s="143"/>
      <c r="O609" s="136"/>
      <c r="P609" s="136"/>
      <c r="Q609" s="137"/>
      <c r="R609" s="138"/>
      <c r="S609" s="138"/>
      <c r="T609" s="139"/>
      <c r="U609" s="139"/>
      <c r="V609" s="139"/>
      <c r="W609" s="140"/>
      <c r="X609" s="141"/>
      <c r="Y609" s="140"/>
      <c r="Z609" s="142"/>
      <c r="AA609" s="139"/>
      <c r="AB609" s="139"/>
      <c r="AC609" s="140"/>
      <c r="AD609" s="140"/>
      <c r="AE609" s="140"/>
    </row>
    <row r="610">
      <c r="A610" s="130"/>
      <c r="B610" s="131"/>
      <c r="C610" s="131"/>
      <c r="D610" s="130"/>
      <c r="E610" s="132"/>
      <c r="F610" s="132"/>
      <c r="G610" s="133"/>
      <c r="H610" s="134"/>
      <c r="I610" s="134"/>
      <c r="J610" s="134"/>
      <c r="K610" s="134"/>
      <c r="L610" s="134"/>
      <c r="M610" s="134"/>
      <c r="N610" s="143"/>
      <c r="O610" s="136"/>
      <c r="P610" s="136"/>
      <c r="Q610" s="137"/>
      <c r="R610" s="138"/>
      <c r="S610" s="138"/>
      <c r="T610" s="139"/>
      <c r="U610" s="139"/>
      <c r="V610" s="139"/>
      <c r="W610" s="140"/>
      <c r="X610" s="141"/>
      <c r="Y610" s="140"/>
      <c r="Z610" s="142"/>
      <c r="AA610" s="139"/>
      <c r="AB610" s="139"/>
      <c r="AC610" s="140"/>
      <c r="AD610" s="140"/>
      <c r="AE610" s="140"/>
    </row>
    <row r="611">
      <c r="A611" s="130"/>
      <c r="B611" s="131"/>
      <c r="C611" s="131"/>
      <c r="D611" s="130"/>
      <c r="E611" s="132"/>
      <c r="F611" s="132"/>
      <c r="G611" s="133"/>
      <c r="H611" s="134"/>
      <c r="I611" s="134"/>
      <c r="J611" s="134"/>
      <c r="K611" s="134"/>
      <c r="L611" s="134"/>
      <c r="M611" s="134"/>
      <c r="N611" s="143"/>
      <c r="O611" s="136"/>
      <c r="P611" s="136"/>
      <c r="Q611" s="137"/>
      <c r="R611" s="138"/>
      <c r="S611" s="138"/>
      <c r="T611" s="139"/>
      <c r="U611" s="139"/>
      <c r="V611" s="139"/>
      <c r="W611" s="140"/>
      <c r="X611" s="141"/>
      <c r="Y611" s="140"/>
      <c r="Z611" s="142"/>
      <c r="AA611" s="139"/>
      <c r="AB611" s="139"/>
      <c r="AC611" s="140"/>
      <c r="AD611" s="140"/>
      <c r="AE611" s="140"/>
    </row>
    <row r="612">
      <c r="A612" s="130"/>
      <c r="B612" s="131"/>
      <c r="C612" s="131"/>
      <c r="D612" s="130"/>
      <c r="E612" s="132"/>
      <c r="F612" s="132"/>
      <c r="G612" s="133"/>
      <c r="H612" s="134"/>
      <c r="I612" s="134"/>
      <c r="J612" s="134"/>
      <c r="K612" s="134"/>
      <c r="L612" s="134"/>
      <c r="M612" s="134"/>
      <c r="N612" s="143"/>
      <c r="O612" s="136"/>
      <c r="P612" s="136"/>
      <c r="Q612" s="137"/>
      <c r="R612" s="138"/>
      <c r="S612" s="138"/>
      <c r="T612" s="139"/>
      <c r="U612" s="139"/>
      <c r="V612" s="139"/>
      <c r="W612" s="140"/>
      <c r="X612" s="141"/>
      <c r="Y612" s="140"/>
      <c r="Z612" s="142"/>
      <c r="AA612" s="139"/>
      <c r="AB612" s="139"/>
      <c r="AC612" s="140"/>
      <c r="AD612" s="140"/>
      <c r="AE612" s="140"/>
    </row>
    <row r="613">
      <c r="A613" s="130"/>
      <c r="B613" s="131"/>
      <c r="C613" s="131"/>
      <c r="D613" s="130"/>
      <c r="E613" s="132"/>
      <c r="F613" s="132"/>
      <c r="G613" s="133"/>
      <c r="H613" s="134"/>
      <c r="I613" s="134"/>
      <c r="J613" s="134"/>
      <c r="K613" s="134"/>
      <c r="L613" s="134"/>
      <c r="M613" s="134"/>
      <c r="N613" s="143"/>
      <c r="O613" s="136"/>
      <c r="P613" s="136"/>
      <c r="Q613" s="137"/>
      <c r="R613" s="138"/>
      <c r="S613" s="138"/>
      <c r="T613" s="139"/>
      <c r="U613" s="139"/>
      <c r="V613" s="139"/>
      <c r="W613" s="140"/>
      <c r="X613" s="141"/>
      <c r="Y613" s="140"/>
      <c r="Z613" s="142"/>
      <c r="AA613" s="139"/>
      <c r="AB613" s="139"/>
      <c r="AC613" s="140"/>
      <c r="AD613" s="140"/>
      <c r="AE613" s="140"/>
    </row>
    <row r="614">
      <c r="A614" s="130"/>
      <c r="B614" s="131"/>
      <c r="C614" s="131"/>
      <c r="D614" s="130"/>
      <c r="E614" s="132"/>
      <c r="F614" s="132"/>
      <c r="G614" s="133"/>
      <c r="H614" s="134"/>
      <c r="I614" s="134"/>
      <c r="J614" s="134"/>
      <c r="K614" s="134"/>
      <c r="L614" s="134"/>
      <c r="M614" s="134"/>
      <c r="N614" s="143"/>
      <c r="O614" s="136"/>
      <c r="P614" s="136"/>
      <c r="Q614" s="137"/>
      <c r="R614" s="138"/>
      <c r="S614" s="138"/>
      <c r="T614" s="139"/>
      <c r="U614" s="139"/>
      <c r="V614" s="139"/>
      <c r="W614" s="140"/>
      <c r="X614" s="141"/>
      <c r="Y614" s="140"/>
      <c r="Z614" s="142"/>
      <c r="AA614" s="139"/>
      <c r="AB614" s="139"/>
      <c r="AC614" s="140"/>
      <c r="AD614" s="140"/>
      <c r="AE614" s="140"/>
    </row>
    <row r="615">
      <c r="A615" s="130"/>
      <c r="B615" s="131"/>
      <c r="C615" s="131"/>
      <c r="D615" s="130"/>
      <c r="E615" s="132"/>
      <c r="F615" s="132"/>
      <c r="G615" s="133"/>
      <c r="H615" s="134"/>
      <c r="I615" s="134"/>
      <c r="J615" s="134"/>
      <c r="K615" s="134"/>
      <c r="L615" s="134"/>
      <c r="M615" s="134"/>
      <c r="N615" s="143"/>
      <c r="O615" s="136"/>
      <c r="P615" s="136"/>
      <c r="Q615" s="137"/>
      <c r="R615" s="138"/>
      <c r="S615" s="138"/>
      <c r="T615" s="139"/>
      <c r="U615" s="139"/>
      <c r="V615" s="139"/>
      <c r="W615" s="140"/>
      <c r="X615" s="141"/>
      <c r="Y615" s="140"/>
      <c r="Z615" s="142"/>
      <c r="AA615" s="139"/>
      <c r="AB615" s="139"/>
      <c r="AC615" s="140"/>
      <c r="AD615" s="140"/>
      <c r="AE615" s="140"/>
    </row>
    <row r="616">
      <c r="A616" s="130"/>
      <c r="B616" s="131"/>
      <c r="C616" s="131"/>
      <c r="D616" s="130"/>
      <c r="E616" s="132"/>
      <c r="F616" s="132"/>
      <c r="G616" s="133"/>
      <c r="H616" s="134"/>
      <c r="I616" s="134"/>
      <c r="J616" s="134"/>
      <c r="K616" s="134"/>
      <c r="L616" s="134"/>
      <c r="M616" s="134"/>
      <c r="N616" s="143"/>
      <c r="O616" s="136"/>
      <c r="P616" s="136"/>
      <c r="Q616" s="137"/>
      <c r="R616" s="138"/>
      <c r="S616" s="138"/>
      <c r="T616" s="139"/>
      <c r="U616" s="139"/>
      <c r="V616" s="139"/>
      <c r="W616" s="140"/>
      <c r="X616" s="141"/>
      <c r="Y616" s="140"/>
      <c r="Z616" s="142"/>
      <c r="AA616" s="139"/>
      <c r="AB616" s="139"/>
      <c r="AC616" s="140"/>
      <c r="AD616" s="140"/>
      <c r="AE616" s="140"/>
    </row>
    <row r="617">
      <c r="A617" s="130"/>
      <c r="B617" s="131"/>
      <c r="C617" s="131"/>
      <c r="D617" s="130"/>
      <c r="E617" s="132"/>
      <c r="F617" s="132"/>
      <c r="G617" s="133"/>
      <c r="H617" s="134"/>
      <c r="I617" s="134"/>
      <c r="J617" s="134"/>
      <c r="K617" s="134"/>
      <c r="L617" s="134"/>
      <c r="M617" s="134"/>
      <c r="N617" s="143"/>
      <c r="O617" s="136"/>
      <c r="P617" s="136"/>
      <c r="Q617" s="137"/>
      <c r="R617" s="138"/>
      <c r="S617" s="138"/>
      <c r="T617" s="139"/>
      <c r="U617" s="139"/>
      <c r="V617" s="139"/>
      <c r="W617" s="140"/>
      <c r="X617" s="141"/>
      <c r="Y617" s="140"/>
      <c r="Z617" s="142"/>
      <c r="AA617" s="139"/>
      <c r="AB617" s="139"/>
      <c r="AC617" s="140"/>
      <c r="AD617" s="140"/>
      <c r="AE617" s="140"/>
    </row>
    <row r="618">
      <c r="A618" s="130"/>
      <c r="B618" s="131"/>
      <c r="C618" s="131"/>
      <c r="D618" s="130"/>
      <c r="E618" s="132"/>
      <c r="F618" s="132"/>
      <c r="G618" s="133"/>
      <c r="H618" s="134"/>
      <c r="I618" s="134"/>
      <c r="J618" s="134"/>
      <c r="K618" s="134"/>
      <c r="L618" s="134"/>
      <c r="M618" s="134"/>
      <c r="N618" s="143"/>
      <c r="O618" s="136"/>
      <c r="P618" s="136"/>
      <c r="Q618" s="137"/>
      <c r="R618" s="138"/>
      <c r="S618" s="138"/>
      <c r="T618" s="139"/>
      <c r="U618" s="139"/>
      <c r="V618" s="139"/>
      <c r="W618" s="140"/>
      <c r="X618" s="141"/>
      <c r="Y618" s="140"/>
      <c r="Z618" s="142"/>
      <c r="AA618" s="139"/>
      <c r="AB618" s="139"/>
      <c r="AC618" s="140"/>
      <c r="AD618" s="140"/>
      <c r="AE618" s="140"/>
    </row>
    <row r="619">
      <c r="A619" s="130"/>
      <c r="B619" s="131"/>
      <c r="C619" s="131"/>
      <c r="D619" s="130"/>
      <c r="E619" s="132"/>
      <c r="F619" s="132"/>
      <c r="G619" s="133"/>
      <c r="H619" s="134"/>
      <c r="I619" s="134"/>
      <c r="J619" s="134"/>
      <c r="K619" s="134"/>
      <c r="L619" s="134"/>
      <c r="M619" s="134"/>
      <c r="N619" s="143"/>
      <c r="O619" s="136"/>
      <c r="P619" s="136"/>
      <c r="Q619" s="137"/>
      <c r="R619" s="138"/>
      <c r="S619" s="138"/>
      <c r="T619" s="139"/>
      <c r="U619" s="139"/>
      <c r="V619" s="139"/>
      <c r="W619" s="140"/>
      <c r="X619" s="141"/>
      <c r="Y619" s="140"/>
      <c r="Z619" s="142"/>
      <c r="AA619" s="139"/>
      <c r="AB619" s="139"/>
      <c r="AC619" s="140"/>
      <c r="AD619" s="140"/>
      <c r="AE619" s="140"/>
    </row>
    <row r="620">
      <c r="A620" s="130"/>
      <c r="B620" s="131"/>
      <c r="C620" s="131"/>
      <c r="D620" s="130"/>
      <c r="E620" s="132"/>
      <c r="F620" s="132"/>
      <c r="G620" s="133"/>
      <c r="H620" s="134"/>
      <c r="I620" s="134"/>
      <c r="J620" s="134"/>
      <c r="K620" s="134"/>
      <c r="L620" s="134"/>
      <c r="M620" s="134"/>
      <c r="N620" s="143"/>
      <c r="O620" s="136"/>
      <c r="P620" s="136"/>
      <c r="Q620" s="137"/>
      <c r="R620" s="138"/>
      <c r="S620" s="138"/>
      <c r="T620" s="139"/>
      <c r="U620" s="139"/>
      <c r="V620" s="139"/>
      <c r="W620" s="140"/>
      <c r="X620" s="141"/>
      <c r="Y620" s="140"/>
      <c r="Z620" s="142"/>
      <c r="AA620" s="139"/>
      <c r="AB620" s="139"/>
      <c r="AC620" s="140"/>
      <c r="AD620" s="140"/>
      <c r="AE620" s="140"/>
    </row>
    <row r="621">
      <c r="A621" s="130"/>
      <c r="B621" s="131"/>
      <c r="C621" s="131"/>
      <c r="D621" s="130"/>
      <c r="E621" s="132"/>
      <c r="F621" s="132"/>
      <c r="G621" s="133"/>
      <c r="H621" s="134"/>
      <c r="I621" s="134"/>
      <c r="J621" s="134"/>
      <c r="K621" s="134"/>
      <c r="L621" s="134"/>
      <c r="M621" s="134"/>
      <c r="N621" s="143"/>
      <c r="O621" s="136"/>
      <c r="P621" s="136"/>
      <c r="Q621" s="137"/>
      <c r="R621" s="138"/>
      <c r="S621" s="138"/>
      <c r="T621" s="139"/>
      <c r="U621" s="139"/>
      <c r="V621" s="139"/>
      <c r="W621" s="140"/>
      <c r="X621" s="141"/>
      <c r="Y621" s="140"/>
      <c r="Z621" s="142"/>
      <c r="AA621" s="139"/>
      <c r="AB621" s="139"/>
      <c r="AC621" s="140"/>
      <c r="AD621" s="140"/>
      <c r="AE621" s="140"/>
    </row>
    <row r="622">
      <c r="A622" s="130"/>
      <c r="B622" s="131"/>
      <c r="C622" s="131"/>
      <c r="D622" s="130"/>
      <c r="E622" s="132"/>
      <c r="F622" s="132"/>
      <c r="G622" s="133"/>
      <c r="H622" s="134"/>
      <c r="I622" s="134"/>
      <c r="J622" s="134"/>
      <c r="K622" s="134"/>
      <c r="L622" s="134"/>
      <c r="M622" s="134"/>
      <c r="N622" s="143"/>
      <c r="O622" s="136"/>
      <c r="P622" s="136"/>
      <c r="Q622" s="137"/>
      <c r="R622" s="138"/>
      <c r="S622" s="138"/>
      <c r="T622" s="139"/>
      <c r="U622" s="139"/>
      <c r="V622" s="139"/>
      <c r="W622" s="140"/>
      <c r="X622" s="141"/>
      <c r="Y622" s="140"/>
      <c r="Z622" s="142"/>
      <c r="AA622" s="139"/>
      <c r="AB622" s="139"/>
      <c r="AC622" s="140"/>
      <c r="AD622" s="140"/>
      <c r="AE622" s="140"/>
    </row>
    <row r="623">
      <c r="A623" s="130"/>
      <c r="B623" s="131"/>
      <c r="C623" s="131"/>
      <c r="D623" s="130"/>
      <c r="E623" s="132"/>
      <c r="F623" s="132"/>
      <c r="G623" s="133"/>
      <c r="H623" s="134"/>
      <c r="I623" s="134"/>
      <c r="J623" s="134"/>
      <c r="K623" s="134"/>
      <c r="L623" s="134"/>
      <c r="M623" s="134"/>
      <c r="N623" s="143"/>
      <c r="O623" s="136"/>
      <c r="P623" s="136"/>
      <c r="Q623" s="137"/>
      <c r="R623" s="138"/>
      <c r="S623" s="138"/>
      <c r="T623" s="139"/>
      <c r="U623" s="139"/>
      <c r="V623" s="139"/>
      <c r="W623" s="140"/>
      <c r="X623" s="141"/>
      <c r="Y623" s="140"/>
      <c r="Z623" s="142"/>
      <c r="AA623" s="139"/>
      <c r="AB623" s="139"/>
      <c r="AC623" s="140"/>
      <c r="AD623" s="140"/>
      <c r="AE623" s="140"/>
    </row>
    <row r="624">
      <c r="A624" s="130"/>
      <c r="B624" s="131"/>
      <c r="C624" s="131"/>
      <c r="D624" s="130"/>
      <c r="E624" s="132"/>
      <c r="F624" s="132"/>
      <c r="G624" s="133"/>
      <c r="H624" s="134"/>
      <c r="I624" s="134"/>
      <c r="J624" s="134"/>
      <c r="K624" s="134"/>
      <c r="L624" s="134"/>
      <c r="M624" s="134"/>
      <c r="N624" s="143"/>
      <c r="O624" s="136"/>
      <c r="P624" s="136"/>
      <c r="Q624" s="137"/>
      <c r="R624" s="138"/>
      <c r="S624" s="138"/>
      <c r="T624" s="139"/>
      <c r="U624" s="139"/>
      <c r="V624" s="139"/>
      <c r="W624" s="140"/>
      <c r="X624" s="141"/>
      <c r="Y624" s="140"/>
      <c r="Z624" s="142"/>
      <c r="AA624" s="139"/>
      <c r="AB624" s="139"/>
      <c r="AC624" s="140"/>
      <c r="AD624" s="140"/>
      <c r="AE624" s="140"/>
    </row>
    <row r="625">
      <c r="A625" s="130"/>
      <c r="B625" s="131"/>
      <c r="C625" s="131"/>
      <c r="D625" s="130"/>
      <c r="E625" s="132"/>
      <c r="F625" s="132"/>
      <c r="G625" s="133"/>
      <c r="H625" s="134"/>
      <c r="I625" s="134"/>
      <c r="J625" s="134"/>
      <c r="K625" s="134"/>
      <c r="L625" s="134"/>
      <c r="M625" s="134"/>
      <c r="N625" s="143"/>
      <c r="O625" s="136"/>
      <c r="P625" s="136"/>
      <c r="Q625" s="137"/>
      <c r="R625" s="138"/>
      <c r="S625" s="138"/>
      <c r="T625" s="139"/>
      <c r="U625" s="139"/>
      <c r="V625" s="139"/>
      <c r="W625" s="140"/>
      <c r="X625" s="141"/>
      <c r="Y625" s="140"/>
      <c r="Z625" s="142"/>
      <c r="AA625" s="139"/>
      <c r="AB625" s="139"/>
      <c r="AC625" s="140"/>
      <c r="AD625" s="140"/>
      <c r="AE625" s="140"/>
    </row>
    <row r="626">
      <c r="A626" s="130"/>
      <c r="B626" s="131"/>
      <c r="C626" s="131"/>
      <c r="D626" s="130"/>
      <c r="E626" s="132"/>
      <c r="F626" s="132"/>
      <c r="G626" s="133"/>
      <c r="H626" s="134"/>
      <c r="I626" s="134"/>
      <c r="J626" s="134"/>
      <c r="K626" s="134"/>
      <c r="L626" s="134"/>
      <c r="M626" s="134"/>
      <c r="N626" s="143"/>
      <c r="O626" s="136"/>
      <c r="P626" s="136"/>
      <c r="Q626" s="137"/>
      <c r="R626" s="138"/>
      <c r="S626" s="138"/>
      <c r="T626" s="139"/>
      <c r="U626" s="139"/>
      <c r="V626" s="139"/>
      <c r="W626" s="140"/>
      <c r="X626" s="141"/>
      <c r="Y626" s="140"/>
      <c r="Z626" s="142"/>
      <c r="AA626" s="139"/>
      <c r="AB626" s="139"/>
      <c r="AC626" s="140"/>
      <c r="AD626" s="140"/>
      <c r="AE626" s="140"/>
    </row>
    <row r="627">
      <c r="A627" s="130"/>
      <c r="B627" s="131"/>
      <c r="C627" s="131"/>
      <c r="D627" s="130"/>
      <c r="E627" s="132"/>
      <c r="F627" s="132"/>
      <c r="G627" s="133"/>
      <c r="H627" s="134"/>
      <c r="I627" s="134"/>
      <c r="J627" s="134"/>
      <c r="K627" s="134"/>
      <c r="L627" s="134"/>
      <c r="M627" s="134"/>
      <c r="N627" s="143"/>
      <c r="O627" s="136"/>
      <c r="P627" s="136"/>
      <c r="Q627" s="137"/>
      <c r="R627" s="138"/>
      <c r="S627" s="138"/>
      <c r="T627" s="139"/>
      <c r="U627" s="139"/>
      <c r="V627" s="139"/>
      <c r="W627" s="140"/>
      <c r="X627" s="141"/>
      <c r="Y627" s="140"/>
      <c r="Z627" s="142"/>
      <c r="AA627" s="139"/>
      <c r="AB627" s="139"/>
      <c r="AC627" s="140"/>
      <c r="AD627" s="140"/>
      <c r="AE627" s="140"/>
    </row>
    <row r="628">
      <c r="A628" s="130"/>
      <c r="B628" s="131"/>
      <c r="C628" s="131"/>
      <c r="D628" s="130"/>
      <c r="E628" s="132"/>
      <c r="F628" s="132"/>
      <c r="G628" s="133"/>
      <c r="H628" s="134"/>
      <c r="I628" s="134"/>
      <c r="J628" s="134"/>
      <c r="K628" s="134"/>
      <c r="L628" s="134"/>
      <c r="M628" s="134"/>
      <c r="N628" s="143"/>
      <c r="O628" s="136"/>
      <c r="P628" s="136"/>
      <c r="Q628" s="137"/>
      <c r="R628" s="138"/>
      <c r="S628" s="138"/>
      <c r="T628" s="139"/>
      <c r="U628" s="139"/>
      <c r="V628" s="139"/>
      <c r="W628" s="140"/>
      <c r="X628" s="141"/>
      <c r="Y628" s="140"/>
      <c r="Z628" s="142"/>
      <c r="AA628" s="139"/>
      <c r="AB628" s="139"/>
      <c r="AC628" s="140"/>
      <c r="AD628" s="140"/>
      <c r="AE628" s="140"/>
    </row>
    <row r="629">
      <c r="A629" s="130"/>
      <c r="B629" s="131"/>
      <c r="C629" s="131"/>
      <c r="D629" s="130"/>
      <c r="E629" s="132"/>
      <c r="F629" s="132"/>
      <c r="G629" s="133"/>
      <c r="H629" s="134"/>
      <c r="I629" s="134"/>
      <c r="J629" s="134"/>
      <c r="K629" s="134"/>
      <c r="L629" s="134"/>
      <c r="M629" s="134"/>
      <c r="N629" s="143"/>
      <c r="O629" s="136"/>
      <c r="P629" s="136"/>
      <c r="Q629" s="137"/>
      <c r="R629" s="138"/>
      <c r="S629" s="138"/>
      <c r="T629" s="139"/>
      <c r="U629" s="139"/>
      <c r="V629" s="139"/>
      <c r="W629" s="140"/>
      <c r="X629" s="141"/>
      <c r="Y629" s="140"/>
      <c r="Z629" s="142"/>
      <c r="AA629" s="139"/>
      <c r="AB629" s="139"/>
      <c r="AC629" s="140"/>
      <c r="AD629" s="140"/>
      <c r="AE629" s="140"/>
    </row>
    <row r="630">
      <c r="A630" s="130"/>
      <c r="B630" s="131"/>
      <c r="C630" s="131"/>
      <c r="D630" s="130"/>
      <c r="E630" s="132"/>
      <c r="F630" s="132"/>
      <c r="G630" s="133"/>
      <c r="H630" s="134"/>
      <c r="I630" s="134"/>
      <c r="J630" s="134"/>
      <c r="K630" s="134"/>
      <c r="L630" s="134"/>
      <c r="M630" s="134"/>
      <c r="N630" s="143"/>
      <c r="O630" s="136"/>
      <c r="P630" s="136"/>
      <c r="Q630" s="137"/>
      <c r="R630" s="138"/>
      <c r="S630" s="138"/>
      <c r="T630" s="139"/>
      <c r="U630" s="139"/>
      <c r="V630" s="139"/>
      <c r="W630" s="140"/>
      <c r="X630" s="141"/>
      <c r="Y630" s="140"/>
      <c r="Z630" s="142"/>
      <c r="AA630" s="139"/>
      <c r="AB630" s="139"/>
      <c r="AC630" s="140"/>
      <c r="AD630" s="140"/>
      <c r="AE630" s="140"/>
    </row>
    <row r="631">
      <c r="A631" s="130"/>
      <c r="B631" s="131"/>
      <c r="C631" s="131"/>
      <c r="D631" s="130"/>
      <c r="E631" s="132"/>
      <c r="F631" s="132"/>
      <c r="G631" s="133"/>
      <c r="H631" s="134"/>
      <c r="I631" s="134"/>
      <c r="J631" s="134"/>
      <c r="K631" s="134"/>
      <c r="L631" s="134"/>
      <c r="M631" s="134"/>
      <c r="N631" s="143"/>
      <c r="O631" s="136"/>
      <c r="P631" s="136"/>
      <c r="Q631" s="137"/>
      <c r="R631" s="138"/>
      <c r="S631" s="138"/>
      <c r="T631" s="139"/>
      <c r="U631" s="139"/>
      <c r="V631" s="139"/>
      <c r="W631" s="140"/>
      <c r="X631" s="141"/>
      <c r="Y631" s="140"/>
      <c r="Z631" s="142"/>
      <c r="AA631" s="139"/>
      <c r="AB631" s="139"/>
      <c r="AC631" s="140"/>
      <c r="AD631" s="140"/>
      <c r="AE631" s="140"/>
    </row>
    <row r="632">
      <c r="A632" s="130"/>
      <c r="B632" s="131"/>
      <c r="C632" s="131"/>
      <c r="D632" s="130"/>
      <c r="E632" s="132"/>
      <c r="F632" s="132"/>
      <c r="G632" s="133"/>
      <c r="H632" s="134"/>
      <c r="I632" s="134"/>
      <c r="J632" s="134"/>
      <c r="K632" s="134"/>
      <c r="L632" s="134"/>
      <c r="M632" s="134"/>
      <c r="N632" s="143"/>
      <c r="O632" s="136"/>
      <c r="P632" s="136"/>
      <c r="Q632" s="137"/>
      <c r="R632" s="138"/>
      <c r="S632" s="138"/>
      <c r="T632" s="139"/>
      <c r="U632" s="139"/>
      <c r="V632" s="139"/>
      <c r="W632" s="140"/>
      <c r="X632" s="141"/>
      <c r="Y632" s="140"/>
      <c r="Z632" s="142"/>
      <c r="AA632" s="139"/>
      <c r="AB632" s="139"/>
      <c r="AC632" s="140"/>
      <c r="AD632" s="140"/>
      <c r="AE632" s="140"/>
    </row>
    <row r="633">
      <c r="A633" s="130"/>
      <c r="B633" s="131"/>
      <c r="C633" s="131"/>
      <c r="D633" s="130"/>
      <c r="E633" s="132"/>
      <c r="F633" s="132"/>
      <c r="G633" s="133"/>
      <c r="H633" s="134"/>
      <c r="I633" s="134"/>
      <c r="J633" s="134"/>
      <c r="K633" s="134"/>
      <c r="L633" s="134"/>
      <c r="M633" s="134"/>
      <c r="N633" s="143"/>
      <c r="O633" s="136"/>
      <c r="P633" s="136"/>
      <c r="Q633" s="137"/>
      <c r="R633" s="138"/>
      <c r="S633" s="138"/>
      <c r="T633" s="139"/>
      <c r="U633" s="139"/>
      <c r="V633" s="139"/>
      <c r="W633" s="140"/>
      <c r="X633" s="141"/>
      <c r="Y633" s="140"/>
      <c r="Z633" s="142"/>
      <c r="AA633" s="139"/>
      <c r="AB633" s="139"/>
      <c r="AC633" s="140"/>
      <c r="AD633" s="140"/>
      <c r="AE633" s="140"/>
    </row>
    <row r="634">
      <c r="A634" s="130"/>
      <c r="B634" s="131"/>
      <c r="C634" s="131"/>
      <c r="D634" s="130"/>
      <c r="E634" s="132"/>
      <c r="F634" s="132"/>
      <c r="G634" s="133"/>
      <c r="H634" s="134"/>
      <c r="I634" s="134"/>
      <c r="J634" s="134"/>
      <c r="K634" s="134"/>
      <c r="L634" s="134"/>
      <c r="M634" s="134"/>
      <c r="N634" s="143"/>
      <c r="O634" s="136"/>
      <c r="P634" s="136"/>
      <c r="Q634" s="137"/>
      <c r="R634" s="138"/>
      <c r="S634" s="138"/>
      <c r="T634" s="139"/>
      <c r="U634" s="139"/>
      <c r="V634" s="139"/>
      <c r="W634" s="140"/>
      <c r="X634" s="141"/>
      <c r="Y634" s="140"/>
      <c r="Z634" s="142"/>
      <c r="AA634" s="139"/>
      <c r="AB634" s="139"/>
      <c r="AC634" s="140"/>
      <c r="AD634" s="140"/>
      <c r="AE634" s="140"/>
    </row>
    <row r="635">
      <c r="A635" s="130"/>
      <c r="B635" s="131"/>
      <c r="C635" s="131"/>
      <c r="D635" s="130"/>
      <c r="E635" s="132"/>
      <c r="F635" s="132"/>
      <c r="G635" s="133"/>
      <c r="H635" s="134"/>
      <c r="I635" s="134"/>
      <c r="J635" s="134"/>
      <c r="K635" s="134"/>
      <c r="L635" s="134"/>
      <c r="M635" s="134"/>
      <c r="N635" s="143"/>
      <c r="O635" s="136"/>
      <c r="P635" s="136"/>
      <c r="Q635" s="137"/>
      <c r="R635" s="138"/>
      <c r="S635" s="138"/>
      <c r="T635" s="139"/>
      <c r="U635" s="139"/>
      <c r="V635" s="139"/>
      <c r="W635" s="140"/>
      <c r="X635" s="141"/>
      <c r="Y635" s="140"/>
      <c r="Z635" s="142"/>
      <c r="AA635" s="139"/>
      <c r="AB635" s="139"/>
      <c r="AC635" s="140"/>
      <c r="AD635" s="140"/>
      <c r="AE635" s="140"/>
    </row>
    <row r="636">
      <c r="A636" s="130"/>
      <c r="B636" s="131"/>
      <c r="C636" s="131"/>
      <c r="D636" s="130"/>
      <c r="E636" s="132"/>
      <c r="F636" s="132"/>
      <c r="G636" s="133"/>
      <c r="H636" s="134"/>
      <c r="I636" s="134"/>
      <c r="J636" s="134"/>
      <c r="K636" s="134"/>
      <c r="L636" s="134"/>
      <c r="M636" s="134"/>
      <c r="N636" s="143"/>
      <c r="O636" s="136"/>
      <c r="P636" s="136"/>
      <c r="Q636" s="137"/>
      <c r="R636" s="138"/>
      <c r="S636" s="138"/>
      <c r="T636" s="139"/>
      <c r="U636" s="139"/>
      <c r="V636" s="139"/>
      <c r="W636" s="140"/>
      <c r="X636" s="141"/>
      <c r="Y636" s="140"/>
      <c r="Z636" s="142"/>
      <c r="AA636" s="139"/>
      <c r="AB636" s="139"/>
      <c r="AC636" s="140"/>
      <c r="AD636" s="140"/>
      <c r="AE636" s="140"/>
    </row>
    <row r="637">
      <c r="A637" s="130"/>
      <c r="B637" s="131"/>
      <c r="C637" s="131"/>
      <c r="D637" s="130"/>
      <c r="E637" s="132"/>
      <c r="F637" s="132"/>
      <c r="G637" s="133"/>
      <c r="H637" s="134"/>
      <c r="I637" s="134"/>
      <c r="J637" s="134"/>
      <c r="K637" s="134"/>
      <c r="L637" s="134"/>
      <c r="M637" s="134"/>
      <c r="N637" s="143"/>
      <c r="O637" s="136"/>
      <c r="P637" s="136"/>
      <c r="Q637" s="137"/>
      <c r="R637" s="138"/>
      <c r="S637" s="138"/>
      <c r="T637" s="139"/>
      <c r="U637" s="139"/>
      <c r="V637" s="139"/>
      <c r="W637" s="140"/>
      <c r="X637" s="141"/>
      <c r="Y637" s="140"/>
      <c r="Z637" s="142"/>
      <c r="AA637" s="139"/>
      <c r="AB637" s="139"/>
      <c r="AC637" s="140"/>
      <c r="AD637" s="140"/>
      <c r="AE637" s="140"/>
    </row>
    <row r="638">
      <c r="A638" s="130"/>
      <c r="B638" s="131"/>
      <c r="C638" s="131"/>
      <c r="D638" s="130"/>
      <c r="E638" s="132"/>
      <c r="F638" s="132"/>
      <c r="G638" s="133"/>
      <c r="H638" s="134"/>
      <c r="I638" s="134"/>
      <c r="J638" s="134"/>
      <c r="K638" s="134"/>
      <c r="L638" s="134"/>
      <c r="M638" s="134"/>
      <c r="N638" s="143"/>
      <c r="O638" s="136"/>
      <c r="P638" s="136"/>
      <c r="Q638" s="137"/>
      <c r="R638" s="138"/>
      <c r="S638" s="138"/>
      <c r="T638" s="139"/>
      <c r="U638" s="139"/>
      <c r="V638" s="139"/>
      <c r="W638" s="140"/>
      <c r="X638" s="141"/>
      <c r="Y638" s="140"/>
      <c r="Z638" s="142"/>
      <c r="AA638" s="139"/>
      <c r="AB638" s="139"/>
      <c r="AC638" s="140"/>
      <c r="AD638" s="140"/>
      <c r="AE638" s="140"/>
    </row>
    <row r="639">
      <c r="A639" s="130"/>
      <c r="B639" s="131"/>
      <c r="C639" s="131"/>
      <c r="D639" s="130"/>
      <c r="E639" s="132"/>
      <c r="F639" s="132"/>
      <c r="G639" s="133"/>
      <c r="H639" s="134"/>
      <c r="I639" s="134"/>
      <c r="J639" s="134"/>
      <c r="K639" s="134"/>
      <c r="L639" s="134"/>
      <c r="M639" s="134"/>
      <c r="N639" s="143"/>
      <c r="O639" s="136"/>
      <c r="P639" s="136"/>
      <c r="Q639" s="137"/>
      <c r="R639" s="138"/>
      <c r="S639" s="138"/>
      <c r="T639" s="139"/>
      <c r="U639" s="139"/>
      <c r="V639" s="139"/>
      <c r="W639" s="140"/>
      <c r="X639" s="141"/>
      <c r="Y639" s="140"/>
      <c r="Z639" s="142"/>
      <c r="AA639" s="139"/>
      <c r="AB639" s="139"/>
      <c r="AC639" s="140"/>
      <c r="AD639" s="140"/>
      <c r="AE639" s="140"/>
    </row>
    <row r="640">
      <c r="A640" s="130"/>
      <c r="B640" s="131"/>
      <c r="C640" s="131"/>
      <c r="D640" s="130"/>
      <c r="E640" s="132"/>
      <c r="F640" s="132"/>
      <c r="G640" s="133"/>
      <c r="H640" s="134"/>
      <c r="I640" s="134"/>
      <c r="J640" s="134"/>
      <c r="K640" s="134"/>
      <c r="L640" s="134"/>
      <c r="M640" s="134"/>
      <c r="N640" s="143"/>
      <c r="O640" s="136"/>
      <c r="P640" s="136"/>
      <c r="Q640" s="137"/>
      <c r="R640" s="138"/>
      <c r="S640" s="138"/>
      <c r="T640" s="139"/>
      <c r="U640" s="139"/>
      <c r="V640" s="139"/>
      <c r="W640" s="140"/>
      <c r="X640" s="141"/>
      <c r="Y640" s="140"/>
      <c r="Z640" s="142"/>
      <c r="AA640" s="139"/>
      <c r="AB640" s="139"/>
      <c r="AC640" s="140"/>
      <c r="AD640" s="140"/>
      <c r="AE640" s="140"/>
    </row>
    <row r="641">
      <c r="A641" s="130"/>
      <c r="B641" s="131"/>
      <c r="C641" s="131"/>
      <c r="D641" s="130"/>
      <c r="E641" s="132"/>
      <c r="F641" s="132"/>
      <c r="G641" s="133"/>
      <c r="H641" s="134"/>
      <c r="I641" s="134"/>
      <c r="J641" s="134"/>
      <c r="K641" s="134"/>
      <c r="L641" s="134"/>
      <c r="M641" s="134"/>
      <c r="N641" s="143"/>
      <c r="O641" s="136"/>
      <c r="P641" s="136"/>
      <c r="Q641" s="137"/>
      <c r="R641" s="138"/>
      <c r="S641" s="138"/>
      <c r="T641" s="139"/>
      <c r="U641" s="139"/>
      <c r="V641" s="139"/>
      <c r="W641" s="140"/>
      <c r="X641" s="141"/>
      <c r="Y641" s="140"/>
      <c r="Z641" s="142"/>
      <c r="AA641" s="139"/>
      <c r="AB641" s="139"/>
      <c r="AC641" s="140"/>
      <c r="AD641" s="140"/>
      <c r="AE641" s="140"/>
    </row>
    <row r="642">
      <c r="A642" s="130"/>
      <c r="B642" s="131"/>
      <c r="C642" s="131"/>
      <c r="D642" s="130"/>
      <c r="E642" s="132"/>
      <c r="F642" s="132"/>
      <c r="G642" s="133"/>
      <c r="H642" s="134"/>
      <c r="I642" s="134"/>
      <c r="J642" s="134"/>
      <c r="K642" s="134"/>
      <c r="L642" s="134"/>
      <c r="M642" s="134"/>
      <c r="N642" s="143"/>
      <c r="O642" s="136"/>
      <c r="P642" s="136"/>
      <c r="Q642" s="137"/>
      <c r="R642" s="138"/>
      <c r="S642" s="138"/>
      <c r="T642" s="139"/>
      <c r="U642" s="139"/>
      <c r="V642" s="139"/>
      <c r="W642" s="140"/>
      <c r="X642" s="141"/>
      <c r="Y642" s="140"/>
      <c r="Z642" s="142"/>
      <c r="AA642" s="139"/>
      <c r="AB642" s="139"/>
      <c r="AC642" s="140"/>
      <c r="AD642" s="140"/>
      <c r="AE642" s="140"/>
    </row>
    <row r="643">
      <c r="A643" s="130"/>
      <c r="B643" s="131"/>
      <c r="C643" s="131"/>
      <c r="D643" s="130"/>
      <c r="E643" s="132"/>
      <c r="F643" s="132"/>
      <c r="G643" s="133"/>
      <c r="H643" s="134"/>
      <c r="I643" s="134"/>
      <c r="J643" s="134"/>
      <c r="K643" s="134"/>
      <c r="L643" s="134"/>
      <c r="M643" s="134"/>
      <c r="N643" s="143"/>
      <c r="O643" s="136"/>
      <c r="P643" s="136"/>
      <c r="Q643" s="137"/>
      <c r="R643" s="138"/>
      <c r="S643" s="138"/>
      <c r="T643" s="139"/>
      <c r="U643" s="139"/>
      <c r="V643" s="139"/>
      <c r="W643" s="140"/>
      <c r="X643" s="141"/>
      <c r="Y643" s="140"/>
      <c r="Z643" s="142"/>
      <c r="AA643" s="139"/>
      <c r="AB643" s="139"/>
      <c r="AC643" s="140"/>
      <c r="AD643" s="140"/>
      <c r="AE643" s="140"/>
    </row>
    <row r="644">
      <c r="A644" s="130"/>
      <c r="B644" s="131"/>
      <c r="C644" s="131"/>
      <c r="D644" s="130"/>
      <c r="E644" s="132"/>
      <c r="F644" s="132"/>
      <c r="G644" s="133"/>
      <c r="H644" s="134"/>
      <c r="I644" s="134"/>
      <c r="J644" s="134"/>
      <c r="K644" s="134"/>
      <c r="L644" s="134"/>
      <c r="M644" s="134"/>
      <c r="N644" s="143"/>
      <c r="O644" s="136"/>
      <c r="P644" s="136"/>
      <c r="Q644" s="137"/>
      <c r="R644" s="138"/>
      <c r="S644" s="138"/>
      <c r="T644" s="139"/>
      <c r="U644" s="139"/>
      <c r="V644" s="139"/>
      <c r="W644" s="140"/>
      <c r="X644" s="141"/>
      <c r="Y644" s="140"/>
      <c r="Z644" s="142"/>
      <c r="AA644" s="139"/>
      <c r="AB644" s="139"/>
      <c r="AC644" s="140"/>
      <c r="AD644" s="140"/>
      <c r="AE644" s="140"/>
    </row>
    <row r="645">
      <c r="A645" s="130"/>
      <c r="B645" s="131"/>
      <c r="C645" s="131"/>
      <c r="D645" s="130"/>
      <c r="E645" s="132"/>
      <c r="F645" s="132"/>
      <c r="G645" s="133"/>
      <c r="H645" s="134"/>
      <c r="I645" s="134"/>
      <c r="J645" s="134"/>
      <c r="K645" s="134"/>
      <c r="L645" s="134"/>
      <c r="M645" s="134"/>
      <c r="N645" s="143"/>
      <c r="O645" s="136"/>
      <c r="P645" s="136"/>
      <c r="Q645" s="137"/>
      <c r="R645" s="138"/>
      <c r="S645" s="138"/>
      <c r="T645" s="139"/>
      <c r="U645" s="139"/>
      <c r="V645" s="139"/>
      <c r="W645" s="140"/>
      <c r="X645" s="141"/>
      <c r="Y645" s="140"/>
      <c r="Z645" s="142"/>
      <c r="AA645" s="139"/>
      <c r="AB645" s="139"/>
      <c r="AC645" s="140"/>
      <c r="AD645" s="140"/>
      <c r="AE645" s="140"/>
    </row>
    <row r="646">
      <c r="A646" s="130"/>
      <c r="B646" s="131"/>
      <c r="C646" s="131"/>
      <c r="D646" s="130"/>
      <c r="E646" s="132"/>
      <c r="F646" s="132"/>
      <c r="G646" s="133"/>
      <c r="H646" s="134"/>
      <c r="I646" s="134"/>
      <c r="J646" s="134"/>
      <c r="K646" s="134"/>
      <c r="L646" s="134"/>
      <c r="M646" s="134"/>
      <c r="N646" s="143"/>
      <c r="O646" s="136"/>
      <c r="P646" s="136"/>
      <c r="Q646" s="137"/>
      <c r="R646" s="138"/>
      <c r="S646" s="138"/>
      <c r="T646" s="139"/>
      <c r="U646" s="139"/>
      <c r="V646" s="139"/>
      <c r="W646" s="140"/>
      <c r="X646" s="141"/>
      <c r="Y646" s="140"/>
      <c r="Z646" s="142"/>
      <c r="AA646" s="139"/>
      <c r="AB646" s="139"/>
      <c r="AC646" s="140"/>
      <c r="AD646" s="140"/>
      <c r="AE646" s="140"/>
    </row>
    <row r="647">
      <c r="A647" s="130"/>
      <c r="B647" s="131"/>
      <c r="C647" s="131"/>
      <c r="D647" s="130"/>
      <c r="E647" s="132"/>
      <c r="F647" s="132"/>
      <c r="G647" s="133"/>
      <c r="H647" s="134"/>
      <c r="I647" s="134"/>
      <c r="J647" s="134"/>
      <c r="K647" s="134"/>
      <c r="L647" s="134"/>
      <c r="M647" s="134"/>
      <c r="N647" s="143"/>
      <c r="O647" s="136"/>
      <c r="P647" s="136"/>
      <c r="Q647" s="137"/>
      <c r="R647" s="138"/>
      <c r="S647" s="138"/>
      <c r="T647" s="139"/>
      <c r="U647" s="139"/>
      <c r="V647" s="139"/>
      <c r="W647" s="140"/>
      <c r="X647" s="141"/>
      <c r="Y647" s="140"/>
      <c r="Z647" s="142"/>
      <c r="AA647" s="139"/>
      <c r="AB647" s="139"/>
      <c r="AC647" s="140"/>
      <c r="AD647" s="140"/>
      <c r="AE647" s="140"/>
    </row>
    <row r="648">
      <c r="A648" s="130"/>
      <c r="B648" s="131"/>
      <c r="C648" s="131"/>
      <c r="D648" s="130"/>
      <c r="E648" s="132"/>
      <c r="F648" s="132"/>
      <c r="G648" s="133"/>
      <c r="H648" s="134"/>
      <c r="I648" s="134"/>
      <c r="J648" s="134"/>
      <c r="K648" s="134"/>
      <c r="L648" s="134"/>
      <c r="M648" s="134"/>
      <c r="N648" s="143"/>
      <c r="O648" s="136"/>
      <c r="P648" s="136"/>
      <c r="Q648" s="137"/>
      <c r="R648" s="138"/>
      <c r="S648" s="138"/>
      <c r="T648" s="139"/>
      <c r="U648" s="139"/>
      <c r="V648" s="139"/>
      <c r="W648" s="140"/>
      <c r="X648" s="141"/>
      <c r="Y648" s="140"/>
      <c r="Z648" s="142"/>
      <c r="AA648" s="139"/>
      <c r="AB648" s="139"/>
      <c r="AC648" s="140"/>
      <c r="AD648" s="140"/>
      <c r="AE648" s="140"/>
    </row>
    <row r="649">
      <c r="A649" s="130"/>
      <c r="B649" s="131"/>
      <c r="C649" s="131"/>
      <c r="D649" s="130"/>
      <c r="E649" s="132"/>
      <c r="F649" s="132"/>
      <c r="G649" s="133"/>
      <c r="H649" s="134"/>
      <c r="I649" s="134"/>
      <c r="J649" s="134"/>
      <c r="K649" s="134"/>
      <c r="L649" s="134"/>
      <c r="M649" s="134"/>
      <c r="N649" s="143"/>
      <c r="O649" s="136"/>
      <c r="P649" s="136"/>
      <c r="Q649" s="137"/>
      <c r="R649" s="138"/>
      <c r="S649" s="138"/>
      <c r="T649" s="139"/>
      <c r="U649" s="139"/>
      <c r="V649" s="139"/>
      <c r="W649" s="140"/>
      <c r="X649" s="141"/>
      <c r="Y649" s="140"/>
      <c r="Z649" s="142"/>
      <c r="AA649" s="139"/>
      <c r="AB649" s="139"/>
      <c r="AC649" s="140"/>
      <c r="AD649" s="140"/>
      <c r="AE649" s="140"/>
    </row>
    <row r="650">
      <c r="A650" s="130"/>
      <c r="B650" s="131"/>
      <c r="C650" s="131"/>
      <c r="D650" s="130"/>
      <c r="E650" s="132"/>
      <c r="F650" s="132"/>
      <c r="G650" s="133"/>
      <c r="H650" s="134"/>
      <c r="I650" s="134"/>
      <c r="J650" s="134"/>
      <c r="K650" s="134"/>
      <c r="L650" s="134"/>
      <c r="M650" s="134"/>
      <c r="N650" s="143"/>
      <c r="O650" s="136"/>
      <c r="P650" s="136"/>
      <c r="Q650" s="137"/>
      <c r="R650" s="138"/>
      <c r="S650" s="138"/>
      <c r="T650" s="139"/>
      <c r="U650" s="139"/>
      <c r="V650" s="139"/>
      <c r="W650" s="140"/>
      <c r="X650" s="141"/>
      <c r="Y650" s="140"/>
      <c r="Z650" s="142"/>
      <c r="AA650" s="139"/>
      <c r="AB650" s="139"/>
      <c r="AC650" s="140"/>
      <c r="AD650" s="140"/>
      <c r="AE650" s="140"/>
    </row>
    <row r="651">
      <c r="A651" s="130"/>
      <c r="B651" s="131"/>
      <c r="C651" s="131"/>
      <c r="D651" s="130"/>
      <c r="E651" s="132"/>
      <c r="F651" s="132"/>
      <c r="G651" s="133"/>
      <c r="H651" s="134"/>
      <c r="I651" s="134"/>
      <c r="J651" s="134"/>
      <c r="K651" s="134"/>
      <c r="L651" s="134"/>
      <c r="M651" s="134"/>
      <c r="N651" s="143"/>
      <c r="O651" s="136"/>
      <c r="P651" s="136"/>
      <c r="Q651" s="137"/>
      <c r="R651" s="138"/>
      <c r="S651" s="138"/>
      <c r="T651" s="139"/>
      <c r="U651" s="139"/>
      <c r="V651" s="139"/>
      <c r="W651" s="140"/>
      <c r="X651" s="141"/>
      <c r="Y651" s="140"/>
      <c r="Z651" s="142"/>
      <c r="AA651" s="139"/>
      <c r="AB651" s="139"/>
      <c r="AC651" s="140"/>
      <c r="AD651" s="140"/>
      <c r="AE651" s="140"/>
    </row>
    <row r="652">
      <c r="A652" s="130"/>
      <c r="B652" s="131"/>
      <c r="C652" s="131"/>
      <c r="D652" s="130"/>
      <c r="E652" s="132"/>
      <c r="F652" s="132"/>
      <c r="G652" s="133"/>
      <c r="H652" s="134"/>
      <c r="I652" s="134"/>
      <c r="J652" s="134"/>
      <c r="K652" s="134"/>
      <c r="L652" s="134"/>
      <c r="M652" s="134"/>
      <c r="N652" s="143"/>
      <c r="O652" s="136"/>
      <c r="P652" s="136"/>
      <c r="Q652" s="137"/>
      <c r="R652" s="138"/>
      <c r="S652" s="138"/>
      <c r="T652" s="139"/>
      <c r="U652" s="139"/>
      <c r="V652" s="139"/>
      <c r="W652" s="140"/>
      <c r="X652" s="141"/>
      <c r="Y652" s="140"/>
      <c r="Z652" s="142"/>
      <c r="AA652" s="139"/>
      <c r="AB652" s="139"/>
      <c r="AC652" s="140"/>
      <c r="AD652" s="140"/>
      <c r="AE652" s="140"/>
    </row>
    <row r="653">
      <c r="A653" s="130"/>
      <c r="B653" s="131"/>
      <c r="C653" s="131"/>
      <c r="D653" s="130"/>
      <c r="E653" s="132"/>
      <c r="F653" s="132"/>
      <c r="G653" s="133"/>
      <c r="H653" s="134"/>
      <c r="I653" s="134"/>
      <c r="J653" s="134"/>
      <c r="K653" s="134"/>
      <c r="L653" s="134"/>
      <c r="M653" s="134"/>
      <c r="N653" s="143"/>
      <c r="O653" s="136"/>
      <c r="P653" s="136"/>
      <c r="Q653" s="137"/>
      <c r="R653" s="138"/>
      <c r="S653" s="138"/>
      <c r="T653" s="139"/>
      <c r="U653" s="139"/>
      <c r="V653" s="139"/>
      <c r="W653" s="140"/>
      <c r="X653" s="141"/>
      <c r="Y653" s="140"/>
      <c r="Z653" s="142"/>
      <c r="AA653" s="139"/>
      <c r="AB653" s="139"/>
      <c r="AC653" s="140"/>
      <c r="AD653" s="140"/>
      <c r="AE653" s="140"/>
    </row>
    <row r="654">
      <c r="A654" s="130"/>
      <c r="B654" s="131"/>
      <c r="C654" s="131"/>
      <c r="D654" s="130"/>
      <c r="E654" s="132"/>
      <c r="F654" s="132"/>
      <c r="G654" s="133"/>
      <c r="H654" s="134"/>
      <c r="I654" s="134"/>
      <c r="J654" s="134"/>
      <c r="K654" s="134"/>
      <c r="L654" s="134"/>
      <c r="M654" s="134"/>
      <c r="N654" s="143"/>
      <c r="O654" s="136"/>
      <c r="P654" s="136"/>
      <c r="Q654" s="137"/>
      <c r="R654" s="138"/>
      <c r="S654" s="138"/>
      <c r="T654" s="139"/>
      <c r="U654" s="139"/>
      <c r="V654" s="139"/>
      <c r="W654" s="140"/>
      <c r="X654" s="141"/>
      <c r="Y654" s="140"/>
      <c r="Z654" s="142"/>
      <c r="AA654" s="139"/>
      <c r="AB654" s="139"/>
      <c r="AC654" s="140"/>
      <c r="AD654" s="140"/>
      <c r="AE654" s="140"/>
    </row>
    <row r="655">
      <c r="A655" s="130"/>
      <c r="B655" s="131"/>
      <c r="C655" s="131"/>
      <c r="D655" s="130"/>
      <c r="E655" s="132"/>
      <c r="F655" s="132"/>
      <c r="G655" s="133"/>
      <c r="H655" s="134"/>
      <c r="I655" s="134"/>
      <c r="J655" s="134"/>
      <c r="K655" s="134"/>
      <c r="L655" s="134"/>
      <c r="M655" s="134"/>
      <c r="N655" s="143"/>
      <c r="O655" s="136"/>
      <c r="P655" s="136"/>
      <c r="Q655" s="137"/>
      <c r="R655" s="138"/>
      <c r="S655" s="138"/>
      <c r="T655" s="139"/>
      <c r="U655" s="139"/>
      <c r="V655" s="139"/>
      <c r="W655" s="140"/>
      <c r="X655" s="141"/>
      <c r="Y655" s="140"/>
      <c r="Z655" s="142"/>
      <c r="AA655" s="139"/>
      <c r="AB655" s="139"/>
      <c r="AC655" s="140"/>
      <c r="AD655" s="140"/>
      <c r="AE655" s="140"/>
    </row>
    <row r="656">
      <c r="A656" s="130"/>
      <c r="B656" s="131"/>
      <c r="C656" s="131"/>
      <c r="D656" s="130"/>
      <c r="E656" s="132"/>
      <c r="F656" s="132"/>
      <c r="G656" s="133"/>
      <c r="H656" s="134"/>
      <c r="I656" s="134"/>
      <c r="J656" s="134"/>
      <c r="K656" s="134"/>
      <c r="L656" s="134"/>
      <c r="M656" s="134"/>
      <c r="N656" s="143"/>
      <c r="O656" s="136"/>
      <c r="P656" s="136"/>
      <c r="Q656" s="137"/>
      <c r="R656" s="138"/>
      <c r="S656" s="138"/>
      <c r="T656" s="139"/>
      <c r="U656" s="139"/>
      <c r="V656" s="139"/>
      <c r="W656" s="140"/>
      <c r="X656" s="141"/>
      <c r="Y656" s="140"/>
      <c r="Z656" s="142"/>
      <c r="AA656" s="139"/>
      <c r="AB656" s="139"/>
      <c r="AC656" s="140"/>
      <c r="AD656" s="140"/>
      <c r="AE656" s="140"/>
    </row>
    <row r="657">
      <c r="A657" s="130"/>
      <c r="B657" s="131"/>
      <c r="C657" s="131"/>
      <c r="D657" s="130"/>
      <c r="E657" s="132"/>
      <c r="F657" s="132"/>
      <c r="G657" s="133"/>
      <c r="H657" s="134"/>
      <c r="I657" s="134"/>
      <c r="J657" s="134"/>
      <c r="K657" s="134"/>
      <c r="L657" s="134"/>
      <c r="M657" s="134"/>
      <c r="N657" s="143"/>
      <c r="O657" s="136"/>
      <c r="P657" s="136"/>
      <c r="Q657" s="137"/>
      <c r="R657" s="138"/>
      <c r="S657" s="138"/>
      <c r="T657" s="139"/>
      <c r="U657" s="139"/>
      <c r="V657" s="139"/>
      <c r="W657" s="140"/>
      <c r="X657" s="141"/>
      <c r="Y657" s="140"/>
      <c r="Z657" s="142"/>
      <c r="AA657" s="139"/>
      <c r="AB657" s="139"/>
      <c r="AC657" s="140"/>
      <c r="AD657" s="140"/>
      <c r="AE657" s="140"/>
    </row>
    <row r="658">
      <c r="A658" s="130"/>
      <c r="B658" s="131"/>
      <c r="C658" s="131"/>
      <c r="D658" s="130"/>
      <c r="E658" s="132"/>
      <c r="F658" s="132"/>
      <c r="G658" s="133"/>
      <c r="H658" s="134"/>
      <c r="I658" s="134"/>
      <c r="J658" s="134"/>
      <c r="K658" s="134"/>
      <c r="L658" s="134"/>
      <c r="M658" s="134"/>
      <c r="N658" s="143"/>
      <c r="O658" s="136"/>
      <c r="P658" s="136"/>
      <c r="Q658" s="137"/>
      <c r="R658" s="138"/>
      <c r="S658" s="138"/>
      <c r="T658" s="139"/>
      <c r="U658" s="139"/>
      <c r="V658" s="139"/>
      <c r="W658" s="140"/>
      <c r="X658" s="141"/>
      <c r="Y658" s="140"/>
      <c r="Z658" s="142"/>
      <c r="AA658" s="139"/>
      <c r="AB658" s="139"/>
      <c r="AC658" s="140"/>
      <c r="AD658" s="140"/>
      <c r="AE658" s="140"/>
    </row>
    <row r="659">
      <c r="A659" s="130"/>
      <c r="B659" s="131"/>
      <c r="C659" s="131"/>
      <c r="D659" s="130"/>
      <c r="E659" s="132"/>
      <c r="F659" s="132"/>
      <c r="G659" s="133"/>
      <c r="H659" s="134"/>
      <c r="I659" s="134"/>
      <c r="J659" s="134"/>
      <c r="K659" s="134"/>
      <c r="L659" s="134"/>
      <c r="M659" s="134"/>
      <c r="N659" s="143"/>
      <c r="O659" s="136"/>
      <c r="P659" s="136"/>
      <c r="Q659" s="137"/>
      <c r="R659" s="138"/>
      <c r="S659" s="138"/>
      <c r="T659" s="139"/>
      <c r="U659" s="139"/>
      <c r="V659" s="139"/>
      <c r="W659" s="140"/>
      <c r="X659" s="141"/>
      <c r="Y659" s="140"/>
      <c r="Z659" s="142"/>
      <c r="AA659" s="139"/>
      <c r="AB659" s="139"/>
      <c r="AC659" s="140"/>
      <c r="AD659" s="140"/>
      <c r="AE659" s="140"/>
    </row>
    <row r="660">
      <c r="A660" s="130"/>
      <c r="B660" s="131"/>
      <c r="C660" s="131"/>
      <c r="D660" s="130"/>
      <c r="E660" s="132"/>
      <c r="F660" s="132"/>
      <c r="G660" s="133"/>
      <c r="H660" s="134"/>
      <c r="I660" s="134"/>
      <c r="J660" s="134"/>
      <c r="K660" s="134"/>
      <c r="L660" s="134"/>
      <c r="M660" s="134"/>
      <c r="N660" s="143"/>
      <c r="O660" s="136"/>
      <c r="P660" s="136"/>
      <c r="Q660" s="137"/>
      <c r="R660" s="138"/>
      <c r="S660" s="138"/>
      <c r="T660" s="139"/>
      <c r="U660" s="139"/>
      <c r="V660" s="139"/>
      <c r="W660" s="140"/>
      <c r="X660" s="141"/>
      <c r="Y660" s="140"/>
      <c r="Z660" s="142"/>
      <c r="AA660" s="139"/>
      <c r="AB660" s="139"/>
      <c r="AC660" s="140"/>
      <c r="AD660" s="140"/>
      <c r="AE660" s="140"/>
    </row>
    <row r="661">
      <c r="A661" s="130"/>
      <c r="B661" s="131"/>
      <c r="C661" s="131"/>
      <c r="D661" s="130"/>
      <c r="E661" s="132"/>
      <c r="F661" s="132"/>
      <c r="G661" s="133"/>
      <c r="H661" s="134"/>
      <c r="I661" s="134"/>
      <c r="J661" s="134"/>
      <c r="K661" s="134"/>
      <c r="L661" s="134"/>
      <c r="M661" s="134"/>
      <c r="N661" s="143"/>
      <c r="O661" s="136"/>
      <c r="P661" s="136"/>
      <c r="Q661" s="137"/>
      <c r="R661" s="138"/>
      <c r="S661" s="138"/>
      <c r="T661" s="139"/>
      <c r="U661" s="139"/>
      <c r="V661" s="139"/>
      <c r="W661" s="140"/>
      <c r="X661" s="141"/>
      <c r="Y661" s="140"/>
      <c r="Z661" s="142"/>
      <c r="AA661" s="139"/>
      <c r="AB661" s="139"/>
      <c r="AC661" s="140"/>
      <c r="AD661" s="140"/>
      <c r="AE661" s="140"/>
    </row>
    <row r="662">
      <c r="A662" s="130"/>
      <c r="B662" s="131"/>
      <c r="C662" s="131"/>
      <c r="D662" s="130"/>
      <c r="E662" s="132"/>
      <c r="F662" s="132"/>
      <c r="G662" s="133"/>
      <c r="H662" s="134"/>
      <c r="I662" s="134"/>
      <c r="J662" s="134"/>
      <c r="K662" s="134"/>
      <c r="L662" s="134"/>
      <c r="M662" s="134"/>
      <c r="N662" s="143"/>
      <c r="O662" s="136"/>
      <c r="P662" s="136"/>
      <c r="Q662" s="137"/>
      <c r="R662" s="138"/>
      <c r="S662" s="138"/>
      <c r="T662" s="139"/>
      <c r="U662" s="139"/>
      <c r="V662" s="139"/>
      <c r="W662" s="140"/>
      <c r="X662" s="141"/>
      <c r="Y662" s="140"/>
      <c r="Z662" s="142"/>
      <c r="AA662" s="139"/>
      <c r="AB662" s="139"/>
      <c r="AC662" s="140"/>
      <c r="AD662" s="140"/>
      <c r="AE662" s="140"/>
    </row>
    <row r="663">
      <c r="A663" s="130"/>
      <c r="B663" s="131"/>
      <c r="C663" s="131"/>
      <c r="D663" s="130"/>
      <c r="E663" s="132"/>
      <c r="F663" s="132"/>
      <c r="G663" s="133"/>
      <c r="H663" s="134"/>
      <c r="I663" s="134"/>
      <c r="J663" s="134"/>
      <c r="K663" s="134"/>
      <c r="L663" s="134"/>
      <c r="M663" s="134"/>
      <c r="N663" s="143"/>
      <c r="O663" s="136"/>
      <c r="P663" s="136"/>
      <c r="Q663" s="137"/>
      <c r="R663" s="138"/>
      <c r="S663" s="138"/>
      <c r="T663" s="139"/>
      <c r="U663" s="139"/>
      <c r="V663" s="139"/>
      <c r="W663" s="140"/>
      <c r="X663" s="141"/>
      <c r="Y663" s="140"/>
      <c r="Z663" s="142"/>
      <c r="AA663" s="139"/>
      <c r="AB663" s="139"/>
      <c r="AC663" s="140"/>
      <c r="AD663" s="140"/>
      <c r="AE663" s="140"/>
    </row>
    <row r="664">
      <c r="A664" s="130"/>
      <c r="B664" s="131"/>
      <c r="C664" s="131"/>
      <c r="D664" s="130"/>
      <c r="E664" s="132"/>
      <c r="F664" s="132"/>
      <c r="G664" s="133"/>
      <c r="H664" s="134"/>
      <c r="I664" s="134"/>
      <c r="J664" s="134"/>
      <c r="K664" s="134"/>
      <c r="L664" s="134"/>
      <c r="M664" s="134"/>
      <c r="N664" s="143"/>
      <c r="O664" s="136"/>
      <c r="P664" s="136"/>
      <c r="Q664" s="137"/>
      <c r="R664" s="138"/>
      <c r="S664" s="138"/>
      <c r="T664" s="139"/>
      <c r="U664" s="139"/>
      <c r="V664" s="139"/>
      <c r="W664" s="140"/>
      <c r="X664" s="141"/>
      <c r="Y664" s="140"/>
      <c r="Z664" s="142"/>
      <c r="AA664" s="139"/>
      <c r="AB664" s="139"/>
      <c r="AC664" s="140"/>
      <c r="AD664" s="140"/>
      <c r="AE664" s="140"/>
    </row>
    <row r="665">
      <c r="A665" s="130"/>
      <c r="B665" s="131"/>
      <c r="C665" s="131"/>
      <c r="D665" s="130"/>
      <c r="E665" s="132"/>
      <c r="F665" s="132"/>
      <c r="G665" s="133"/>
      <c r="H665" s="134"/>
      <c r="I665" s="134"/>
      <c r="J665" s="134"/>
      <c r="K665" s="134"/>
      <c r="L665" s="134"/>
      <c r="M665" s="134"/>
      <c r="N665" s="143"/>
      <c r="O665" s="136"/>
      <c r="P665" s="136"/>
      <c r="Q665" s="137"/>
      <c r="R665" s="138"/>
      <c r="S665" s="138"/>
      <c r="T665" s="139"/>
      <c r="U665" s="139"/>
      <c r="V665" s="139"/>
      <c r="W665" s="140"/>
      <c r="X665" s="141"/>
      <c r="Y665" s="140"/>
      <c r="Z665" s="142"/>
      <c r="AA665" s="139"/>
      <c r="AB665" s="139"/>
      <c r="AC665" s="140"/>
      <c r="AD665" s="140"/>
      <c r="AE665" s="140"/>
    </row>
    <row r="666">
      <c r="A666" s="130"/>
      <c r="B666" s="131"/>
      <c r="C666" s="131"/>
      <c r="D666" s="130"/>
      <c r="E666" s="132"/>
      <c r="F666" s="132"/>
      <c r="G666" s="133"/>
      <c r="H666" s="134"/>
      <c r="I666" s="134"/>
      <c r="J666" s="134"/>
      <c r="K666" s="134"/>
      <c r="L666" s="134"/>
      <c r="M666" s="134"/>
      <c r="N666" s="143"/>
      <c r="O666" s="136"/>
      <c r="P666" s="136"/>
      <c r="Q666" s="137"/>
      <c r="R666" s="138"/>
      <c r="S666" s="138"/>
      <c r="T666" s="139"/>
      <c r="U666" s="139"/>
      <c r="V666" s="139"/>
      <c r="W666" s="140"/>
      <c r="X666" s="141"/>
      <c r="Y666" s="140"/>
      <c r="Z666" s="142"/>
      <c r="AA666" s="139"/>
      <c r="AB666" s="139"/>
      <c r="AC666" s="140"/>
      <c r="AD666" s="140"/>
      <c r="AE666" s="140"/>
    </row>
    <row r="667">
      <c r="A667" s="130"/>
      <c r="B667" s="131"/>
      <c r="C667" s="131"/>
      <c r="D667" s="130"/>
      <c r="E667" s="132"/>
      <c r="F667" s="132"/>
      <c r="G667" s="133"/>
      <c r="H667" s="134"/>
      <c r="I667" s="134"/>
      <c r="J667" s="134"/>
      <c r="K667" s="134"/>
      <c r="L667" s="134"/>
      <c r="M667" s="134"/>
      <c r="N667" s="143"/>
      <c r="O667" s="136"/>
      <c r="P667" s="136"/>
      <c r="Q667" s="137"/>
      <c r="R667" s="138"/>
      <c r="S667" s="138"/>
      <c r="T667" s="139"/>
      <c r="U667" s="139"/>
      <c r="V667" s="139"/>
      <c r="W667" s="140"/>
      <c r="X667" s="141"/>
      <c r="Y667" s="140"/>
      <c r="Z667" s="142"/>
      <c r="AA667" s="139"/>
      <c r="AB667" s="139"/>
      <c r="AC667" s="140"/>
      <c r="AD667" s="140"/>
      <c r="AE667" s="140"/>
    </row>
    <row r="668">
      <c r="A668" s="130"/>
      <c r="B668" s="131"/>
      <c r="C668" s="131"/>
      <c r="D668" s="130"/>
      <c r="E668" s="132"/>
      <c r="F668" s="132"/>
      <c r="G668" s="133"/>
      <c r="H668" s="134"/>
      <c r="I668" s="134"/>
      <c r="J668" s="134"/>
      <c r="K668" s="134"/>
      <c r="L668" s="134"/>
      <c r="M668" s="134"/>
      <c r="N668" s="143"/>
      <c r="O668" s="136"/>
      <c r="P668" s="136"/>
      <c r="Q668" s="137"/>
      <c r="R668" s="138"/>
      <c r="S668" s="138"/>
      <c r="T668" s="139"/>
      <c r="U668" s="139"/>
      <c r="V668" s="139"/>
      <c r="W668" s="140"/>
      <c r="X668" s="141"/>
      <c r="Y668" s="140"/>
      <c r="Z668" s="142"/>
      <c r="AA668" s="139"/>
      <c r="AB668" s="139"/>
      <c r="AC668" s="140"/>
      <c r="AD668" s="140"/>
      <c r="AE668" s="140"/>
    </row>
    <row r="669">
      <c r="A669" s="130"/>
      <c r="B669" s="131"/>
      <c r="C669" s="131"/>
      <c r="D669" s="130"/>
      <c r="E669" s="132"/>
      <c r="F669" s="132"/>
      <c r="G669" s="133"/>
      <c r="H669" s="134"/>
      <c r="I669" s="134"/>
      <c r="J669" s="134"/>
      <c r="K669" s="134"/>
      <c r="L669" s="134"/>
      <c r="M669" s="134"/>
      <c r="N669" s="143"/>
      <c r="O669" s="136"/>
      <c r="P669" s="136"/>
      <c r="Q669" s="137"/>
      <c r="R669" s="138"/>
      <c r="S669" s="138"/>
      <c r="T669" s="139"/>
      <c r="U669" s="139"/>
      <c r="V669" s="139"/>
      <c r="W669" s="140"/>
      <c r="X669" s="141"/>
      <c r="Y669" s="140"/>
      <c r="Z669" s="142"/>
      <c r="AA669" s="139"/>
      <c r="AB669" s="139"/>
      <c r="AC669" s="140"/>
      <c r="AD669" s="140"/>
      <c r="AE669" s="140"/>
    </row>
    <row r="670">
      <c r="A670" s="130"/>
      <c r="B670" s="131"/>
      <c r="C670" s="131"/>
      <c r="D670" s="130"/>
      <c r="E670" s="132"/>
      <c r="F670" s="132"/>
      <c r="G670" s="133"/>
      <c r="H670" s="134"/>
      <c r="I670" s="134"/>
      <c r="J670" s="134"/>
      <c r="K670" s="134"/>
      <c r="L670" s="134"/>
      <c r="M670" s="134"/>
      <c r="N670" s="143"/>
      <c r="O670" s="136"/>
      <c r="P670" s="136"/>
      <c r="Q670" s="137"/>
      <c r="R670" s="138"/>
      <c r="S670" s="138"/>
      <c r="T670" s="139"/>
      <c r="U670" s="139"/>
      <c r="V670" s="139"/>
      <c r="W670" s="140"/>
      <c r="X670" s="141"/>
      <c r="Y670" s="140"/>
      <c r="Z670" s="142"/>
      <c r="AA670" s="139"/>
      <c r="AB670" s="139"/>
      <c r="AC670" s="140"/>
      <c r="AD670" s="140"/>
      <c r="AE670" s="140"/>
    </row>
    <row r="671">
      <c r="A671" s="130"/>
      <c r="B671" s="131"/>
      <c r="C671" s="131"/>
      <c r="D671" s="130"/>
      <c r="E671" s="132"/>
      <c r="F671" s="132"/>
      <c r="G671" s="133"/>
      <c r="H671" s="134"/>
      <c r="I671" s="134"/>
      <c r="J671" s="134"/>
      <c r="K671" s="134"/>
      <c r="L671" s="134"/>
      <c r="M671" s="134"/>
      <c r="N671" s="143"/>
      <c r="O671" s="136"/>
      <c r="P671" s="136"/>
      <c r="Q671" s="137"/>
      <c r="R671" s="138"/>
      <c r="S671" s="138"/>
      <c r="T671" s="139"/>
      <c r="U671" s="139"/>
      <c r="V671" s="139"/>
      <c r="W671" s="140"/>
      <c r="X671" s="141"/>
      <c r="Y671" s="140"/>
      <c r="Z671" s="142"/>
      <c r="AA671" s="139"/>
      <c r="AB671" s="139"/>
      <c r="AC671" s="140"/>
      <c r="AD671" s="140"/>
      <c r="AE671" s="140"/>
    </row>
    <row r="672">
      <c r="A672" s="130"/>
      <c r="B672" s="131"/>
      <c r="C672" s="131"/>
      <c r="D672" s="130"/>
      <c r="E672" s="132"/>
      <c r="F672" s="132"/>
      <c r="G672" s="133"/>
      <c r="H672" s="134"/>
      <c r="I672" s="134"/>
      <c r="J672" s="134"/>
      <c r="K672" s="134"/>
      <c r="L672" s="134"/>
      <c r="M672" s="134"/>
      <c r="N672" s="143"/>
      <c r="O672" s="136"/>
      <c r="P672" s="136"/>
      <c r="Q672" s="137"/>
      <c r="R672" s="138"/>
      <c r="S672" s="138"/>
      <c r="T672" s="139"/>
      <c r="U672" s="139"/>
      <c r="V672" s="139"/>
      <c r="W672" s="140"/>
      <c r="X672" s="141"/>
      <c r="Y672" s="140"/>
      <c r="Z672" s="142"/>
      <c r="AA672" s="139"/>
      <c r="AB672" s="139"/>
      <c r="AC672" s="140"/>
      <c r="AD672" s="140"/>
      <c r="AE672" s="140"/>
    </row>
    <row r="673">
      <c r="A673" s="130"/>
      <c r="B673" s="131"/>
      <c r="C673" s="131"/>
      <c r="D673" s="130"/>
      <c r="E673" s="132"/>
      <c r="F673" s="132"/>
      <c r="G673" s="133"/>
      <c r="H673" s="134"/>
      <c r="I673" s="134"/>
      <c r="J673" s="134"/>
      <c r="K673" s="134"/>
      <c r="L673" s="134"/>
      <c r="M673" s="134"/>
      <c r="N673" s="143"/>
      <c r="O673" s="136"/>
      <c r="P673" s="136"/>
      <c r="Q673" s="137"/>
      <c r="R673" s="138"/>
      <c r="S673" s="138"/>
      <c r="T673" s="139"/>
      <c r="U673" s="139"/>
      <c r="V673" s="139"/>
      <c r="W673" s="140"/>
      <c r="X673" s="141"/>
      <c r="Y673" s="140"/>
      <c r="Z673" s="142"/>
      <c r="AA673" s="139"/>
      <c r="AB673" s="139"/>
      <c r="AC673" s="140"/>
      <c r="AD673" s="140"/>
      <c r="AE673" s="140"/>
    </row>
    <row r="674">
      <c r="A674" s="130"/>
      <c r="B674" s="131"/>
      <c r="C674" s="131"/>
      <c r="D674" s="130"/>
      <c r="E674" s="132"/>
      <c r="F674" s="132"/>
      <c r="G674" s="133"/>
      <c r="H674" s="134"/>
      <c r="I674" s="134"/>
      <c r="J674" s="134"/>
      <c r="K674" s="134"/>
      <c r="L674" s="134"/>
      <c r="M674" s="134"/>
      <c r="N674" s="143"/>
      <c r="O674" s="136"/>
      <c r="P674" s="136"/>
      <c r="Q674" s="137"/>
      <c r="R674" s="138"/>
      <c r="S674" s="138"/>
      <c r="T674" s="139"/>
      <c r="U674" s="139"/>
      <c r="V674" s="139"/>
      <c r="W674" s="140"/>
      <c r="X674" s="141"/>
      <c r="Y674" s="140"/>
      <c r="Z674" s="142"/>
      <c r="AA674" s="139"/>
      <c r="AB674" s="139"/>
      <c r="AC674" s="140"/>
      <c r="AD674" s="140"/>
      <c r="AE674" s="140"/>
    </row>
    <row r="675">
      <c r="A675" s="130"/>
      <c r="B675" s="131"/>
      <c r="C675" s="131"/>
      <c r="D675" s="130"/>
      <c r="E675" s="132"/>
      <c r="F675" s="132"/>
      <c r="G675" s="133"/>
      <c r="H675" s="134"/>
      <c r="I675" s="134"/>
      <c r="J675" s="134"/>
      <c r="K675" s="134"/>
      <c r="L675" s="134"/>
      <c r="M675" s="134"/>
      <c r="N675" s="143"/>
      <c r="O675" s="136"/>
      <c r="P675" s="136"/>
      <c r="Q675" s="137"/>
      <c r="R675" s="138"/>
      <c r="S675" s="138"/>
      <c r="T675" s="139"/>
      <c r="U675" s="139"/>
      <c r="V675" s="139"/>
      <c r="W675" s="140"/>
      <c r="X675" s="141"/>
      <c r="Y675" s="140"/>
      <c r="Z675" s="142"/>
      <c r="AA675" s="139"/>
      <c r="AB675" s="139"/>
      <c r="AC675" s="140"/>
      <c r="AD675" s="140"/>
      <c r="AE675" s="140"/>
    </row>
    <row r="676">
      <c r="A676" s="130"/>
      <c r="B676" s="131"/>
      <c r="C676" s="131"/>
      <c r="D676" s="130"/>
      <c r="E676" s="132"/>
      <c r="F676" s="132"/>
      <c r="G676" s="133"/>
      <c r="H676" s="134"/>
      <c r="I676" s="134"/>
      <c r="J676" s="134"/>
      <c r="K676" s="134"/>
      <c r="L676" s="134"/>
      <c r="M676" s="134"/>
      <c r="N676" s="143"/>
      <c r="O676" s="136"/>
      <c r="P676" s="136"/>
      <c r="Q676" s="137"/>
      <c r="R676" s="138"/>
      <c r="S676" s="138"/>
      <c r="T676" s="139"/>
      <c r="U676" s="139"/>
      <c r="V676" s="139"/>
      <c r="W676" s="140"/>
      <c r="X676" s="141"/>
      <c r="Y676" s="140"/>
      <c r="Z676" s="142"/>
      <c r="AA676" s="139"/>
      <c r="AB676" s="139"/>
      <c r="AC676" s="140"/>
      <c r="AD676" s="140"/>
      <c r="AE676" s="140"/>
    </row>
    <row r="677">
      <c r="A677" s="130"/>
      <c r="B677" s="131"/>
      <c r="C677" s="131"/>
      <c r="D677" s="130"/>
      <c r="E677" s="132"/>
      <c r="F677" s="132"/>
      <c r="G677" s="133"/>
      <c r="H677" s="134"/>
      <c r="I677" s="134"/>
      <c r="J677" s="134"/>
      <c r="K677" s="134"/>
      <c r="L677" s="134"/>
      <c r="M677" s="134"/>
      <c r="N677" s="143"/>
      <c r="O677" s="136"/>
      <c r="P677" s="136"/>
      <c r="Q677" s="137"/>
      <c r="R677" s="138"/>
      <c r="S677" s="138"/>
      <c r="T677" s="139"/>
      <c r="U677" s="139"/>
      <c r="V677" s="139"/>
      <c r="W677" s="140"/>
      <c r="X677" s="141"/>
      <c r="Y677" s="140"/>
      <c r="Z677" s="142"/>
      <c r="AA677" s="139"/>
      <c r="AB677" s="139"/>
      <c r="AC677" s="140"/>
      <c r="AD677" s="140"/>
      <c r="AE677" s="140"/>
    </row>
    <row r="678">
      <c r="A678" s="130"/>
      <c r="B678" s="131"/>
      <c r="C678" s="131"/>
      <c r="D678" s="130"/>
      <c r="E678" s="132"/>
      <c r="F678" s="132"/>
      <c r="G678" s="133"/>
      <c r="H678" s="134"/>
      <c r="I678" s="134"/>
      <c r="J678" s="134"/>
      <c r="K678" s="134"/>
      <c r="L678" s="134"/>
      <c r="M678" s="134"/>
      <c r="N678" s="143"/>
      <c r="O678" s="136"/>
      <c r="P678" s="136"/>
      <c r="Q678" s="137"/>
      <c r="R678" s="138"/>
      <c r="S678" s="138"/>
      <c r="T678" s="139"/>
      <c r="U678" s="139"/>
      <c r="V678" s="139"/>
      <c r="W678" s="140"/>
      <c r="X678" s="141"/>
      <c r="Y678" s="140"/>
      <c r="Z678" s="142"/>
      <c r="AA678" s="139"/>
      <c r="AB678" s="139"/>
      <c r="AC678" s="140"/>
      <c r="AD678" s="140"/>
      <c r="AE678" s="140"/>
    </row>
    <row r="679">
      <c r="A679" s="130"/>
      <c r="B679" s="131"/>
      <c r="C679" s="131"/>
      <c r="D679" s="130"/>
      <c r="E679" s="132"/>
      <c r="F679" s="132"/>
      <c r="G679" s="133"/>
      <c r="H679" s="134"/>
      <c r="I679" s="134"/>
      <c r="J679" s="134"/>
      <c r="K679" s="134"/>
      <c r="L679" s="134"/>
      <c r="M679" s="134"/>
      <c r="N679" s="143"/>
      <c r="O679" s="136"/>
      <c r="P679" s="136"/>
      <c r="Q679" s="137"/>
      <c r="R679" s="138"/>
      <c r="S679" s="138"/>
      <c r="T679" s="139"/>
      <c r="U679" s="139"/>
      <c r="V679" s="139"/>
      <c r="W679" s="140"/>
      <c r="X679" s="141"/>
      <c r="Y679" s="140"/>
      <c r="Z679" s="142"/>
      <c r="AA679" s="139"/>
      <c r="AB679" s="139"/>
      <c r="AC679" s="140"/>
      <c r="AD679" s="140"/>
      <c r="AE679" s="140"/>
    </row>
    <row r="680">
      <c r="A680" s="130"/>
      <c r="B680" s="131"/>
      <c r="C680" s="131"/>
      <c r="D680" s="130"/>
      <c r="E680" s="132"/>
      <c r="F680" s="132"/>
      <c r="G680" s="133"/>
      <c r="H680" s="134"/>
      <c r="I680" s="134"/>
      <c r="J680" s="134"/>
      <c r="K680" s="134"/>
      <c r="L680" s="134"/>
      <c r="M680" s="134"/>
      <c r="N680" s="143"/>
      <c r="O680" s="136"/>
      <c r="P680" s="136"/>
      <c r="Q680" s="137"/>
      <c r="R680" s="138"/>
      <c r="S680" s="138"/>
      <c r="T680" s="139"/>
      <c r="U680" s="139"/>
      <c r="V680" s="139"/>
      <c r="W680" s="140"/>
      <c r="X680" s="141"/>
      <c r="Y680" s="140"/>
      <c r="Z680" s="142"/>
      <c r="AA680" s="139"/>
      <c r="AB680" s="139"/>
      <c r="AC680" s="140"/>
      <c r="AD680" s="140"/>
      <c r="AE680" s="140"/>
    </row>
    <row r="681">
      <c r="A681" s="130"/>
      <c r="B681" s="131"/>
      <c r="C681" s="131"/>
      <c r="D681" s="130"/>
      <c r="E681" s="132"/>
      <c r="F681" s="132"/>
      <c r="G681" s="133"/>
      <c r="H681" s="134"/>
      <c r="I681" s="134"/>
      <c r="J681" s="134"/>
      <c r="K681" s="134"/>
      <c r="L681" s="134"/>
      <c r="M681" s="134"/>
      <c r="N681" s="143"/>
      <c r="O681" s="136"/>
      <c r="P681" s="136"/>
      <c r="Q681" s="137"/>
      <c r="R681" s="138"/>
      <c r="S681" s="138"/>
      <c r="T681" s="139"/>
      <c r="U681" s="139"/>
      <c r="V681" s="139"/>
      <c r="W681" s="140"/>
      <c r="X681" s="141"/>
      <c r="Y681" s="140"/>
      <c r="Z681" s="142"/>
      <c r="AA681" s="139"/>
      <c r="AB681" s="139"/>
      <c r="AC681" s="140"/>
      <c r="AD681" s="140"/>
      <c r="AE681" s="140"/>
    </row>
    <row r="682">
      <c r="A682" s="130"/>
      <c r="B682" s="131"/>
      <c r="C682" s="131"/>
      <c r="D682" s="130"/>
      <c r="E682" s="132"/>
      <c r="F682" s="132"/>
      <c r="G682" s="133"/>
      <c r="H682" s="134"/>
      <c r="I682" s="134"/>
      <c r="J682" s="134"/>
      <c r="K682" s="134"/>
      <c r="L682" s="134"/>
      <c r="M682" s="134"/>
      <c r="N682" s="143"/>
      <c r="O682" s="136"/>
      <c r="P682" s="136"/>
      <c r="Q682" s="137"/>
      <c r="R682" s="138"/>
      <c r="S682" s="138"/>
      <c r="T682" s="139"/>
      <c r="U682" s="139"/>
      <c r="V682" s="139"/>
      <c r="W682" s="140"/>
      <c r="X682" s="141"/>
      <c r="Y682" s="140"/>
      <c r="Z682" s="142"/>
      <c r="AA682" s="139"/>
      <c r="AB682" s="139"/>
      <c r="AC682" s="140"/>
      <c r="AD682" s="140"/>
      <c r="AE682" s="140"/>
    </row>
    <row r="683">
      <c r="A683" s="130"/>
      <c r="B683" s="131"/>
      <c r="C683" s="131"/>
      <c r="D683" s="130"/>
      <c r="E683" s="132"/>
      <c r="F683" s="132"/>
      <c r="G683" s="133"/>
      <c r="H683" s="134"/>
      <c r="I683" s="134"/>
      <c r="J683" s="134"/>
      <c r="K683" s="134"/>
      <c r="L683" s="134"/>
      <c r="M683" s="134"/>
      <c r="N683" s="143"/>
      <c r="O683" s="136"/>
      <c r="P683" s="136"/>
      <c r="Q683" s="137"/>
      <c r="R683" s="138"/>
      <c r="S683" s="138"/>
      <c r="T683" s="139"/>
      <c r="U683" s="139"/>
      <c r="V683" s="139"/>
      <c r="W683" s="140"/>
      <c r="X683" s="141"/>
      <c r="Y683" s="140"/>
      <c r="Z683" s="142"/>
      <c r="AA683" s="139"/>
      <c r="AB683" s="139"/>
      <c r="AC683" s="140"/>
      <c r="AD683" s="140"/>
      <c r="AE683" s="140"/>
    </row>
    <row r="684">
      <c r="A684" s="130"/>
      <c r="B684" s="131"/>
      <c r="C684" s="131"/>
      <c r="D684" s="130"/>
      <c r="E684" s="132"/>
      <c r="F684" s="132"/>
      <c r="G684" s="133"/>
      <c r="H684" s="134"/>
      <c r="I684" s="134"/>
      <c r="J684" s="134"/>
      <c r="K684" s="134"/>
      <c r="L684" s="134"/>
      <c r="M684" s="134"/>
      <c r="N684" s="143"/>
      <c r="O684" s="136"/>
      <c r="P684" s="136"/>
      <c r="Q684" s="137"/>
      <c r="R684" s="138"/>
      <c r="S684" s="138"/>
      <c r="T684" s="139"/>
      <c r="U684" s="139"/>
      <c r="V684" s="139"/>
      <c r="W684" s="140"/>
      <c r="X684" s="141"/>
      <c r="Y684" s="140"/>
      <c r="Z684" s="142"/>
      <c r="AA684" s="139"/>
      <c r="AB684" s="139"/>
      <c r="AC684" s="140"/>
      <c r="AD684" s="140"/>
      <c r="AE684" s="140"/>
    </row>
    <row r="685">
      <c r="A685" s="130"/>
      <c r="B685" s="131"/>
      <c r="C685" s="131"/>
      <c r="D685" s="130"/>
      <c r="E685" s="132"/>
      <c r="F685" s="132"/>
      <c r="G685" s="133"/>
      <c r="H685" s="134"/>
      <c r="I685" s="134"/>
      <c r="J685" s="134"/>
      <c r="K685" s="134"/>
      <c r="L685" s="134"/>
      <c r="M685" s="134"/>
      <c r="N685" s="143"/>
      <c r="O685" s="136"/>
      <c r="P685" s="136"/>
      <c r="Q685" s="137"/>
      <c r="R685" s="138"/>
      <c r="S685" s="138"/>
      <c r="T685" s="139"/>
      <c r="U685" s="139"/>
      <c r="V685" s="139"/>
      <c r="W685" s="140"/>
      <c r="X685" s="141"/>
      <c r="Y685" s="140"/>
      <c r="Z685" s="142"/>
      <c r="AA685" s="139"/>
      <c r="AB685" s="139"/>
      <c r="AC685" s="140"/>
      <c r="AD685" s="140"/>
      <c r="AE685" s="140"/>
    </row>
    <row r="686">
      <c r="A686" s="130"/>
      <c r="B686" s="131"/>
      <c r="C686" s="131"/>
      <c r="D686" s="130"/>
      <c r="E686" s="132"/>
      <c r="F686" s="132"/>
      <c r="G686" s="133"/>
      <c r="H686" s="134"/>
      <c r="I686" s="134"/>
      <c r="J686" s="134"/>
      <c r="K686" s="134"/>
      <c r="L686" s="134"/>
      <c r="M686" s="134"/>
      <c r="N686" s="143"/>
      <c r="O686" s="136"/>
      <c r="P686" s="136"/>
      <c r="Q686" s="137"/>
      <c r="R686" s="138"/>
      <c r="S686" s="138"/>
      <c r="T686" s="139"/>
      <c r="U686" s="139"/>
      <c r="V686" s="139"/>
      <c r="W686" s="140"/>
      <c r="X686" s="141"/>
      <c r="Y686" s="140"/>
      <c r="Z686" s="142"/>
      <c r="AA686" s="139"/>
      <c r="AB686" s="139"/>
      <c r="AC686" s="140"/>
      <c r="AD686" s="140"/>
      <c r="AE686" s="140"/>
    </row>
    <row r="687">
      <c r="A687" s="130"/>
      <c r="B687" s="131"/>
      <c r="C687" s="131"/>
      <c r="D687" s="130"/>
      <c r="E687" s="132"/>
      <c r="F687" s="132"/>
      <c r="G687" s="133"/>
      <c r="H687" s="134"/>
      <c r="I687" s="134"/>
      <c r="J687" s="134"/>
      <c r="K687" s="134"/>
      <c r="L687" s="134"/>
      <c r="M687" s="134"/>
      <c r="N687" s="143"/>
      <c r="O687" s="136"/>
      <c r="P687" s="136"/>
      <c r="Q687" s="137"/>
      <c r="R687" s="138"/>
      <c r="S687" s="138"/>
      <c r="T687" s="139"/>
      <c r="U687" s="139"/>
      <c r="V687" s="139"/>
      <c r="W687" s="140"/>
      <c r="X687" s="141"/>
      <c r="Y687" s="140"/>
      <c r="Z687" s="142"/>
      <c r="AA687" s="139"/>
      <c r="AB687" s="139"/>
      <c r="AC687" s="140"/>
      <c r="AD687" s="140"/>
      <c r="AE687" s="140"/>
    </row>
    <row r="688">
      <c r="A688" s="130"/>
      <c r="B688" s="131"/>
      <c r="C688" s="131"/>
      <c r="D688" s="130"/>
      <c r="E688" s="132"/>
      <c r="F688" s="132"/>
      <c r="G688" s="133"/>
      <c r="H688" s="134"/>
      <c r="I688" s="134"/>
      <c r="J688" s="134"/>
      <c r="K688" s="134"/>
      <c r="L688" s="134"/>
      <c r="M688" s="134"/>
      <c r="N688" s="143"/>
      <c r="O688" s="136"/>
      <c r="P688" s="136"/>
      <c r="Q688" s="137"/>
      <c r="R688" s="138"/>
      <c r="S688" s="138"/>
      <c r="T688" s="139"/>
      <c r="U688" s="139"/>
      <c r="V688" s="139"/>
      <c r="W688" s="140"/>
      <c r="X688" s="141"/>
      <c r="Y688" s="140"/>
      <c r="Z688" s="142"/>
      <c r="AA688" s="139"/>
      <c r="AB688" s="139"/>
      <c r="AC688" s="140"/>
      <c r="AD688" s="140"/>
      <c r="AE688" s="140"/>
    </row>
    <row r="689">
      <c r="A689" s="130"/>
      <c r="B689" s="131"/>
      <c r="C689" s="131"/>
      <c r="D689" s="130"/>
      <c r="E689" s="132"/>
      <c r="F689" s="132"/>
      <c r="G689" s="133"/>
      <c r="H689" s="134"/>
      <c r="I689" s="134"/>
      <c r="J689" s="134"/>
      <c r="K689" s="134"/>
      <c r="L689" s="134"/>
      <c r="M689" s="134"/>
      <c r="N689" s="143"/>
      <c r="O689" s="136"/>
      <c r="P689" s="136"/>
      <c r="Q689" s="137"/>
      <c r="R689" s="138"/>
      <c r="S689" s="138"/>
      <c r="T689" s="139"/>
      <c r="U689" s="139"/>
      <c r="V689" s="139"/>
      <c r="W689" s="140"/>
      <c r="X689" s="141"/>
      <c r="Y689" s="140"/>
      <c r="Z689" s="142"/>
      <c r="AA689" s="139"/>
      <c r="AB689" s="139"/>
      <c r="AC689" s="140"/>
      <c r="AD689" s="140"/>
      <c r="AE689" s="140"/>
    </row>
    <row r="690">
      <c r="A690" s="130"/>
      <c r="B690" s="131"/>
      <c r="C690" s="131"/>
      <c r="D690" s="130"/>
      <c r="E690" s="132"/>
      <c r="F690" s="132"/>
      <c r="G690" s="133"/>
      <c r="H690" s="134"/>
      <c r="I690" s="134"/>
      <c r="J690" s="134"/>
      <c r="K690" s="134"/>
      <c r="L690" s="134"/>
      <c r="M690" s="134"/>
      <c r="N690" s="143"/>
      <c r="O690" s="136"/>
      <c r="P690" s="136"/>
      <c r="Q690" s="137"/>
      <c r="R690" s="138"/>
      <c r="S690" s="138"/>
      <c r="T690" s="139"/>
      <c r="U690" s="139"/>
      <c r="V690" s="139"/>
      <c r="W690" s="140"/>
      <c r="X690" s="141"/>
      <c r="Y690" s="140"/>
      <c r="Z690" s="142"/>
      <c r="AA690" s="139"/>
      <c r="AB690" s="139"/>
      <c r="AC690" s="140"/>
      <c r="AD690" s="140"/>
      <c r="AE690" s="140"/>
    </row>
    <row r="691">
      <c r="A691" s="130"/>
      <c r="B691" s="131"/>
      <c r="C691" s="131"/>
      <c r="D691" s="130"/>
      <c r="E691" s="132"/>
      <c r="F691" s="132"/>
      <c r="G691" s="133"/>
      <c r="H691" s="134"/>
      <c r="I691" s="134"/>
      <c r="J691" s="134"/>
      <c r="K691" s="134"/>
      <c r="L691" s="134"/>
      <c r="M691" s="134"/>
      <c r="N691" s="143"/>
      <c r="O691" s="136"/>
      <c r="P691" s="136"/>
      <c r="Q691" s="137"/>
      <c r="R691" s="138"/>
      <c r="S691" s="138"/>
      <c r="T691" s="139"/>
      <c r="U691" s="139"/>
      <c r="V691" s="139"/>
      <c r="W691" s="140"/>
      <c r="X691" s="141"/>
      <c r="Y691" s="140"/>
      <c r="Z691" s="142"/>
      <c r="AA691" s="139"/>
      <c r="AB691" s="139"/>
      <c r="AC691" s="140"/>
      <c r="AD691" s="140"/>
      <c r="AE691" s="140"/>
    </row>
    <row r="692">
      <c r="A692" s="130"/>
      <c r="B692" s="131"/>
      <c r="C692" s="131"/>
      <c r="D692" s="130"/>
      <c r="E692" s="132"/>
      <c r="F692" s="132"/>
      <c r="G692" s="133"/>
      <c r="H692" s="134"/>
      <c r="I692" s="134"/>
      <c r="J692" s="134"/>
      <c r="K692" s="134"/>
      <c r="L692" s="134"/>
      <c r="M692" s="134"/>
      <c r="N692" s="143"/>
      <c r="O692" s="136"/>
      <c r="P692" s="136"/>
      <c r="Q692" s="137"/>
      <c r="R692" s="138"/>
      <c r="S692" s="138"/>
      <c r="T692" s="139"/>
      <c r="U692" s="139"/>
      <c r="V692" s="139"/>
      <c r="W692" s="140"/>
      <c r="X692" s="141"/>
      <c r="Y692" s="140"/>
      <c r="Z692" s="142"/>
      <c r="AA692" s="139"/>
      <c r="AB692" s="139"/>
      <c r="AC692" s="140"/>
      <c r="AD692" s="140"/>
      <c r="AE692" s="140"/>
    </row>
    <row r="693">
      <c r="A693" s="130"/>
      <c r="B693" s="131"/>
      <c r="C693" s="131"/>
      <c r="D693" s="130"/>
      <c r="E693" s="132"/>
      <c r="F693" s="132"/>
      <c r="G693" s="133"/>
      <c r="H693" s="134"/>
      <c r="I693" s="134"/>
      <c r="J693" s="134"/>
      <c r="K693" s="134"/>
      <c r="L693" s="134"/>
      <c r="M693" s="134"/>
      <c r="N693" s="143"/>
      <c r="O693" s="136"/>
      <c r="P693" s="136"/>
      <c r="Q693" s="137"/>
      <c r="R693" s="138"/>
      <c r="S693" s="138"/>
      <c r="T693" s="139"/>
      <c r="U693" s="139"/>
      <c r="V693" s="139"/>
      <c r="W693" s="140"/>
      <c r="X693" s="141"/>
      <c r="Y693" s="140"/>
      <c r="Z693" s="142"/>
      <c r="AA693" s="139"/>
      <c r="AB693" s="139"/>
      <c r="AC693" s="140"/>
      <c r="AD693" s="140"/>
      <c r="AE693" s="140"/>
    </row>
    <row r="694">
      <c r="A694" s="130"/>
      <c r="B694" s="131"/>
      <c r="C694" s="131"/>
      <c r="D694" s="130"/>
      <c r="E694" s="132"/>
      <c r="F694" s="132"/>
      <c r="G694" s="133"/>
      <c r="H694" s="134"/>
      <c r="I694" s="134"/>
      <c r="J694" s="134"/>
      <c r="K694" s="134"/>
      <c r="L694" s="134"/>
      <c r="M694" s="134"/>
      <c r="N694" s="143"/>
      <c r="O694" s="136"/>
      <c r="P694" s="136"/>
      <c r="Q694" s="137"/>
      <c r="R694" s="138"/>
      <c r="S694" s="138"/>
      <c r="T694" s="139"/>
      <c r="U694" s="139"/>
      <c r="V694" s="139"/>
      <c r="W694" s="140"/>
      <c r="X694" s="141"/>
      <c r="Y694" s="140"/>
      <c r="Z694" s="142"/>
      <c r="AA694" s="139"/>
      <c r="AB694" s="139"/>
      <c r="AC694" s="140"/>
      <c r="AD694" s="140"/>
      <c r="AE694" s="140"/>
    </row>
    <row r="695">
      <c r="A695" s="130"/>
      <c r="B695" s="131"/>
      <c r="C695" s="131"/>
      <c r="D695" s="130"/>
      <c r="E695" s="132"/>
      <c r="F695" s="132"/>
      <c r="G695" s="133"/>
      <c r="H695" s="134"/>
      <c r="I695" s="134"/>
      <c r="J695" s="134"/>
      <c r="K695" s="134"/>
      <c r="L695" s="134"/>
      <c r="M695" s="134"/>
      <c r="N695" s="143"/>
      <c r="O695" s="136"/>
      <c r="P695" s="136"/>
      <c r="Q695" s="137"/>
      <c r="R695" s="138"/>
      <c r="S695" s="138"/>
      <c r="T695" s="139"/>
      <c r="U695" s="139"/>
      <c r="V695" s="139"/>
      <c r="W695" s="140"/>
      <c r="X695" s="141"/>
      <c r="Y695" s="140"/>
      <c r="Z695" s="142"/>
      <c r="AA695" s="139"/>
      <c r="AB695" s="139"/>
      <c r="AC695" s="140"/>
      <c r="AD695" s="140"/>
      <c r="AE695" s="140"/>
    </row>
    <row r="696">
      <c r="A696" s="130"/>
      <c r="B696" s="131"/>
      <c r="C696" s="131"/>
      <c r="D696" s="130"/>
      <c r="E696" s="132"/>
      <c r="F696" s="132"/>
      <c r="G696" s="133"/>
      <c r="H696" s="134"/>
      <c r="I696" s="134"/>
      <c r="J696" s="134"/>
      <c r="K696" s="134"/>
      <c r="L696" s="134"/>
      <c r="M696" s="134"/>
      <c r="N696" s="143"/>
      <c r="O696" s="136"/>
      <c r="P696" s="136"/>
      <c r="Q696" s="137"/>
      <c r="R696" s="138"/>
      <c r="S696" s="138"/>
      <c r="T696" s="139"/>
      <c r="U696" s="139"/>
      <c r="V696" s="139"/>
      <c r="W696" s="140"/>
      <c r="X696" s="141"/>
      <c r="Y696" s="140"/>
      <c r="Z696" s="142"/>
      <c r="AA696" s="139"/>
      <c r="AB696" s="139"/>
      <c r="AC696" s="140"/>
      <c r="AD696" s="140"/>
      <c r="AE696" s="140"/>
    </row>
    <row r="697">
      <c r="A697" s="130"/>
      <c r="B697" s="131"/>
      <c r="C697" s="131"/>
      <c r="D697" s="130"/>
      <c r="E697" s="132"/>
      <c r="F697" s="132"/>
      <c r="G697" s="133"/>
      <c r="H697" s="134"/>
      <c r="I697" s="134"/>
      <c r="J697" s="134"/>
      <c r="K697" s="134"/>
      <c r="L697" s="134"/>
      <c r="M697" s="134"/>
      <c r="N697" s="143"/>
      <c r="O697" s="136"/>
      <c r="P697" s="136"/>
      <c r="Q697" s="137"/>
      <c r="R697" s="138"/>
      <c r="S697" s="138"/>
      <c r="T697" s="139"/>
      <c r="U697" s="139"/>
      <c r="V697" s="139"/>
      <c r="W697" s="140"/>
      <c r="X697" s="141"/>
      <c r="Y697" s="140"/>
      <c r="Z697" s="142"/>
      <c r="AA697" s="139"/>
      <c r="AB697" s="139"/>
      <c r="AC697" s="140"/>
      <c r="AD697" s="140"/>
      <c r="AE697" s="140"/>
    </row>
    <row r="698">
      <c r="A698" s="130"/>
      <c r="B698" s="131"/>
      <c r="C698" s="131"/>
      <c r="D698" s="130"/>
      <c r="E698" s="132"/>
      <c r="F698" s="132"/>
      <c r="G698" s="133"/>
      <c r="H698" s="134"/>
      <c r="I698" s="134"/>
      <c r="J698" s="134"/>
      <c r="K698" s="134"/>
      <c r="L698" s="134"/>
      <c r="M698" s="134"/>
      <c r="N698" s="143"/>
      <c r="O698" s="136"/>
      <c r="P698" s="136"/>
      <c r="Q698" s="137"/>
      <c r="R698" s="138"/>
      <c r="S698" s="138"/>
      <c r="T698" s="139"/>
      <c r="U698" s="139"/>
      <c r="V698" s="139"/>
      <c r="W698" s="140"/>
      <c r="X698" s="141"/>
      <c r="Y698" s="140"/>
      <c r="Z698" s="142"/>
      <c r="AA698" s="139"/>
      <c r="AB698" s="139"/>
      <c r="AC698" s="140"/>
      <c r="AD698" s="140"/>
      <c r="AE698" s="140"/>
    </row>
    <row r="699">
      <c r="A699" s="130"/>
      <c r="B699" s="131"/>
      <c r="C699" s="131"/>
      <c r="D699" s="130"/>
      <c r="E699" s="132"/>
      <c r="F699" s="132"/>
      <c r="G699" s="133"/>
      <c r="H699" s="134"/>
      <c r="I699" s="134"/>
      <c r="J699" s="134"/>
      <c r="K699" s="134"/>
      <c r="L699" s="134"/>
      <c r="M699" s="134"/>
      <c r="N699" s="143"/>
      <c r="O699" s="136"/>
      <c r="P699" s="136"/>
      <c r="Q699" s="137"/>
      <c r="R699" s="138"/>
      <c r="S699" s="138"/>
      <c r="T699" s="139"/>
      <c r="U699" s="139"/>
      <c r="V699" s="139"/>
      <c r="W699" s="140"/>
      <c r="X699" s="141"/>
      <c r="Y699" s="140"/>
      <c r="Z699" s="142"/>
      <c r="AA699" s="139"/>
      <c r="AB699" s="139"/>
      <c r="AC699" s="140"/>
      <c r="AD699" s="140"/>
      <c r="AE699" s="140"/>
    </row>
    <row r="700">
      <c r="A700" s="130"/>
      <c r="B700" s="131"/>
      <c r="C700" s="131"/>
      <c r="D700" s="130"/>
      <c r="E700" s="132"/>
      <c r="F700" s="132"/>
      <c r="G700" s="133"/>
      <c r="H700" s="134"/>
      <c r="I700" s="134"/>
      <c r="J700" s="134"/>
      <c r="K700" s="134"/>
      <c r="L700" s="134"/>
      <c r="M700" s="134"/>
      <c r="N700" s="143"/>
      <c r="O700" s="136"/>
      <c r="P700" s="136"/>
      <c r="Q700" s="137"/>
      <c r="R700" s="138"/>
      <c r="S700" s="138"/>
      <c r="T700" s="139"/>
      <c r="U700" s="139"/>
      <c r="V700" s="139"/>
      <c r="W700" s="140"/>
      <c r="X700" s="141"/>
      <c r="Y700" s="140"/>
      <c r="Z700" s="142"/>
      <c r="AA700" s="139"/>
      <c r="AB700" s="139"/>
      <c r="AC700" s="140"/>
      <c r="AD700" s="140"/>
      <c r="AE700" s="140"/>
    </row>
    <row r="701">
      <c r="A701" s="130"/>
      <c r="B701" s="131"/>
      <c r="C701" s="131"/>
      <c r="D701" s="130"/>
      <c r="E701" s="132"/>
      <c r="F701" s="132"/>
      <c r="G701" s="133"/>
      <c r="H701" s="134"/>
      <c r="I701" s="134"/>
      <c r="J701" s="134"/>
      <c r="K701" s="134"/>
      <c r="L701" s="134"/>
      <c r="M701" s="134"/>
      <c r="N701" s="143"/>
      <c r="O701" s="136"/>
      <c r="P701" s="136"/>
      <c r="Q701" s="137"/>
      <c r="R701" s="138"/>
      <c r="S701" s="138"/>
      <c r="T701" s="139"/>
      <c r="U701" s="139"/>
      <c r="V701" s="139"/>
      <c r="W701" s="140"/>
      <c r="X701" s="141"/>
      <c r="Y701" s="140"/>
      <c r="Z701" s="142"/>
      <c r="AA701" s="139"/>
      <c r="AB701" s="139"/>
      <c r="AC701" s="140"/>
      <c r="AD701" s="140"/>
      <c r="AE701" s="140"/>
    </row>
    <row r="702">
      <c r="A702" s="130"/>
      <c r="B702" s="131"/>
      <c r="C702" s="131"/>
      <c r="D702" s="130"/>
      <c r="E702" s="132"/>
      <c r="F702" s="132"/>
      <c r="G702" s="133"/>
      <c r="H702" s="134"/>
      <c r="I702" s="134"/>
      <c r="J702" s="134"/>
      <c r="K702" s="134"/>
      <c r="L702" s="134"/>
      <c r="M702" s="134"/>
      <c r="N702" s="143"/>
      <c r="O702" s="136"/>
      <c r="P702" s="136"/>
      <c r="Q702" s="137"/>
      <c r="R702" s="138"/>
      <c r="S702" s="138"/>
      <c r="T702" s="139"/>
      <c r="U702" s="139"/>
      <c r="V702" s="139"/>
      <c r="W702" s="140"/>
      <c r="X702" s="141"/>
      <c r="Y702" s="140"/>
      <c r="Z702" s="142"/>
      <c r="AA702" s="139"/>
      <c r="AB702" s="139"/>
      <c r="AC702" s="140"/>
      <c r="AD702" s="140"/>
      <c r="AE702" s="140"/>
    </row>
    <row r="703">
      <c r="A703" s="130"/>
      <c r="B703" s="131"/>
      <c r="C703" s="131"/>
      <c r="D703" s="130"/>
      <c r="E703" s="132"/>
      <c r="F703" s="132"/>
      <c r="G703" s="133"/>
      <c r="H703" s="134"/>
      <c r="I703" s="134"/>
      <c r="J703" s="134"/>
      <c r="K703" s="134"/>
      <c r="L703" s="134"/>
      <c r="M703" s="134"/>
      <c r="N703" s="143"/>
      <c r="O703" s="136"/>
      <c r="P703" s="136"/>
      <c r="Q703" s="137"/>
      <c r="R703" s="138"/>
      <c r="S703" s="138"/>
      <c r="T703" s="139"/>
      <c r="U703" s="139"/>
      <c r="V703" s="139"/>
      <c r="W703" s="140"/>
      <c r="X703" s="141"/>
      <c r="Y703" s="140"/>
      <c r="Z703" s="142"/>
      <c r="AA703" s="139"/>
      <c r="AB703" s="139"/>
      <c r="AC703" s="140"/>
      <c r="AD703" s="140"/>
      <c r="AE703" s="140"/>
    </row>
    <row r="704">
      <c r="A704" s="130"/>
      <c r="B704" s="131"/>
      <c r="C704" s="131"/>
      <c r="D704" s="130"/>
      <c r="E704" s="132"/>
      <c r="F704" s="132"/>
      <c r="G704" s="133"/>
      <c r="H704" s="134"/>
      <c r="I704" s="134"/>
      <c r="J704" s="134"/>
      <c r="K704" s="134"/>
      <c r="L704" s="134"/>
      <c r="M704" s="134"/>
      <c r="N704" s="143"/>
      <c r="O704" s="136"/>
      <c r="P704" s="136"/>
      <c r="Q704" s="137"/>
      <c r="R704" s="138"/>
      <c r="S704" s="138"/>
      <c r="T704" s="139"/>
      <c r="U704" s="139"/>
      <c r="V704" s="139"/>
      <c r="W704" s="140"/>
      <c r="X704" s="141"/>
      <c r="Y704" s="140"/>
      <c r="Z704" s="142"/>
      <c r="AA704" s="139"/>
      <c r="AB704" s="139"/>
      <c r="AC704" s="140"/>
      <c r="AD704" s="140"/>
      <c r="AE704" s="140"/>
    </row>
    <row r="705">
      <c r="A705" s="130"/>
      <c r="B705" s="131"/>
      <c r="C705" s="131"/>
      <c r="D705" s="130"/>
      <c r="E705" s="132"/>
      <c r="F705" s="132"/>
      <c r="G705" s="133"/>
      <c r="H705" s="134"/>
      <c r="I705" s="134"/>
      <c r="J705" s="134"/>
      <c r="K705" s="134"/>
      <c r="L705" s="134"/>
      <c r="M705" s="134"/>
      <c r="N705" s="143"/>
      <c r="O705" s="136"/>
      <c r="P705" s="136"/>
      <c r="Q705" s="137"/>
      <c r="R705" s="138"/>
      <c r="S705" s="138"/>
      <c r="T705" s="139"/>
      <c r="U705" s="139"/>
      <c r="V705" s="139"/>
      <c r="W705" s="140"/>
      <c r="X705" s="141"/>
      <c r="Y705" s="140"/>
      <c r="Z705" s="142"/>
      <c r="AA705" s="139"/>
      <c r="AB705" s="139"/>
      <c r="AC705" s="140"/>
      <c r="AD705" s="140"/>
      <c r="AE705" s="140"/>
    </row>
    <row r="706">
      <c r="A706" s="130"/>
      <c r="B706" s="131"/>
      <c r="C706" s="131"/>
      <c r="D706" s="130"/>
      <c r="E706" s="132"/>
      <c r="F706" s="132"/>
      <c r="G706" s="133"/>
      <c r="H706" s="134"/>
      <c r="I706" s="134"/>
      <c r="J706" s="134"/>
      <c r="K706" s="134"/>
      <c r="L706" s="134"/>
      <c r="M706" s="134"/>
      <c r="N706" s="143"/>
      <c r="O706" s="136"/>
      <c r="P706" s="136"/>
      <c r="Q706" s="137"/>
      <c r="R706" s="138"/>
      <c r="S706" s="138"/>
      <c r="T706" s="139"/>
      <c r="U706" s="139"/>
      <c r="V706" s="139"/>
      <c r="W706" s="140"/>
      <c r="X706" s="141"/>
      <c r="Y706" s="140"/>
      <c r="Z706" s="142"/>
      <c r="AA706" s="139"/>
      <c r="AB706" s="139"/>
      <c r="AC706" s="140"/>
      <c r="AD706" s="140"/>
      <c r="AE706" s="140"/>
    </row>
    <row r="707">
      <c r="A707" s="130"/>
      <c r="B707" s="131"/>
      <c r="C707" s="131"/>
      <c r="D707" s="130"/>
      <c r="E707" s="132"/>
      <c r="F707" s="132"/>
      <c r="G707" s="133"/>
      <c r="H707" s="134"/>
      <c r="I707" s="134"/>
      <c r="J707" s="134"/>
      <c r="K707" s="134"/>
      <c r="L707" s="134"/>
      <c r="M707" s="134"/>
      <c r="N707" s="143"/>
      <c r="O707" s="136"/>
      <c r="P707" s="136"/>
      <c r="Q707" s="137"/>
      <c r="R707" s="138"/>
      <c r="S707" s="138"/>
      <c r="T707" s="139"/>
      <c r="U707" s="139"/>
      <c r="V707" s="139"/>
      <c r="W707" s="140"/>
      <c r="X707" s="141"/>
      <c r="Y707" s="140"/>
      <c r="Z707" s="142"/>
      <c r="AA707" s="139"/>
      <c r="AB707" s="139"/>
      <c r="AC707" s="140"/>
      <c r="AD707" s="140"/>
      <c r="AE707" s="140"/>
    </row>
    <row r="708">
      <c r="A708" s="130"/>
      <c r="B708" s="131"/>
      <c r="C708" s="131"/>
      <c r="D708" s="130"/>
      <c r="E708" s="132"/>
      <c r="F708" s="132"/>
      <c r="G708" s="133"/>
      <c r="H708" s="134"/>
      <c r="I708" s="134"/>
      <c r="J708" s="134"/>
      <c r="K708" s="134"/>
      <c r="L708" s="134"/>
      <c r="M708" s="134"/>
      <c r="N708" s="143"/>
      <c r="O708" s="136"/>
      <c r="P708" s="136"/>
      <c r="Q708" s="137"/>
      <c r="R708" s="138"/>
      <c r="S708" s="138"/>
      <c r="T708" s="139"/>
      <c r="U708" s="139"/>
      <c r="V708" s="139"/>
      <c r="W708" s="140"/>
      <c r="X708" s="141"/>
      <c r="Y708" s="140"/>
      <c r="Z708" s="142"/>
      <c r="AA708" s="139"/>
      <c r="AB708" s="139"/>
      <c r="AC708" s="140"/>
      <c r="AD708" s="140"/>
      <c r="AE708" s="140"/>
    </row>
    <row r="709">
      <c r="A709" s="130"/>
      <c r="B709" s="131"/>
      <c r="C709" s="131"/>
      <c r="D709" s="130"/>
      <c r="E709" s="132"/>
      <c r="F709" s="132"/>
      <c r="G709" s="133"/>
      <c r="H709" s="134"/>
      <c r="I709" s="134"/>
      <c r="J709" s="134"/>
      <c r="K709" s="134"/>
      <c r="L709" s="134"/>
      <c r="M709" s="134"/>
      <c r="N709" s="143"/>
      <c r="O709" s="136"/>
      <c r="P709" s="136"/>
      <c r="Q709" s="137"/>
      <c r="R709" s="138"/>
      <c r="S709" s="138"/>
      <c r="T709" s="139"/>
      <c r="U709" s="139"/>
      <c r="V709" s="139"/>
      <c r="W709" s="140"/>
      <c r="X709" s="141"/>
      <c r="Y709" s="140"/>
      <c r="Z709" s="142"/>
      <c r="AA709" s="139"/>
      <c r="AB709" s="139"/>
      <c r="AC709" s="140"/>
      <c r="AD709" s="140"/>
      <c r="AE709" s="140"/>
    </row>
    <row r="710">
      <c r="A710" s="130"/>
      <c r="B710" s="131"/>
      <c r="C710" s="131"/>
      <c r="D710" s="130"/>
      <c r="E710" s="132"/>
      <c r="F710" s="132"/>
      <c r="G710" s="133"/>
      <c r="H710" s="134"/>
      <c r="I710" s="134"/>
      <c r="J710" s="134"/>
      <c r="K710" s="134"/>
      <c r="L710" s="134"/>
      <c r="M710" s="134"/>
      <c r="N710" s="143"/>
      <c r="O710" s="136"/>
      <c r="P710" s="136"/>
      <c r="Q710" s="137"/>
      <c r="R710" s="138"/>
      <c r="S710" s="138"/>
      <c r="T710" s="139"/>
      <c r="U710" s="139"/>
      <c r="V710" s="139"/>
      <c r="W710" s="140"/>
      <c r="X710" s="141"/>
      <c r="Y710" s="140"/>
      <c r="Z710" s="142"/>
      <c r="AA710" s="139"/>
      <c r="AB710" s="139"/>
      <c r="AC710" s="140"/>
      <c r="AD710" s="140"/>
      <c r="AE710" s="140"/>
    </row>
    <row r="711">
      <c r="A711" s="130"/>
      <c r="B711" s="131"/>
      <c r="C711" s="131"/>
      <c r="D711" s="130"/>
      <c r="E711" s="132"/>
      <c r="F711" s="132"/>
      <c r="G711" s="133"/>
      <c r="H711" s="134"/>
      <c r="I711" s="134"/>
      <c r="J711" s="134"/>
      <c r="K711" s="134"/>
      <c r="L711" s="134"/>
      <c r="M711" s="134"/>
      <c r="N711" s="143"/>
      <c r="O711" s="136"/>
      <c r="P711" s="136"/>
      <c r="Q711" s="137"/>
      <c r="R711" s="138"/>
      <c r="S711" s="138"/>
      <c r="T711" s="139"/>
      <c r="U711" s="139"/>
      <c r="V711" s="139"/>
      <c r="W711" s="140"/>
      <c r="X711" s="141"/>
      <c r="Y711" s="140"/>
      <c r="Z711" s="142"/>
      <c r="AA711" s="139"/>
      <c r="AB711" s="139"/>
      <c r="AC711" s="140"/>
      <c r="AD711" s="140"/>
      <c r="AE711" s="140"/>
    </row>
    <row r="712">
      <c r="A712" s="130"/>
      <c r="B712" s="131"/>
      <c r="C712" s="131"/>
      <c r="D712" s="130"/>
      <c r="E712" s="132"/>
      <c r="F712" s="132"/>
      <c r="G712" s="133"/>
      <c r="H712" s="134"/>
      <c r="I712" s="134"/>
      <c r="J712" s="134"/>
      <c r="K712" s="134"/>
      <c r="L712" s="134"/>
      <c r="M712" s="134"/>
      <c r="N712" s="143"/>
      <c r="O712" s="136"/>
      <c r="P712" s="136"/>
      <c r="Q712" s="137"/>
      <c r="R712" s="138"/>
      <c r="S712" s="138"/>
      <c r="T712" s="139"/>
      <c r="U712" s="139"/>
      <c r="V712" s="139"/>
      <c r="W712" s="140"/>
      <c r="X712" s="141"/>
      <c r="Y712" s="140"/>
      <c r="Z712" s="142"/>
      <c r="AA712" s="139"/>
      <c r="AB712" s="139"/>
      <c r="AC712" s="140"/>
      <c r="AD712" s="140"/>
      <c r="AE712" s="140"/>
    </row>
    <row r="713">
      <c r="A713" s="130"/>
      <c r="B713" s="131"/>
      <c r="C713" s="131"/>
      <c r="D713" s="130"/>
      <c r="E713" s="132"/>
      <c r="F713" s="132"/>
      <c r="G713" s="133"/>
      <c r="H713" s="134"/>
      <c r="I713" s="134"/>
      <c r="J713" s="134"/>
      <c r="K713" s="134"/>
      <c r="L713" s="134"/>
      <c r="M713" s="134"/>
      <c r="N713" s="143"/>
      <c r="O713" s="136"/>
      <c r="P713" s="136"/>
      <c r="Q713" s="137"/>
      <c r="R713" s="138"/>
      <c r="S713" s="138"/>
      <c r="T713" s="139"/>
      <c r="U713" s="139"/>
      <c r="V713" s="139"/>
      <c r="W713" s="140"/>
      <c r="X713" s="141"/>
      <c r="Y713" s="140"/>
      <c r="Z713" s="142"/>
      <c r="AA713" s="139"/>
      <c r="AB713" s="139"/>
      <c r="AC713" s="140"/>
      <c r="AD713" s="140"/>
      <c r="AE713" s="140"/>
    </row>
    <row r="714">
      <c r="A714" s="130"/>
      <c r="B714" s="131"/>
      <c r="C714" s="131"/>
      <c r="D714" s="130"/>
      <c r="E714" s="132"/>
      <c r="F714" s="132"/>
      <c r="G714" s="133"/>
      <c r="H714" s="134"/>
      <c r="I714" s="134"/>
      <c r="J714" s="134"/>
      <c r="K714" s="134"/>
      <c r="L714" s="134"/>
      <c r="M714" s="134"/>
      <c r="N714" s="143"/>
      <c r="O714" s="136"/>
      <c r="P714" s="136"/>
      <c r="Q714" s="137"/>
      <c r="R714" s="138"/>
      <c r="S714" s="138"/>
      <c r="T714" s="139"/>
      <c r="U714" s="139"/>
      <c r="V714" s="139"/>
      <c r="W714" s="140"/>
      <c r="X714" s="141"/>
      <c r="Y714" s="140"/>
      <c r="Z714" s="142"/>
      <c r="AA714" s="139"/>
      <c r="AB714" s="139"/>
      <c r="AC714" s="140"/>
      <c r="AD714" s="140"/>
      <c r="AE714" s="140"/>
    </row>
    <row r="715">
      <c r="A715" s="130"/>
      <c r="B715" s="131"/>
      <c r="C715" s="131"/>
      <c r="D715" s="130"/>
      <c r="E715" s="132"/>
      <c r="F715" s="132"/>
      <c r="G715" s="133"/>
      <c r="H715" s="134"/>
      <c r="I715" s="134"/>
      <c r="J715" s="134"/>
      <c r="K715" s="134"/>
      <c r="L715" s="134"/>
      <c r="M715" s="134"/>
      <c r="N715" s="143"/>
      <c r="O715" s="136"/>
      <c r="P715" s="136"/>
      <c r="Q715" s="137"/>
      <c r="R715" s="138"/>
      <c r="S715" s="138"/>
      <c r="T715" s="139"/>
      <c r="U715" s="139"/>
      <c r="V715" s="139"/>
      <c r="W715" s="140"/>
      <c r="X715" s="141"/>
      <c r="Y715" s="140"/>
      <c r="Z715" s="142"/>
      <c r="AA715" s="139"/>
      <c r="AB715" s="139"/>
      <c r="AC715" s="140"/>
      <c r="AD715" s="140"/>
      <c r="AE715" s="140"/>
    </row>
    <row r="716">
      <c r="A716" s="130"/>
      <c r="B716" s="131"/>
      <c r="C716" s="131"/>
      <c r="D716" s="130"/>
      <c r="E716" s="132"/>
      <c r="F716" s="132"/>
      <c r="G716" s="133"/>
      <c r="H716" s="134"/>
      <c r="I716" s="134"/>
      <c r="J716" s="134"/>
      <c r="K716" s="134"/>
      <c r="L716" s="134"/>
      <c r="M716" s="134"/>
      <c r="N716" s="143"/>
      <c r="O716" s="136"/>
      <c r="P716" s="136"/>
      <c r="Q716" s="137"/>
      <c r="R716" s="138"/>
      <c r="S716" s="138"/>
      <c r="T716" s="139"/>
      <c r="U716" s="139"/>
      <c r="V716" s="139"/>
      <c r="W716" s="140"/>
      <c r="X716" s="141"/>
      <c r="Y716" s="140"/>
      <c r="Z716" s="142"/>
      <c r="AA716" s="139"/>
      <c r="AB716" s="139"/>
      <c r="AC716" s="140"/>
      <c r="AD716" s="140"/>
      <c r="AE716" s="140"/>
    </row>
    <row r="717">
      <c r="A717" s="130"/>
      <c r="B717" s="131"/>
      <c r="C717" s="131"/>
      <c r="D717" s="130"/>
      <c r="E717" s="132"/>
      <c r="F717" s="132"/>
      <c r="G717" s="133"/>
      <c r="H717" s="134"/>
      <c r="I717" s="134"/>
      <c r="J717" s="134"/>
      <c r="K717" s="134"/>
      <c r="L717" s="134"/>
      <c r="M717" s="134"/>
      <c r="N717" s="143"/>
      <c r="O717" s="136"/>
      <c r="P717" s="136"/>
      <c r="Q717" s="137"/>
      <c r="R717" s="138"/>
      <c r="S717" s="138"/>
      <c r="T717" s="139"/>
      <c r="U717" s="139"/>
      <c r="V717" s="139"/>
      <c r="W717" s="140"/>
      <c r="X717" s="141"/>
      <c r="Y717" s="140"/>
      <c r="Z717" s="142"/>
      <c r="AA717" s="139"/>
      <c r="AB717" s="139"/>
      <c r="AC717" s="140"/>
      <c r="AD717" s="140"/>
      <c r="AE717" s="140"/>
    </row>
    <row r="718">
      <c r="A718" s="130"/>
      <c r="B718" s="131"/>
      <c r="C718" s="131"/>
      <c r="D718" s="130"/>
      <c r="E718" s="132"/>
      <c r="F718" s="132"/>
      <c r="G718" s="133"/>
      <c r="H718" s="134"/>
      <c r="I718" s="134"/>
      <c r="J718" s="134"/>
      <c r="K718" s="134"/>
      <c r="L718" s="134"/>
      <c r="M718" s="134"/>
      <c r="N718" s="143"/>
      <c r="O718" s="136"/>
      <c r="P718" s="136"/>
      <c r="Q718" s="137"/>
      <c r="R718" s="138"/>
      <c r="S718" s="138"/>
      <c r="T718" s="139"/>
      <c r="U718" s="139"/>
      <c r="V718" s="139"/>
      <c r="W718" s="140"/>
      <c r="X718" s="141"/>
      <c r="Y718" s="140"/>
      <c r="Z718" s="142"/>
      <c r="AA718" s="139"/>
      <c r="AB718" s="139"/>
      <c r="AC718" s="140"/>
      <c r="AD718" s="140"/>
      <c r="AE718" s="140"/>
    </row>
    <row r="719">
      <c r="A719" s="130"/>
      <c r="B719" s="131"/>
      <c r="C719" s="131"/>
      <c r="D719" s="130"/>
      <c r="E719" s="132"/>
      <c r="F719" s="132"/>
      <c r="G719" s="133"/>
      <c r="H719" s="134"/>
      <c r="I719" s="134"/>
      <c r="J719" s="134"/>
      <c r="K719" s="134"/>
      <c r="L719" s="134"/>
      <c r="M719" s="134"/>
      <c r="N719" s="143"/>
      <c r="O719" s="136"/>
      <c r="P719" s="136"/>
      <c r="Q719" s="137"/>
      <c r="R719" s="138"/>
      <c r="S719" s="138"/>
      <c r="T719" s="139"/>
      <c r="U719" s="139"/>
      <c r="V719" s="139"/>
      <c r="W719" s="140"/>
      <c r="X719" s="141"/>
      <c r="Y719" s="140"/>
      <c r="Z719" s="142"/>
      <c r="AA719" s="139"/>
      <c r="AB719" s="139"/>
      <c r="AC719" s="140"/>
      <c r="AD719" s="140"/>
      <c r="AE719" s="140"/>
    </row>
    <row r="720">
      <c r="A720" s="130"/>
      <c r="B720" s="131"/>
      <c r="C720" s="131"/>
      <c r="D720" s="130"/>
      <c r="E720" s="132"/>
      <c r="F720" s="132"/>
      <c r="G720" s="133"/>
      <c r="H720" s="134"/>
      <c r="I720" s="134"/>
      <c r="J720" s="134"/>
      <c r="K720" s="134"/>
      <c r="L720" s="134"/>
      <c r="M720" s="134"/>
      <c r="N720" s="143"/>
      <c r="O720" s="136"/>
      <c r="P720" s="136"/>
      <c r="Q720" s="137"/>
      <c r="R720" s="138"/>
      <c r="S720" s="138"/>
      <c r="T720" s="139"/>
      <c r="U720" s="139"/>
      <c r="V720" s="139"/>
      <c r="W720" s="140"/>
      <c r="X720" s="141"/>
      <c r="Y720" s="140"/>
      <c r="Z720" s="142"/>
      <c r="AA720" s="139"/>
      <c r="AB720" s="139"/>
      <c r="AC720" s="140"/>
      <c r="AD720" s="140"/>
      <c r="AE720" s="140"/>
    </row>
    <row r="721">
      <c r="A721" s="130"/>
      <c r="B721" s="131"/>
      <c r="C721" s="131"/>
      <c r="D721" s="130"/>
      <c r="E721" s="132"/>
      <c r="F721" s="132"/>
      <c r="G721" s="133"/>
      <c r="H721" s="134"/>
      <c r="I721" s="134"/>
      <c r="J721" s="134"/>
      <c r="K721" s="134"/>
      <c r="L721" s="134"/>
      <c r="M721" s="134"/>
      <c r="N721" s="143"/>
      <c r="O721" s="136"/>
      <c r="P721" s="136"/>
      <c r="Q721" s="137"/>
      <c r="R721" s="138"/>
      <c r="S721" s="138"/>
      <c r="T721" s="139"/>
      <c r="U721" s="139"/>
      <c r="V721" s="139"/>
      <c r="W721" s="140"/>
      <c r="X721" s="141"/>
      <c r="Y721" s="140"/>
      <c r="Z721" s="142"/>
      <c r="AA721" s="139"/>
      <c r="AB721" s="139"/>
      <c r="AC721" s="140"/>
      <c r="AD721" s="140"/>
      <c r="AE721" s="140"/>
    </row>
    <row r="722">
      <c r="A722" s="130"/>
      <c r="B722" s="131"/>
      <c r="C722" s="131"/>
      <c r="D722" s="130"/>
      <c r="E722" s="132"/>
      <c r="F722" s="132"/>
      <c r="G722" s="133"/>
      <c r="H722" s="134"/>
      <c r="I722" s="134"/>
      <c r="J722" s="134"/>
      <c r="K722" s="134"/>
      <c r="L722" s="134"/>
      <c r="M722" s="134"/>
      <c r="N722" s="143"/>
      <c r="O722" s="136"/>
      <c r="P722" s="136"/>
      <c r="Q722" s="137"/>
      <c r="R722" s="138"/>
      <c r="S722" s="138"/>
      <c r="T722" s="139"/>
      <c r="U722" s="139"/>
      <c r="V722" s="139"/>
      <c r="W722" s="140"/>
      <c r="X722" s="141"/>
      <c r="Y722" s="140"/>
      <c r="Z722" s="142"/>
      <c r="AA722" s="139"/>
      <c r="AB722" s="139"/>
      <c r="AC722" s="140"/>
      <c r="AD722" s="140"/>
      <c r="AE722" s="140"/>
    </row>
    <row r="723">
      <c r="A723" s="130"/>
      <c r="B723" s="131"/>
      <c r="C723" s="131"/>
      <c r="D723" s="130"/>
      <c r="E723" s="132"/>
      <c r="F723" s="132"/>
      <c r="G723" s="133"/>
      <c r="H723" s="134"/>
      <c r="I723" s="134"/>
      <c r="J723" s="134"/>
      <c r="K723" s="134"/>
      <c r="L723" s="134"/>
      <c r="M723" s="134"/>
      <c r="N723" s="143"/>
      <c r="O723" s="136"/>
      <c r="P723" s="136"/>
      <c r="Q723" s="137"/>
      <c r="R723" s="138"/>
      <c r="S723" s="138"/>
      <c r="T723" s="139"/>
      <c r="U723" s="139"/>
      <c r="V723" s="139"/>
      <c r="W723" s="140"/>
      <c r="X723" s="141"/>
      <c r="Y723" s="140"/>
      <c r="Z723" s="142"/>
      <c r="AA723" s="139"/>
      <c r="AB723" s="139"/>
      <c r="AC723" s="140"/>
      <c r="AD723" s="140"/>
      <c r="AE723" s="140"/>
    </row>
    <row r="724">
      <c r="A724" s="130"/>
      <c r="B724" s="131"/>
      <c r="C724" s="131"/>
      <c r="D724" s="130"/>
      <c r="E724" s="132"/>
      <c r="F724" s="132"/>
      <c r="G724" s="133"/>
      <c r="H724" s="134"/>
      <c r="I724" s="134"/>
      <c r="J724" s="134"/>
      <c r="K724" s="134"/>
      <c r="L724" s="134"/>
      <c r="M724" s="134"/>
      <c r="N724" s="143"/>
      <c r="O724" s="136"/>
      <c r="P724" s="136"/>
      <c r="Q724" s="137"/>
      <c r="R724" s="138"/>
      <c r="S724" s="138"/>
      <c r="T724" s="139"/>
      <c r="U724" s="139"/>
      <c r="V724" s="139"/>
      <c r="W724" s="140"/>
      <c r="X724" s="141"/>
      <c r="Y724" s="140"/>
      <c r="Z724" s="142"/>
      <c r="AA724" s="139"/>
      <c r="AB724" s="139"/>
      <c r="AC724" s="140"/>
      <c r="AD724" s="140"/>
      <c r="AE724" s="140"/>
    </row>
    <row r="725">
      <c r="A725" s="130"/>
      <c r="B725" s="131"/>
      <c r="C725" s="131"/>
      <c r="D725" s="130"/>
      <c r="E725" s="132"/>
      <c r="F725" s="132"/>
      <c r="G725" s="133"/>
      <c r="H725" s="134"/>
      <c r="I725" s="134"/>
      <c r="J725" s="134"/>
      <c r="K725" s="134"/>
      <c r="L725" s="134"/>
      <c r="M725" s="134"/>
      <c r="N725" s="143"/>
      <c r="O725" s="136"/>
      <c r="P725" s="136"/>
      <c r="Q725" s="137"/>
      <c r="R725" s="138"/>
      <c r="S725" s="138"/>
      <c r="T725" s="139"/>
      <c r="U725" s="139"/>
      <c r="V725" s="139"/>
      <c r="W725" s="140"/>
      <c r="X725" s="141"/>
      <c r="Y725" s="140"/>
      <c r="Z725" s="142"/>
      <c r="AA725" s="139"/>
      <c r="AB725" s="139"/>
      <c r="AC725" s="140"/>
      <c r="AD725" s="140"/>
      <c r="AE725" s="140"/>
    </row>
    <row r="726">
      <c r="A726" s="130"/>
      <c r="B726" s="131"/>
      <c r="C726" s="131"/>
      <c r="D726" s="130"/>
      <c r="E726" s="132"/>
      <c r="F726" s="132"/>
      <c r="G726" s="133"/>
      <c r="H726" s="134"/>
      <c r="I726" s="134"/>
      <c r="J726" s="134"/>
      <c r="K726" s="134"/>
      <c r="L726" s="134"/>
      <c r="M726" s="134"/>
      <c r="N726" s="143"/>
      <c r="O726" s="136"/>
      <c r="P726" s="136"/>
      <c r="Q726" s="137"/>
      <c r="R726" s="138"/>
      <c r="S726" s="138"/>
      <c r="T726" s="139"/>
      <c r="U726" s="139"/>
      <c r="V726" s="139"/>
      <c r="W726" s="140"/>
      <c r="X726" s="141"/>
      <c r="Y726" s="140"/>
      <c r="Z726" s="142"/>
      <c r="AA726" s="139"/>
      <c r="AB726" s="139"/>
      <c r="AC726" s="140"/>
      <c r="AD726" s="140"/>
      <c r="AE726" s="140"/>
    </row>
    <row r="727">
      <c r="A727" s="130"/>
      <c r="B727" s="131"/>
      <c r="C727" s="131"/>
      <c r="D727" s="130"/>
      <c r="E727" s="132"/>
      <c r="F727" s="132"/>
      <c r="G727" s="133"/>
      <c r="H727" s="134"/>
      <c r="I727" s="134"/>
      <c r="J727" s="134"/>
      <c r="K727" s="134"/>
      <c r="L727" s="134"/>
      <c r="M727" s="134"/>
      <c r="N727" s="143"/>
      <c r="O727" s="136"/>
      <c r="P727" s="136"/>
      <c r="Q727" s="137"/>
      <c r="R727" s="138"/>
      <c r="S727" s="138"/>
      <c r="T727" s="139"/>
      <c r="U727" s="139"/>
      <c r="V727" s="139"/>
      <c r="W727" s="140"/>
      <c r="X727" s="141"/>
      <c r="Y727" s="140"/>
      <c r="Z727" s="142"/>
      <c r="AA727" s="139"/>
      <c r="AB727" s="139"/>
      <c r="AC727" s="140"/>
      <c r="AD727" s="140"/>
      <c r="AE727" s="140"/>
    </row>
    <row r="728">
      <c r="A728" s="130"/>
      <c r="B728" s="131"/>
      <c r="C728" s="131"/>
      <c r="D728" s="130"/>
      <c r="E728" s="132"/>
      <c r="F728" s="132"/>
      <c r="G728" s="133"/>
      <c r="H728" s="134"/>
      <c r="I728" s="134"/>
      <c r="J728" s="134"/>
      <c r="K728" s="134"/>
      <c r="L728" s="134"/>
      <c r="M728" s="134"/>
      <c r="N728" s="143"/>
      <c r="O728" s="136"/>
      <c r="P728" s="136"/>
      <c r="Q728" s="137"/>
      <c r="R728" s="138"/>
      <c r="S728" s="138"/>
      <c r="T728" s="139"/>
      <c r="U728" s="139"/>
      <c r="V728" s="139"/>
      <c r="W728" s="140"/>
      <c r="X728" s="141"/>
      <c r="Y728" s="140"/>
      <c r="Z728" s="142"/>
      <c r="AA728" s="139"/>
      <c r="AB728" s="139"/>
      <c r="AC728" s="140"/>
      <c r="AD728" s="140"/>
      <c r="AE728" s="140"/>
    </row>
    <row r="729">
      <c r="A729" s="130"/>
      <c r="B729" s="131"/>
      <c r="C729" s="131"/>
      <c r="D729" s="130"/>
      <c r="E729" s="132"/>
      <c r="F729" s="132"/>
      <c r="G729" s="133"/>
      <c r="H729" s="134"/>
      <c r="I729" s="134"/>
      <c r="J729" s="134"/>
      <c r="K729" s="134"/>
      <c r="L729" s="134"/>
      <c r="M729" s="134"/>
      <c r="N729" s="143"/>
      <c r="O729" s="136"/>
      <c r="P729" s="136"/>
      <c r="Q729" s="137"/>
      <c r="R729" s="138"/>
      <c r="S729" s="138"/>
      <c r="T729" s="139"/>
      <c r="U729" s="139"/>
      <c r="V729" s="139"/>
      <c r="W729" s="140"/>
      <c r="X729" s="141"/>
      <c r="Y729" s="140"/>
      <c r="Z729" s="142"/>
      <c r="AA729" s="139"/>
      <c r="AB729" s="139"/>
      <c r="AC729" s="140"/>
      <c r="AD729" s="140"/>
      <c r="AE729" s="140"/>
    </row>
    <row r="730">
      <c r="A730" s="130"/>
      <c r="B730" s="131"/>
      <c r="C730" s="131"/>
      <c r="D730" s="130"/>
      <c r="E730" s="132"/>
      <c r="F730" s="132"/>
      <c r="G730" s="133"/>
      <c r="H730" s="134"/>
      <c r="I730" s="134"/>
      <c r="J730" s="134"/>
      <c r="K730" s="134"/>
      <c r="L730" s="134"/>
      <c r="M730" s="134"/>
      <c r="N730" s="143"/>
      <c r="O730" s="136"/>
      <c r="P730" s="136"/>
      <c r="Q730" s="137"/>
      <c r="R730" s="138"/>
      <c r="S730" s="138"/>
      <c r="T730" s="139"/>
      <c r="U730" s="139"/>
      <c r="V730" s="139"/>
      <c r="W730" s="140"/>
      <c r="X730" s="141"/>
      <c r="Y730" s="140"/>
      <c r="Z730" s="142"/>
      <c r="AA730" s="139"/>
      <c r="AB730" s="139"/>
      <c r="AC730" s="140"/>
      <c r="AD730" s="140"/>
      <c r="AE730" s="140"/>
    </row>
    <row r="731">
      <c r="A731" s="130"/>
      <c r="B731" s="131"/>
      <c r="C731" s="131"/>
      <c r="D731" s="130"/>
      <c r="E731" s="132"/>
      <c r="F731" s="132"/>
      <c r="G731" s="133"/>
      <c r="H731" s="134"/>
      <c r="I731" s="134"/>
      <c r="J731" s="134"/>
      <c r="K731" s="134"/>
      <c r="L731" s="134"/>
      <c r="M731" s="134"/>
      <c r="N731" s="143"/>
      <c r="O731" s="136"/>
      <c r="P731" s="136"/>
      <c r="Q731" s="137"/>
      <c r="R731" s="138"/>
      <c r="S731" s="138"/>
      <c r="T731" s="139"/>
      <c r="U731" s="139"/>
      <c r="V731" s="139"/>
      <c r="W731" s="140"/>
      <c r="X731" s="141"/>
      <c r="Y731" s="140"/>
      <c r="Z731" s="142"/>
      <c r="AA731" s="139"/>
      <c r="AB731" s="139"/>
      <c r="AC731" s="140"/>
      <c r="AD731" s="140"/>
      <c r="AE731" s="140"/>
    </row>
    <row r="732">
      <c r="A732" s="130"/>
      <c r="B732" s="131"/>
      <c r="C732" s="131"/>
      <c r="D732" s="130"/>
      <c r="E732" s="132"/>
      <c r="F732" s="132"/>
      <c r="G732" s="133"/>
      <c r="H732" s="134"/>
      <c r="I732" s="134"/>
      <c r="J732" s="134"/>
      <c r="K732" s="134"/>
      <c r="L732" s="134"/>
      <c r="M732" s="134"/>
      <c r="N732" s="143"/>
      <c r="O732" s="136"/>
      <c r="P732" s="136"/>
      <c r="Q732" s="137"/>
      <c r="R732" s="138"/>
      <c r="S732" s="138"/>
      <c r="T732" s="139"/>
      <c r="U732" s="139"/>
      <c r="V732" s="139"/>
      <c r="W732" s="140"/>
      <c r="X732" s="141"/>
      <c r="Y732" s="140"/>
      <c r="Z732" s="142"/>
      <c r="AA732" s="139"/>
      <c r="AB732" s="139"/>
      <c r="AC732" s="140"/>
      <c r="AD732" s="140"/>
      <c r="AE732" s="140"/>
    </row>
    <row r="733">
      <c r="A733" s="130"/>
      <c r="B733" s="131"/>
      <c r="C733" s="131"/>
      <c r="D733" s="130"/>
      <c r="E733" s="132"/>
      <c r="F733" s="132"/>
      <c r="G733" s="133"/>
      <c r="H733" s="134"/>
      <c r="I733" s="134"/>
      <c r="J733" s="134"/>
      <c r="K733" s="134"/>
      <c r="L733" s="134"/>
      <c r="M733" s="134"/>
      <c r="N733" s="143"/>
      <c r="O733" s="136"/>
      <c r="P733" s="136"/>
      <c r="Q733" s="137"/>
      <c r="R733" s="138"/>
      <c r="S733" s="138"/>
      <c r="T733" s="139"/>
      <c r="U733" s="139"/>
      <c r="V733" s="139"/>
      <c r="W733" s="140"/>
      <c r="X733" s="141"/>
      <c r="Y733" s="140"/>
      <c r="Z733" s="142"/>
      <c r="AA733" s="139"/>
      <c r="AB733" s="139"/>
      <c r="AC733" s="140"/>
      <c r="AD733" s="140"/>
      <c r="AE733" s="140"/>
    </row>
    <row r="734">
      <c r="A734" s="130"/>
      <c r="B734" s="131"/>
      <c r="C734" s="131"/>
      <c r="D734" s="130"/>
      <c r="E734" s="132"/>
      <c r="F734" s="132"/>
      <c r="G734" s="133"/>
      <c r="H734" s="134"/>
      <c r="I734" s="134"/>
      <c r="J734" s="134"/>
      <c r="K734" s="134"/>
      <c r="L734" s="134"/>
      <c r="M734" s="134"/>
      <c r="N734" s="143"/>
      <c r="O734" s="136"/>
      <c r="P734" s="136"/>
      <c r="Q734" s="137"/>
      <c r="R734" s="138"/>
      <c r="S734" s="138"/>
      <c r="T734" s="139"/>
      <c r="U734" s="139"/>
      <c r="V734" s="139"/>
      <c r="W734" s="140"/>
      <c r="X734" s="141"/>
      <c r="Y734" s="140"/>
      <c r="Z734" s="142"/>
      <c r="AA734" s="139"/>
      <c r="AB734" s="139"/>
      <c r="AC734" s="140"/>
      <c r="AD734" s="140"/>
      <c r="AE734" s="140"/>
    </row>
    <row r="735">
      <c r="A735" s="130"/>
      <c r="B735" s="131"/>
      <c r="C735" s="131"/>
      <c r="D735" s="130"/>
      <c r="E735" s="132"/>
      <c r="F735" s="132"/>
      <c r="G735" s="133"/>
      <c r="H735" s="134"/>
      <c r="I735" s="134"/>
      <c r="J735" s="134"/>
      <c r="K735" s="134"/>
      <c r="L735" s="134"/>
      <c r="M735" s="134"/>
      <c r="N735" s="143"/>
      <c r="O735" s="136"/>
      <c r="P735" s="136"/>
      <c r="Q735" s="137"/>
      <c r="R735" s="138"/>
      <c r="S735" s="138"/>
      <c r="T735" s="139"/>
      <c r="U735" s="139"/>
      <c r="V735" s="139"/>
      <c r="W735" s="140"/>
      <c r="X735" s="141"/>
      <c r="Y735" s="140"/>
      <c r="Z735" s="142"/>
      <c r="AA735" s="139"/>
      <c r="AB735" s="139"/>
      <c r="AC735" s="140"/>
      <c r="AD735" s="140"/>
      <c r="AE735" s="140"/>
    </row>
    <row r="736">
      <c r="A736" s="130"/>
      <c r="B736" s="131"/>
      <c r="C736" s="131"/>
      <c r="D736" s="130"/>
      <c r="E736" s="132"/>
      <c r="F736" s="132"/>
      <c r="G736" s="133"/>
      <c r="H736" s="134"/>
      <c r="I736" s="134"/>
      <c r="J736" s="134"/>
      <c r="K736" s="134"/>
      <c r="L736" s="134"/>
      <c r="M736" s="134"/>
      <c r="N736" s="143"/>
      <c r="O736" s="136"/>
      <c r="P736" s="136"/>
      <c r="Q736" s="137"/>
      <c r="R736" s="138"/>
      <c r="S736" s="138"/>
      <c r="T736" s="139"/>
      <c r="U736" s="139"/>
      <c r="V736" s="139"/>
      <c r="W736" s="140"/>
      <c r="X736" s="141"/>
      <c r="Y736" s="140"/>
      <c r="Z736" s="142"/>
      <c r="AA736" s="139"/>
      <c r="AB736" s="139"/>
      <c r="AC736" s="140"/>
      <c r="AD736" s="140"/>
      <c r="AE736" s="140"/>
    </row>
    <row r="737">
      <c r="A737" s="130"/>
      <c r="B737" s="131"/>
      <c r="C737" s="131"/>
      <c r="D737" s="130"/>
      <c r="E737" s="132"/>
      <c r="F737" s="132"/>
      <c r="G737" s="133"/>
      <c r="H737" s="134"/>
      <c r="I737" s="134"/>
      <c r="J737" s="134"/>
      <c r="K737" s="134"/>
      <c r="L737" s="134"/>
      <c r="M737" s="134"/>
      <c r="N737" s="143"/>
      <c r="O737" s="136"/>
      <c r="P737" s="136"/>
      <c r="Q737" s="137"/>
      <c r="R737" s="138"/>
      <c r="S737" s="138"/>
      <c r="T737" s="139"/>
      <c r="U737" s="139"/>
      <c r="V737" s="139"/>
      <c r="W737" s="140"/>
      <c r="X737" s="141"/>
      <c r="Y737" s="140"/>
      <c r="Z737" s="142"/>
      <c r="AA737" s="139"/>
      <c r="AB737" s="139"/>
      <c r="AC737" s="140"/>
      <c r="AD737" s="140"/>
      <c r="AE737" s="140"/>
    </row>
    <row r="738">
      <c r="A738" s="130"/>
      <c r="B738" s="131"/>
      <c r="C738" s="131"/>
      <c r="D738" s="130"/>
      <c r="E738" s="132"/>
      <c r="F738" s="132"/>
      <c r="G738" s="133"/>
      <c r="H738" s="134"/>
      <c r="I738" s="134"/>
      <c r="J738" s="134"/>
      <c r="K738" s="134"/>
      <c r="L738" s="134"/>
      <c r="M738" s="134"/>
      <c r="N738" s="143"/>
      <c r="O738" s="136"/>
      <c r="P738" s="136"/>
      <c r="Q738" s="137"/>
      <c r="R738" s="138"/>
      <c r="S738" s="138"/>
      <c r="T738" s="139"/>
      <c r="U738" s="139"/>
      <c r="V738" s="139"/>
      <c r="W738" s="140"/>
      <c r="X738" s="141"/>
      <c r="Y738" s="140"/>
      <c r="Z738" s="142"/>
      <c r="AA738" s="139"/>
      <c r="AB738" s="139"/>
      <c r="AC738" s="140"/>
      <c r="AD738" s="140"/>
      <c r="AE738" s="140"/>
    </row>
    <row r="739">
      <c r="A739" s="130"/>
      <c r="B739" s="131"/>
      <c r="C739" s="131"/>
      <c r="D739" s="130"/>
      <c r="E739" s="132"/>
      <c r="F739" s="132"/>
      <c r="G739" s="133"/>
      <c r="H739" s="134"/>
      <c r="I739" s="134"/>
      <c r="J739" s="134"/>
      <c r="K739" s="134"/>
      <c r="L739" s="134"/>
      <c r="M739" s="134"/>
      <c r="N739" s="143"/>
      <c r="O739" s="136"/>
      <c r="P739" s="136"/>
      <c r="Q739" s="137"/>
      <c r="R739" s="138"/>
      <c r="S739" s="138"/>
      <c r="T739" s="139"/>
      <c r="U739" s="139"/>
      <c r="V739" s="139"/>
      <c r="W739" s="140"/>
      <c r="X739" s="141"/>
      <c r="Y739" s="140"/>
      <c r="Z739" s="142"/>
      <c r="AA739" s="139"/>
      <c r="AB739" s="139"/>
      <c r="AC739" s="140"/>
      <c r="AD739" s="140"/>
      <c r="AE739" s="140"/>
    </row>
    <row r="740">
      <c r="A740" s="130"/>
      <c r="B740" s="131"/>
      <c r="C740" s="131"/>
      <c r="D740" s="130"/>
      <c r="E740" s="132"/>
      <c r="F740" s="132"/>
      <c r="G740" s="133"/>
      <c r="H740" s="134"/>
      <c r="I740" s="134"/>
      <c r="J740" s="134"/>
      <c r="K740" s="134"/>
      <c r="L740" s="134"/>
      <c r="M740" s="134"/>
      <c r="N740" s="143"/>
      <c r="O740" s="136"/>
      <c r="P740" s="136"/>
      <c r="Q740" s="137"/>
      <c r="R740" s="138"/>
      <c r="S740" s="138"/>
      <c r="T740" s="139"/>
      <c r="U740" s="139"/>
      <c r="V740" s="139"/>
      <c r="W740" s="140"/>
      <c r="X740" s="141"/>
      <c r="Y740" s="140"/>
      <c r="Z740" s="142"/>
      <c r="AA740" s="139"/>
      <c r="AB740" s="139"/>
      <c r="AC740" s="140"/>
      <c r="AD740" s="140"/>
      <c r="AE740" s="140"/>
    </row>
    <row r="741">
      <c r="A741" s="130"/>
      <c r="B741" s="131"/>
      <c r="C741" s="131"/>
      <c r="D741" s="130"/>
      <c r="E741" s="132"/>
      <c r="F741" s="132"/>
      <c r="G741" s="133"/>
      <c r="H741" s="134"/>
      <c r="I741" s="134"/>
      <c r="J741" s="134"/>
      <c r="K741" s="134"/>
      <c r="L741" s="134"/>
      <c r="M741" s="134"/>
      <c r="N741" s="143"/>
      <c r="O741" s="136"/>
      <c r="P741" s="136"/>
      <c r="Q741" s="137"/>
      <c r="R741" s="138"/>
      <c r="S741" s="138"/>
      <c r="T741" s="139"/>
      <c r="U741" s="139"/>
      <c r="V741" s="139"/>
      <c r="W741" s="140"/>
      <c r="X741" s="141"/>
      <c r="Y741" s="140"/>
      <c r="Z741" s="142"/>
      <c r="AA741" s="139"/>
      <c r="AB741" s="139"/>
      <c r="AC741" s="140"/>
      <c r="AD741" s="140"/>
      <c r="AE741" s="140"/>
    </row>
    <row r="742">
      <c r="A742" s="130"/>
      <c r="B742" s="131"/>
      <c r="C742" s="131"/>
      <c r="D742" s="130"/>
      <c r="E742" s="132"/>
      <c r="F742" s="132"/>
      <c r="G742" s="133"/>
      <c r="H742" s="134"/>
      <c r="I742" s="134"/>
      <c r="J742" s="134"/>
      <c r="K742" s="134"/>
      <c r="L742" s="134"/>
      <c r="M742" s="134"/>
      <c r="N742" s="143"/>
      <c r="O742" s="136"/>
      <c r="P742" s="136"/>
      <c r="Q742" s="137"/>
      <c r="R742" s="138"/>
      <c r="S742" s="138"/>
      <c r="T742" s="139"/>
      <c r="U742" s="139"/>
      <c r="V742" s="139"/>
      <c r="W742" s="140"/>
      <c r="X742" s="141"/>
      <c r="Y742" s="140"/>
      <c r="Z742" s="142"/>
      <c r="AA742" s="139"/>
      <c r="AB742" s="139"/>
      <c r="AC742" s="140"/>
      <c r="AD742" s="140"/>
      <c r="AE742" s="140"/>
    </row>
    <row r="743">
      <c r="A743" s="130"/>
      <c r="B743" s="131"/>
      <c r="C743" s="131"/>
      <c r="D743" s="130"/>
      <c r="E743" s="132"/>
      <c r="F743" s="132"/>
      <c r="G743" s="133"/>
      <c r="H743" s="134"/>
      <c r="I743" s="134"/>
      <c r="J743" s="134"/>
      <c r="K743" s="134"/>
      <c r="L743" s="134"/>
      <c r="M743" s="134"/>
      <c r="N743" s="143"/>
      <c r="O743" s="136"/>
      <c r="P743" s="136"/>
      <c r="Q743" s="137"/>
      <c r="R743" s="138"/>
      <c r="S743" s="138"/>
      <c r="T743" s="139"/>
      <c r="U743" s="139"/>
      <c r="V743" s="139"/>
      <c r="W743" s="140"/>
      <c r="X743" s="141"/>
      <c r="Y743" s="140"/>
      <c r="Z743" s="142"/>
      <c r="AA743" s="139"/>
      <c r="AB743" s="139"/>
      <c r="AC743" s="140"/>
      <c r="AD743" s="140"/>
      <c r="AE743" s="140"/>
    </row>
    <row r="744">
      <c r="A744" s="130"/>
      <c r="B744" s="131"/>
      <c r="C744" s="131"/>
      <c r="D744" s="130"/>
      <c r="E744" s="132"/>
      <c r="F744" s="132"/>
      <c r="G744" s="133"/>
      <c r="H744" s="134"/>
      <c r="I744" s="134"/>
      <c r="J744" s="134"/>
      <c r="K744" s="134"/>
      <c r="L744" s="134"/>
      <c r="M744" s="134"/>
      <c r="N744" s="143"/>
      <c r="O744" s="136"/>
      <c r="P744" s="136"/>
      <c r="Q744" s="137"/>
      <c r="R744" s="138"/>
      <c r="S744" s="138"/>
      <c r="T744" s="139"/>
      <c r="U744" s="139"/>
      <c r="V744" s="139"/>
      <c r="W744" s="140"/>
      <c r="X744" s="141"/>
      <c r="Y744" s="140"/>
      <c r="Z744" s="142"/>
      <c r="AA744" s="139"/>
      <c r="AB744" s="139"/>
      <c r="AC744" s="140"/>
      <c r="AD744" s="140"/>
      <c r="AE744" s="140"/>
    </row>
    <row r="745">
      <c r="A745" s="130"/>
      <c r="B745" s="131"/>
      <c r="C745" s="131"/>
      <c r="D745" s="130"/>
      <c r="E745" s="132"/>
      <c r="F745" s="132"/>
      <c r="G745" s="133"/>
      <c r="H745" s="134"/>
      <c r="I745" s="134"/>
      <c r="J745" s="134"/>
      <c r="K745" s="134"/>
      <c r="L745" s="134"/>
      <c r="M745" s="134"/>
      <c r="N745" s="143"/>
      <c r="O745" s="136"/>
      <c r="P745" s="136"/>
      <c r="Q745" s="137"/>
      <c r="R745" s="138"/>
      <c r="S745" s="138"/>
      <c r="T745" s="139"/>
      <c r="U745" s="139"/>
      <c r="V745" s="139"/>
      <c r="W745" s="140"/>
      <c r="X745" s="141"/>
      <c r="Y745" s="140"/>
      <c r="Z745" s="142"/>
      <c r="AA745" s="139"/>
      <c r="AB745" s="139"/>
      <c r="AC745" s="140"/>
      <c r="AD745" s="140"/>
      <c r="AE745" s="140"/>
    </row>
    <row r="746">
      <c r="A746" s="130"/>
      <c r="B746" s="131"/>
      <c r="C746" s="131"/>
      <c r="D746" s="130"/>
      <c r="E746" s="132"/>
      <c r="F746" s="132"/>
      <c r="G746" s="133"/>
      <c r="H746" s="134"/>
      <c r="I746" s="134"/>
      <c r="J746" s="134"/>
      <c r="K746" s="134"/>
      <c r="L746" s="134"/>
      <c r="M746" s="134"/>
      <c r="N746" s="143"/>
      <c r="O746" s="136"/>
      <c r="P746" s="136"/>
      <c r="Q746" s="137"/>
      <c r="R746" s="138"/>
      <c r="S746" s="138"/>
      <c r="T746" s="139"/>
      <c r="U746" s="139"/>
      <c r="V746" s="139"/>
      <c r="W746" s="140"/>
      <c r="X746" s="141"/>
      <c r="Y746" s="140"/>
      <c r="Z746" s="142"/>
      <c r="AA746" s="139"/>
      <c r="AB746" s="139"/>
      <c r="AC746" s="140"/>
      <c r="AD746" s="140"/>
      <c r="AE746" s="140"/>
    </row>
    <row r="747">
      <c r="A747" s="130"/>
      <c r="B747" s="131"/>
      <c r="C747" s="131"/>
      <c r="D747" s="130"/>
      <c r="E747" s="132"/>
      <c r="F747" s="132"/>
      <c r="G747" s="133"/>
      <c r="H747" s="134"/>
      <c r="I747" s="134"/>
      <c r="J747" s="134"/>
      <c r="K747" s="134"/>
      <c r="L747" s="134"/>
      <c r="M747" s="134"/>
      <c r="N747" s="143"/>
      <c r="O747" s="136"/>
      <c r="P747" s="136"/>
      <c r="Q747" s="137"/>
      <c r="R747" s="138"/>
      <c r="S747" s="138"/>
      <c r="T747" s="139"/>
      <c r="U747" s="139"/>
      <c r="V747" s="139"/>
      <c r="W747" s="140"/>
      <c r="X747" s="141"/>
      <c r="Y747" s="140"/>
      <c r="Z747" s="142"/>
      <c r="AA747" s="139"/>
      <c r="AB747" s="139"/>
      <c r="AC747" s="140"/>
      <c r="AD747" s="140"/>
      <c r="AE747" s="140"/>
    </row>
    <row r="748">
      <c r="A748" s="130"/>
      <c r="B748" s="131"/>
      <c r="C748" s="131"/>
      <c r="D748" s="130"/>
      <c r="E748" s="132"/>
      <c r="F748" s="132"/>
      <c r="G748" s="133"/>
      <c r="H748" s="134"/>
      <c r="I748" s="134"/>
      <c r="J748" s="134"/>
      <c r="K748" s="134"/>
      <c r="L748" s="134"/>
      <c r="M748" s="134"/>
      <c r="N748" s="143"/>
      <c r="O748" s="136"/>
      <c r="P748" s="136"/>
      <c r="Q748" s="137"/>
      <c r="R748" s="138"/>
      <c r="S748" s="138"/>
      <c r="T748" s="139"/>
      <c r="U748" s="139"/>
      <c r="V748" s="139"/>
      <c r="W748" s="140"/>
      <c r="X748" s="141"/>
      <c r="Y748" s="140"/>
      <c r="Z748" s="142"/>
      <c r="AA748" s="139"/>
      <c r="AB748" s="139"/>
      <c r="AC748" s="140"/>
      <c r="AD748" s="140"/>
      <c r="AE748" s="140"/>
    </row>
    <row r="749">
      <c r="A749" s="130"/>
      <c r="B749" s="131"/>
      <c r="C749" s="131"/>
      <c r="D749" s="130"/>
      <c r="E749" s="132"/>
      <c r="F749" s="132"/>
      <c r="G749" s="133"/>
      <c r="H749" s="134"/>
      <c r="I749" s="134"/>
      <c r="J749" s="134"/>
      <c r="K749" s="134"/>
      <c r="L749" s="134"/>
      <c r="M749" s="134"/>
      <c r="N749" s="143"/>
      <c r="O749" s="136"/>
      <c r="P749" s="136"/>
      <c r="Q749" s="137"/>
      <c r="R749" s="138"/>
      <c r="S749" s="138"/>
      <c r="T749" s="139"/>
      <c r="U749" s="139"/>
      <c r="V749" s="139"/>
      <c r="W749" s="140"/>
      <c r="X749" s="141"/>
      <c r="Y749" s="140"/>
      <c r="Z749" s="142"/>
      <c r="AA749" s="139"/>
      <c r="AB749" s="139"/>
      <c r="AC749" s="140"/>
      <c r="AD749" s="140"/>
      <c r="AE749" s="140"/>
    </row>
    <row r="750">
      <c r="A750" s="130"/>
      <c r="B750" s="131"/>
      <c r="C750" s="131"/>
      <c r="D750" s="130"/>
      <c r="E750" s="132"/>
      <c r="F750" s="132"/>
      <c r="G750" s="133"/>
      <c r="H750" s="134"/>
      <c r="I750" s="134"/>
      <c r="J750" s="134"/>
      <c r="K750" s="134"/>
      <c r="L750" s="134"/>
      <c r="M750" s="134"/>
      <c r="N750" s="143"/>
      <c r="O750" s="136"/>
      <c r="P750" s="136"/>
      <c r="Q750" s="137"/>
      <c r="R750" s="138"/>
      <c r="S750" s="138"/>
      <c r="T750" s="139"/>
      <c r="U750" s="139"/>
      <c r="V750" s="139"/>
      <c r="W750" s="140"/>
      <c r="X750" s="141"/>
      <c r="Y750" s="140"/>
      <c r="Z750" s="142"/>
      <c r="AA750" s="139"/>
      <c r="AB750" s="139"/>
      <c r="AC750" s="140"/>
      <c r="AD750" s="140"/>
      <c r="AE750" s="140"/>
    </row>
    <row r="751">
      <c r="A751" s="130"/>
      <c r="B751" s="131"/>
      <c r="C751" s="131"/>
      <c r="D751" s="130"/>
      <c r="E751" s="132"/>
      <c r="F751" s="132"/>
      <c r="G751" s="133"/>
      <c r="H751" s="134"/>
      <c r="I751" s="134"/>
      <c r="J751" s="134"/>
      <c r="K751" s="134"/>
      <c r="L751" s="134"/>
      <c r="M751" s="134"/>
      <c r="N751" s="143"/>
      <c r="O751" s="136"/>
      <c r="P751" s="136"/>
      <c r="Q751" s="137"/>
      <c r="R751" s="138"/>
      <c r="S751" s="138"/>
      <c r="T751" s="139"/>
      <c r="U751" s="139"/>
      <c r="V751" s="139"/>
      <c r="W751" s="140"/>
      <c r="X751" s="141"/>
      <c r="Y751" s="140"/>
      <c r="Z751" s="142"/>
      <c r="AA751" s="139"/>
      <c r="AB751" s="139"/>
      <c r="AC751" s="140"/>
      <c r="AD751" s="140"/>
      <c r="AE751" s="140"/>
    </row>
    <row r="752">
      <c r="A752" s="130"/>
      <c r="B752" s="131"/>
      <c r="C752" s="131"/>
      <c r="D752" s="130"/>
      <c r="E752" s="132"/>
      <c r="F752" s="132"/>
      <c r="G752" s="133"/>
      <c r="H752" s="134"/>
      <c r="I752" s="134"/>
      <c r="J752" s="134"/>
      <c r="K752" s="134"/>
      <c r="L752" s="134"/>
      <c r="M752" s="134"/>
      <c r="N752" s="143"/>
      <c r="O752" s="136"/>
      <c r="P752" s="136"/>
      <c r="Q752" s="137"/>
      <c r="R752" s="138"/>
      <c r="S752" s="138"/>
      <c r="T752" s="139"/>
      <c r="U752" s="139"/>
      <c r="V752" s="139"/>
      <c r="W752" s="140"/>
      <c r="X752" s="141"/>
      <c r="Y752" s="140"/>
      <c r="Z752" s="142"/>
      <c r="AA752" s="139"/>
      <c r="AB752" s="139"/>
      <c r="AC752" s="140"/>
      <c r="AD752" s="140"/>
      <c r="AE752" s="140"/>
    </row>
    <row r="753">
      <c r="A753" s="130"/>
      <c r="B753" s="131"/>
      <c r="C753" s="131"/>
      <c r="D753" s="130"/>
      <c r="E753" s="132"/>
      <c r="F753" s="132"/>
      <c r="G753" s="133"/>
      <c r="H753" s="134"/>
      <c r="I753" s="134"/>
      <c r="J753" s="134"/>
      <c r="K753" s="134"/>
      <c r="L753" s="134"/>
      <c r="M753" s="134"/>
      <c r="N753" s="143"/>
      <c r="O753" s="136"/>
      <c r="P753" s="136"/>
      <c r="Q753" s="137"/>
      <c r="R753" s="138"/>
      <c r="S753" s="138"/>
      <c r="T753" s="139"/>
      <c r="U753" s="139"/>
      <c r="V753" s="139"/>
      <c r="W753" s="140"/>
      <c r="X753" s="141"/>
      <c r="Y753" s="140"/>
      <c r="Z753" s="142"/>
      <c r="AA753" s="139"/>
      <c r="AB753" s="139"/>
      <c r="AC753" s="140"/>
      <c r="AD753" s="140"/>
      <c r="AE753" s="140"/>
    </row>
    <row r="754">
      <c r="A754" s="130"/>
      <c r="B754" s="131"/>
      <c r="C754" s="131"/>
      <c r="D754" s="130"/>
      <c r="E754" s="132"/>
      <c r="F754" s="132"/>
      <c r="G754" s="133"/>
      <c r="H754" s="134"/>
      <c r="I754" s="134"/>
      <c r="J754" s="134"/>
      <c r="K754" s="134"/>
      <c r="L754" s="134"/>
      <c r="M754" s="134"/>
      <c r="N754" s="143"/>
      <c r="O754" s="136"/>
      <c r="P754" s="136"/>
      <c r="Q754" s="137"/>
      <c r="R754" s="138"/>
      <c r="S754" s="138"/>
      <c r="T754" s="139"/>
      <c r="U754" s="139"/>
      <c r="V754" s="139"/>
      <c r="W754" s="140"/>
      <c r="X754" s="141"/>
      <c r="Y754" s="140"/>
      <c r="Z754" s="142"/>
      <c r="AA754" s="139"/>
      <c r="AB754" s="139"/>
      <c r="AC754" s="140"/>
      <c r="AD754" s="140"/>
      <c r="AE754" s="140"/>
    </row>
    <row r="755">
      <c r="A755" s="130"/>
      <c r="B755" s="131"/>
      <c r="C755" s="131"/>
      <c r="D755" s="130"/>
      <c r="E755" s="132"/>
      <c r="F755" s="132"/>
      <c r="G755" s="133"/>
      <c r="H755" s="134"/>
      <c r="I755" s="134"/>
      <c r="J755" s="134"/>
      <c r="K755" s="134"/>
      <c r="L755" s="134"/>
      <c r="M755" s="134"/>
      <c r="N755" s="143"/>
      <c r="O755" s="136"/>
      <c r="P755" s="136"/>
      <c r="Q755" s="137"/>
      <c r="R755" s="138"/>
      <c r="S755" s="138"/>
      <c r="T755" s="139"/>
      <c r="U755" s="139"/>
      <c r="V755" s="139"/>
      <c r="W755" s="140"/>
      <c r="X755" s="141"/>
      <c r="Y755" s="140"/>
      <c r="Z755" s="142"/>
      <c r="AA755" s="139"/>
      <c r="AB755" s="139"/>
      <c r="AC755" s="140"/>
      <c r="AD755" s="140"/>
      <c r="AE755" s="140"/>
    </row>
    <row r="756">
      <c r="A756" s="130"/>
      <c r="B756" s="131"/>
      <c r="C756" s="131"/>
      <c r="D756" s="130"/>
      <c r="E756" s="132"/>
      <c r="F756" s="132"/>
      <c r="G756" s="133"/>
      <c r="H756" s="134"/>
      <c r="I756" s="134"/>
      <c r="J756" s="134"/>
      <c r="K756" s="134"/>
      <c r="L756" s="134"/>
      <c r="M756" s="134"/>
      <c r="N756" s="143"/>
      <c r="O756" s="136"/>
      <c r="P756" s="136"/>
      <c r="Q756" s="137"/>
      <c r="R756" s="138"/>
      <c r="S756" s="138"/>
      <c r="T756" s="139"/>
      <c r="U756" s="139"/>
      <c r="V756" s="139"/>
      <c r="W756" s="140"/>
      <c r="X756" s="141"/>
      <c r="Y756" s="140"/>
      <c r="Z756" s="142"/>
      <c r="AA756" s="139"/>
      <c r="AB756" s="139"/>
      <c r="AC756" s="140"/>
      <c r="AD756" s="140"/>
      <c r="AE756" s="140"/>
    </row>
    <row r="757">
      <c r="A757" s="130"/>
      <c r="B757" s="131"/>
      <c r="C757" s="131"/>
      <c r="D757" s="130"/>
      <c r="E757" s="132"/>
      <c r="F757" s="132"/>
      <c r="G757" s="133"/>
      <c r="H757" s="134"/>
      <c r="I757" s="134"/>
      <c r="J757" s="134"/>
      <c r="K757" s="134"/>
      <c r="L757" s="134"/>
      <c r="M757" s="134"/>
      <c r="N757" s="143"/>
      <c r="O757" s="136"/>
      <c r="P757" s="136"/>
      <c r="Q757" s="137"/>
      <c r="R757" s="138"/>
      <c r="S757" s="138"/>
      <c r="T757" s="139"/>
      <c r="U757" s="139"/>
      <c r="V757" s="139"/>
      <c r="W757" s="140"/>
      <c r="X757" s="141"/>
      <c r="Y757" s="140"/>
      <c r="Z757" s="142"/>
      <c r="AA757" s="139"/>
      <c r="AB757" s="139"/>
      <c r="AC757" s="140"/>
      <c r="AD757" s="140"/>
      <c r="AE757" s="140"/>
    </row>
    <row r="758">
      <c r="A758" s="130"/>
      <c r="B758" s="131"/>
      <c r="C758" s="131"/>
      <c r="D758" s="130"/>
      <c r="E758" s="132"/>
      <c r="F758" s="132"/>
      <c r="G758" s="133"/>
      <c r="H758" s="134"/>
      <c r="I758" s="134"/>
      <c r="J758" s="134"/>
      <c r="K758" s="134"/>
      <c r="L758" s="134"/>
      <c r="M758" s="134"/>
      <c r="N758" s="143"/>
      <c r="O758" s="136"/>
      <c r="P758" s="136"/>
      <c r="Q758" s="137"/>
      <c r="R758" s="138"/>
      <c r="S758" s="138"/>
      <c r="T758" s="139"/>
      <c r="U758" s="139"/>
      <c r="V758" s="139"/>
      <c r="W758" s="140"/>
      <c r="X758" s="141"/>
      <c r="Y758" s="140"/>
      <c r="Z758" s="142"/>
      <c r="AA758" s="139"/>
      <c r="AB758" s="139"/>
      <c r="AC758" s="140"/>
      <c r="AD758" s="140"/>
      <c r="AE758" s="140"/>
    </row>
    <row r="759">
      <c r="A759" s="130"/>
      <c r="B759" s="131"/>
      <c r="C759" s="131"/>
      <c r="D759" s="130"/>
      <c r="E759" s="132"/>
      <c r="F759" s="132"/>
      <c r="G759" s="133"/>
      <c r="H759" s="134"/>
      <c r="I759" s="134"/>
      <c r="J759" s="134"/>
      <c r="K759" s="134"/>
      <c r="L759" s="134"/>
      <c r="M759" s="134"/>
      <c r="N759" s="143"/>
      <c r="O759" s="136"/>
      <c r="P759" s="136"/>
      <c r="Q759" s="137"/>
      <c r="R759" s="138"/>
      <c r="S759" s="138"/>
      <c r="T759" s="139"/>
      <c r="U759" s="139"/>
      <c r="V759" s="139"/>
      <c r="W759" s="140"/>
      <c r="X759" s="141"/>
      <c r="Y759" s="140"/>
      <c r="Z759" s="142"/>
      <c r="AA759" s="139"/>
      <c r="AB759" s="139"/>
      <c r="AC759" s="140"/>
      <c r="AD759" s="140"/>
      <c r="AE759" s="140"/>
    </row>
    <row r="760">
      <c r="A760" s="130"/>
      <c r="B760" s="131"/>
      <c r="C760" s="131"/>
      <c r="D760" s="130"/>
      <c r="E760" s="132"/>
      <c r="F760" s="132"/>
      <c r="G760" s="133"/>
      <c r="H760" s="134"/>
      <c r="I760" s="134"/>
      <c r="J760" s="134"/>
      <c r="K760" s="134"/>
      <c r="L760" s="134"/>
      <c r="M760" s="134"/>
      <c r="N760" s="143"/>
      <c r="O760" s="136"/>
      <c r="P760" s="136"/>
      <c r="Q760" s="137"/>
      <c r="R760" s="138"/>
      <c r="S760" s="138"/>
      <c r="T760" s="139"/>
      <c r="U760" s="139"/>
      <c r="V760" s="139"/>
      <c r="W760" s="140"/>
      <c r="X760" s="141"/>
      <c r="Y760" s="140"/>
      <c r="Z760" s="142"/>
      <c r="AA760" s="139"/>
      <c r="AB760" s="139"/>
      <c r="AC760" s="140"/>
      <c r="AD760" s="140"/>
      <c r="AE760" s="140"/>
    </row>
    <row r="761">
      <c r="A761" s="130"/>
      <c r="B761" s="131"/>
      <c r="C761" s="131"/>
      <c r="D761" s="130"/>
      <c r="E761" s="132"/>
      <c r="F761" s="132"/>
      <c r="G761" s="133"/>
      <c r="H761" s="134"/>
      <c r="I761" s="134"/>
      <c r="J761" s="134"/>
      <c r="K761" s="134"/>
      <c r="L761" s="134"/>
      <c r="M761" s="134"/>
      <c r="N761" s="143"/>
      <c r="O761" s="136"/>
      <c r="P761" s="136"/>
      <c r="Q761" s="137"/>
      <c r="R761" s="138"/>
      <c r="S761" s="138"/>
      <c r="T761" s="139"/>
      <c r="U761" s="139"/>
      <c r="V761" s="139"/>
      <c r="W761" s="140"/>
      <c r="X761" s="141"/>
      <c r="Y761" s="140"/>
      <c r="Z761" s="142"/>
      <c r="AA761" s="139"/>
      <c r="AB761" s="139"/>
      <c r="AC761" s="140"/>
      <c r="AD761" s="140"/>
      <c r="AE761" s="140"/>
    </row>
    <row r="762">
      <c r="A762" s="130"/>
      <c r="B762" s="131"/>
      <c r="C762" s="131"/>
      <c r="D762" s="130"/>
      <c r="E762" s="132"/>
      <c r="F762" s="132"/>
      <c r="G762" s="133"/>
      <c r="H762" s="134"/>
      <c r="I762" s="134"/>
      <c r="J762" s="134"/>
      <c r="K762" s="134"/>
      <c r="L762" s="134"/>
      <c r="M762" s="134"/>
      <c r="N762" s="143"/>
      <c r="O762" s="136"/>
      <c r="P762" s="136"/>
      <c r="Q762" s="137"/>
      <c r="R762" s="138"/>
      <c r="S762" s="138"/>
      <c r="T762" s="139"/>
      <c r="U762" s="139"/>
      <c r="V762" s="139"/>
      <c r="W762" s="140"/>
      <c r="X762" s="141"/>
      <c r="Y762" s="140"/>
      <c r="Z762" s="142"/>
      <c r="AA762" s="139"/>
      <c r="AB762" s="139"/>
      <c r="AC762" s="140"/>
      <c r="AD762" s="140"/>
      <c r="AE762" s="140"/>
    </row>
    <row r="763">
      <c r="A763" s="130"/>
      <c r="B763" s="131"/>
      <c r="C763" s="131"/>
      <c r="D763" s="130"/>
      <c r="E763" s="132"/>
      <c r="F763" s="132"/>
      <c r="G763" s="133"/>
      <c r="H763" s="134"/>
      <c r="I763" s="134"/>
      <c r="J763" s="134"/>
      <c r="K763" s="134"/>
      <c r="L763" s="134"/>
      <c r="M763" s="134"/>
      <c r="N763" s="143"/>
      <c r="O763" s="136"/>
      <c r="P763" s="136"/>
      <c r="Q763" s="137"/>
      <c r="R763" s="138"/>
      <c r="S763" s="138"/>
      <c r="T763" s="139"/>
      <c r="U763" s="139"/>
      <c r="V763" s="139"/>
      <c r="W763" s="140"/>
      <c r="X763" s="141"/>
      <c r="Y763" s="140"/>
      <c r="Z763" s="142"/>
      <c r="AA763" s="139"/>
      <c r="AB763" s="139"/>
      <c r="AC763" s="140"/>
      <c r="AD763" s="140"/>
      <c r="AE763" s="140"/>
    </row>
    <row r="764">
      <c r="A764" s="130"/>
      <c r="B764" s="131"/>
      <c r="C764" s="131"/>
      <c r="D764" s="130"/>
      <c r="E764" s="132"/>
      <c r="F764" s="132"/>
      <c r="G764" s="133"/>
      <c r="H764" s="134"/>
      <c r="I764" s="134"/>
      <c r="J764" s="134"/>
      <c r="K764" s="134"/>
      <c r="L764" s="134"/>
      <c r="M764" s="134"/>
      <c r="N764" s="143"/>
      <c r="O764" s="136"/>
      <c r="P764" s="136"/>
      <c r="Q764" s="137"/>
      <c r="R764" s="138"/>
      <c r="S764" s="138"/>
      <c r="T764" s="139"/>
      <c r="U764" s="139"/>
      <c r="V764" s="139"/>
      <c r="W764" s="140"/>
      <c r="X764" s="141"/>
      <c r="Y764" s="140"/>
      <c r="Z764" s="142"/>
      <c r="AA764" s="139"/>
      <c r="AB764" s="139"/>
      <c r="AC764" s="140"/>
      <c r="AD764" s="140"/>
      <c r="AE764" s="140"/>
    </row>
    <row r="765">
      <c r="A765" s="130"/>
      <c r="B765" s="131"/>
      <c r="C765" s="131"/>
      <c r="D765" s="130"/>
      <c r="E765" s="132"/>
      <c r="F765" s="132"/>
      <c r="G765" s="133"/>
      <c r="H765" s="134"/>
      <c r="I765" s="134"/>
      <c r="J765" s="134"/>
      <c r="K765" s="134"/>
      <c r="L765" s="134"/>
      <c r="M765" s="134"/>
      <c r="N765" s="143"/>
      <c r="O765" s="136"/>
      <c r="P765" s="136"/>
      <c r="Q765" s="137"/>
      <c r="R765" s="138"/>
      <c r="S765" s="138"/>
      <c r="T765" s="139"/>
      <c r="U765" s="139"/>
      <c r="V765" s="139"/>
      <c r="W765" s="140"/>
      <c r="X765" s="141"/>
      <c r="Y765" s="140"/>
      <c r="Z765" s="142"/>
      <c r="AA765" s="139"/>
      <c r="AB765" s="139"/>
      <c r="AC765" s="140"/>
      <c r="AD765" s="140"/>
      <c r="AE765" s="140"/>
    </row>
    <row r="766">
      <c r="A766" s="130"/>
      <c r="B766" s="131"/>
      <c r="C766" s="131"/>
      <c r="D766" s="130"/>
      <c r="E766" s="132"/>
      <c r="F766" s="132"/>
      <c r="G766" s="133"/>
      <c r="H766" s="134"/>
      <c r="I766" s="134"/>
      <c r="J766" s="134"/>
      <c r="K766" s="134"/>
      <c r="L766" s="134"/>
      <c r="M766" s="134"/>
      <c r="N766" s="143"/>
      <c r="O766" s="136"/>
      <c r="P766" s="136"/>
      <c r="Q766" s="137"/>
      <c r="R766" s="138"/>
      <c r="S766" s="138"/>
      <c r="T766" s="139"/>
      <c r="U766" s="139"/>
      <c r="V766" s="139"/>
      <c r="W766" s="140"/>
      <c r="X766" s="141"/>
      <c r="Y766" s="140"/>
      <c r="Z766" s="142"/>
      <c r="AA766" s="139"/>
      <c r="AB766" s="139"/>
      <c r="AC766" s="140"/>
      <c r="AD766" s="140"/>
      <c r="AE766" s="140"/>
    </row>
    <row r="767">
      <c r="A767" s="130"/>
      <c r="B767" s="131"/>
      <c r="C767" s="131"/>
      <c r="D767" s="130"/>
      <c r="E767" s="132"/>
      <c r="F767" s="132"/>
      <c r="G767" s="133"/>
      <c r="H767" s="134"/>
      <c r="I767" s="134"/>
      <c r="J767" s="134"/>
      <c r="K767" s="134"/>
      <c r="L767" s="134"/>
      <c r="M767" s="134"/>
      <c r="N767" s="143"/>
      <c r="O767" s="136"/>
      <c r="P767" s="136"/>
      <c r="Q767" s="137"/>
      <c r="R767" s="138"/>
      <c r="S767" s="138"/>
      <c r="T767" s="139"/>
      <c r="U767" s="139"/>
      <c r="V767" s="139"/>
      <c r="W767" s="140"/>
      <c r="X767" s="141"/>
      <c r="Y767" s="140"/>
      <c r="Z767" s="142"/>
      <c r="AA767" s="139"/>
      <c r="AB767" s="139"/>
      <c r="AC767" s="140"/>
      <c r="AD767" s="140"/>
      <c r="AE767" s="140"/>
    </row>
    <row r="768">
      <c r="A768" s="130"/>
      <c r="B768" s="131"/>
      <c r="C768" s="131"/>
      <c r="D768" s="130"/>
      <c r="E768" s="132"/>
      <c r="F768" s="132"/>
      <c r="G768" s="133"/>
      <c r="H768" s="134"/>
      <c r="I768" s="134"/>
      <c r="J768" s="134"/>
      <c r="K768" s="134"/>
      <c r="L768" s="134"/>
      <c r="M768" s="134"/>
      <c r="N768" s="143"/>
      <c r="O768" s="136"/>
      <c r="P768" s="136"/>
      <c r="Q768" s="137"/>
      <c r="R768" s="138"/>
      <c r="S768" s="138"/>
      <c r="T768" s="139"/>
      <c r="U768" s="139"/>
      <c r="V768" s="139"/>
      <c r="W768" s="140"/>
      <c r="X768" s="141"/>
      <c r="Y768" s="140"/>
      <c r="Z768" s="142"/>
      <c r="AA768" s="139"/>
      <c r="AB768" s="139"/>
      <c r="AC768" s="140"/>
      <c r="AD768" s="140"/>
      <c r="AE768" s="140"/>
    </row>
    <row r="769">
      <c r="A769" s="130"/>
      <c r="B769" s="131"/>
      <c r="C769" s="131"/>
      <c r="D769" s="130"/>
      <c r="E769" s="132"/>
      <c r="F769" s="132"/>
      <c r="G769" s="133"/>
      <c r="H769" s="134"/>
      <c r="I769" s="134"/>
      <c r="J769" s="134"/>
      <c r="K769" s="134"/>
      <c r="L769" s="134"/>
      <c r="M769" s="134"/>
      <c r="N769" s="143"/>
      <c r="O769" s="136"/>
      <c r="P769" s="136"/>
      <c r="Q769" s="137"/>
      <c r="R769" s="138"/>
      <c r="S769" s="138"/>
      <c r="T769" s="139"/>
      <c r="U769" s="139"/>
      <c r="V769" s="139"/>
      <c r="W769" s="140"/>
      <c r="X769" s="141"/>
      <c r="Y769" s="140"/>
      <c r="Z769" s="142"/>
      <c r="AA769" s="139"/>
      <c r="AB769" s="139"/>
      <c r="AC769" s="140"/>
      <c r="AD769" s="140"/>
      <c r="AE769" s="140"/>
    </row>
    <row r="770">
      <c r="A770" s="130"/>
      <c r="B770" s="131"/>
      <c r="C770" s="131"/>
      <c r="D770" s="130"/>
      <c r="E770" s="132"/>
      <c r="F770" s="132"/>
      <c r="G770" s="133"/>
      <c r="H770" s="134"/>
      <c r="I770" s="134"/>
      <c r="J770" s="134"/>
      <c r="K770" s="134"/>
      <c r="L770" s="134"/>
      <c r="M770" s="134"/>
      <c r="N770" s="143"/>
      <c r="O770" s="136"/>
      <c r="P770" s="136"/>
      <c r="Q770" s="137"/>
      <c r="R770" s="138"/>
      <c r="S770" s="138"/>
      <c r="T770" s="139"/>
      <c r="U770" s="139"/>
      <c r="V770" s="139"/>
      <c r="W770" s="140"/>
      <c r="X770" s="141"/>
      <c r="Y770" s="140"/>
      <c r="Z770" s="142"/>
      <c r="AA770" s="139"/>
      <c r="AB770" s="139"/>
      <c r="AC770" s="140"/>
      <c r="AD770" s="140"/>
      <c r="AE770" s="140"/>
    </row>
    <row r="771">
      <c r="A771" s="130"/>
      <c r="B771" s="131"/>
      <c r="C771" s="131"/>
      <c r="D771" s="130"/>
      <c r="E771" s="132"/>
      <c r="F771" s="132"/>
      <c r="G771" s="133"/>
      <c r="H771" s="134"/>
      <c r="I771" s="134"/>
      <c r="J771" s="134"/>
      <c r="K771" s="134"/>
      <c r="L771" s="134"/>
      <c r="M771" s="134"/>
      <c r="N771" s="143"/>
      <c r="O771" s="136"/>
      <c r="P771" s="136"/>
      <c r="Q771" s="137"/>
      <c r="R771" s="138"/>
      <c r="S771" s="138"/>
      <c r="T771" s="139"/>
      <c r="U771" s="139"/>
      <c r="V771" s="139"/>
      <c r="W771" s="140"/>
      <c r="X771" s="141"/>
      <c r="Y771" s="140"/>
      <c r="Z771" s="142"/>
      <c r="AA771" s="139"/>
      <c r="AB771" s="139"/>
      <c r="AC771" s="140"/>
      <c r="AD771" s="140"/>
      <c r="AE771" s="140"/>
    </row>
    <row r="772">
      <c r="A772" s="130"/>
      <c r="B772" s="131"/>
      <c r="C772" s="131"/>
      <c r="D772" s="130"/>
      <c r="E772" s="132"/>
      <c r="F772" s="132"/>
      <c r="G772" s="133"/>
      <c r="H772" s="134"/>
      <c r="I772" s="134"/>
      <c r="J772" s="134"/>
      <c r="K772" s="134"/>
      <c r="L772" s="134"/>
      <c r="M772" s="134"/>
      <c r="N772" s="143"/>
      <c r="O772" s="136"/>
      <c r="P772" s="136"/>
      <c r="Q772" s="137"/>
      <c r="R772" s="138"/>
      <c r="S772" s="138"/>
      <c r="T772" s="139"/>
      <c r="U772" s="139"/>
      <c r="V772" s="139"/>
      <c r="W772" s="140"/>
      <c r="X772" s="141"/>
      <c r="Y772" s="140"/>
      <c r="Z772" s="142"/>
      <c r="AA772" s="139"/>
      <c r="AB772" s="139"/>
      <c r="AC772" s="140"/>
      <c r="AD772" s="140"/>
      <c r="AE772" s="140"/>
    </row>
    <row r="773">
      <c r="A773" s="130"/>
      <c r="B773" s="131"/>
      <c r="C773" s="131"/>
      <c r="D773" s="130"/>
      <c r="E773" s="132"/>
      <c r="F773" s="132"/>
      <c r="G773" s="133"/>
      <c r="H773" s="134"/>
      <c r="I773" s="134"/>
      <c r="J773" s="134"/>
      <c r="K773" s="134"/>
      <c r="L773" s="134"/>
      <c r="M773" s="134"/>
      <c r="N773" s="143"/>
      <c r="O773" s="136"/>
      <c r="P773" s="136"/>
      <c r="Q773" s="137"/>
      <c r="R773" s="138"/>
      <c r="S773" s="138"/>
      <c r="T773" s="139"/>
      <c r="U773" s="139"/>
      <c r="V773" s="139"/>
      <c r="W773" s="140"/>
      <c r="X773" s="141"/>
      <c r="Y773" s="140"/>
      <c r="Z773" s="142"/>
      <c r="AA773" s="139"/>
      <c r="AB773" s="139"/>
      <c r="AC773" s="140"/>
      <c r="AD773" s="140"/>
      <c r="AE773" s="140"/>
    </row>
    <row r="774">
      <c r="A774" s="130"/>
      <c r="B774" s="131"/>
      <c r="C774" s="131"/>
      <c r="D774" s="130"/>
      <c r="E774" s="132"/>
      <c r="F774" s="132"/>
      <c r="G774" s="133"/>
      <c r="H774" s="134"/>
      <c r="I774" s="134"/>
      <c r="J774" s="134"/>
      <c r="K774" s="134"/>
      <c r="L774" s="134"/>
      <c r="M774" s="134"/>
      <c r="N774" s="143"/>
      <c r="O774" s="136"/>
      <c r="P774" s="136"/>
      <c r="Q774" s="137"/>
      <c r="R774" s="138"/>
      <c r="S774" s="138"/>
      <c r="T774" s="139"/>
      <c r="U774" s="139"/>
      <c r="V774" s="139"/>
      <c r="W774" s="140"/>
      <c r="X774" s="141"/>
      <c r="Y774" s="140"/>
      <c r="Z774" s="142"/>
      <c r="AA774" s="139"/>
      <c r="AB774" s="139"/>
      <c r="AC774" s="140"/>
      <c r="AD774" s="140"/>
      <c r="AE774" s="140"/>
    </row>
    <row r="775">
      <c r="A775" s="130"/>
      <c r="B775" s="131"/>
      <c r="C775" s="131"/>
      <c r="D775" s="130"/>
      <c r="E775" s="132"/>
      <c r="F775" s="132"/>
      <c r="G775" s="133"/>
      <c r="H775" s="134"/>
      <c r="I775" s="134"/>
      <c r="J775" s="134"/>
      <c r="K775" s="134"/>
      <c r="L775" s="134"/>
      <c r="M775" s="134"/>
      <c r="N775" s="143"/>
      <c r="O775" s="136"/>
      <c r="P775" s="136"/>
      <c r="Q775" s="137"/>
      <c r="R775" s="138"/>
      <c r="S775" s="138"/>
      <c r="T775" s="139"/>
      <c r="U775" s="139"/>
      <c r="V775" s="139"/>
      <c r="W775" s="140"/>
      <c r="X775" s="141"/>
      <c r="Y775" s="140"/>
      <c r="Z775" s="142"/>
      <c r="AA775" s="139"/>
      <c r="AB775" s="139"/>
      <c r="AC775" s="140"/>
      <c r="AD775" s="140"/>
      <c r="AE775" s="140"/>
    </row>
    <row r="776">
      <c r="A776" s="130"/>
      <c r="B776" s="131"/>
      <c r="C776" s="131"/>
      <c r="D776" s="130"/>
      <c r="E776" s="132"/>
      <c r="F776" s="132"/>
      <c r="G776" s="133"/>
      <c r="H776" s="134"/>
      <c r="I776" s="134"/>
      <c r="J776" s="134"/>
      <c r="K776" s="134"/>
      <c r="L776" s="134"/>
      <c r="M776" s="134"/>
      <c r="N776" s="143"/>
      <c r="O776" s="136"/>
      <c r="P776" s="136"/>
      <c r="Q776" s="137"/>
      <c r="R776" s="138"/>
      <c r="S776" s="138"/>
      <c r="T776" s="139"/>
      <c r="U776" s="139"/>
      <c r="V776" s="139"/>
      <c r="W776" s="140"/>
      <c r="X776" s="141"/>
      <c r="Y776" s="140"/>
      <c r="Z776" s="142"/>
      <c r="AA776" s="139"/>
      <c r="AB776" s="139"/>
      <c r="AC776" s="140"/>
      <c r="AD776" s="140"/>
      <c r="AE776" s="140"/>
    </row>
    <row r="777">
      <c r="A777" s="130"/>
      <c r="B777" s="131"/>
      <c r="C777" s="131"/>
      <c r="D777" s="130"/>
      <c r="E777" s="132"/>
      <c r="F777" s="132"/>
      <c r="G777" s="133"/>
      <c r="H777" s="134"/>
      <c r="I777" s="134"/>
      <c r="J777" s="134"/>
      <c r="K777" s="134"/>
      <c r="L777" s="134"/>
      <c r="M777" s="134"/>
      <c r="N777" s="143"/>
      <c r="O777" s="136"/>
      <c r="P777" s="136"/>
      <c r="Q777" s="137"/>
      <c r="R777" s="138"/>
      <c r="S777" s="138"/>
      <c r="T777" s="139"/>
      <c r="U777" s="139"/>
      <c r="V777" s="139"/>
      <c r="W777" s="140"/>
      <c r="X777" s="141"/>
      <c r="Y777" s="140"/>
      <c r="Z777" s="142"/>
      <c r="AA777" s="139"/>
      <c r="AB777" s="139"/>
      <c r="AC777" s="140"/>
      <c r="AD777" s="140"/>
      <c r="AE777" s="140"/>
    </row>
    <row r="778">
      <c r="A778" s="130"/>
      <c r="B778" s="131"/>
      <c r="C778" s="131"/>
      <c r="D778" s="130"/>
      <c r="E778" s="132"/>
      <c r="F778" s="132"/>
      <c r="G778" s="133"/>
      <c r="H778" s="134"/>
      <c r="I778" s="134"/>
      <c r="J778" s="134"/>
      <c r="K778" s="134"/>
      <c r="L778" s="134"/>
      <c r="M778" s="134"/>
      <c r="N778" s="143"/>
      <c r="O778" s="136"/>
      <c r="P778" s="136"/>
      <c r="Q778" s="137"/>
      <c r="R778" s="138"/>
      <c r="S778" s="138"/>
      <c r="T778" s="139"/>
      <c r="U778" s="139"/>
      <c r="V778" s="139"/>
      <c r="W778" s="140"/>
      <c r="X778" s="141"/>
      <c r="Y778" s="140"/>
      <c r="Z778" s="142"/>
      <c r="AA778" s="139"/>
      <c r="AB778" s="139"/>
      <c r="AC778" s="140"/>
      <c r="AD778" s="140"/>
      <c r="AE778" s="140"/>
    </row>
    <row r="779">
      <c r="A779" s="130"/>
      <c r="B779" s="131"/>
      <c r="C779" s="131"/>
      <c r="D779" s="130"/>
      <c r="E779" s="132"/>
      <c r="F779" s="132"/>
      <c r="G779" s="133"/>
      <c r="H779" s="134"/>
      <c r="I779" s="134"/>
      <c r="J779" s="134"/>
      <c r="K779" s="134"/>
      <c r="L779" s="134"/>
      <c r="M779" s="134"/>
      <c r="N779" s="143"/>
      <c r="O779" s="136"/>
      <c r="P779" s="136"/>
      <c r="Q779" s="137"/>
      <c r="R779" s="138"/>
      <c r="S779" s="138"/>
      <c r="T779" s="139"/>
      <c r="U779" s="139"/>
      <c r="V779" s="139"/>
      <c r="W779" s="140"/>
      <c r="X779" s="141"/>
      <c r="Y779" s="140"/>
      <c r="Z779" s="142"/>
      <c r="AA779" s="139"/>
      <c r="AB779" s="139"/>
      <c r="AC779" s="140"/>
      <c r="AD779" s="140"/>
      <c r="AE779" s="140"/>
    </row>
    <row r="780">
      <c r="A780" s="130"/>
      <c r="B780" s="131"/>
      <c r="C780" s="131"/>
      <c r="D780" s="130"/>
      <c r="E780" s="132"/>
      <c r="F780" s="132"/>
      <c r="G780" s="133"/>
      <c r="H780" s="134"/>
      <c r="I780" s="134"/>
      <c r="J780" s="134"/>
      <c r="K780" s="134"/>
      <c r="L780" s="134"/>
      <c r="M780" s="134"/>
      <c r="N780" s="143"/>
      <c r="O780" s="136"/>
      <c r="P780" s="136"/>
      <c r="Q780" s="137"/>
      <c r="R780" s="138"/>
      <c r="S780" s="138"/>
      <c r="T780" s="139"/>
      <c r="U780" s="139"/>
      <c r="V780" s="139"/>
      <c r="W780" s="140"/>
      <c r="X780" s="141"/>
      <c r="Y780" s="140"/>
      <c r="Z780" s="142"/>
      <c r="AA780" s="139"/>
      <c r="AB780" s="139"/>
      <c r="AC780" s="140"/>
      <c r="AD780" s="140"/>
      <c r="AE780" s="140"/>
    </row>
    <row r="781">
      <c r="A781" s="130"/>
      <c r="B781" s="131"/>
      <c r="C781" s="131"/>
      <c r="D781" s="130"/>
      <c r="E781" s="132"/>
      <c r="F781" s="132"/>
      <c r="G781" s="133"/>
      <c r="H781" s="134"/>
      <c r="I781" s="134"/>
      <c r="J781" s="134"/>
      <c r="K781" s="134"/>
      <c r="L781" s="134"/>
      <c r="M781" s="134"/>
      <c r="N781" s="143"/>
      <c r="O781" s="136"/>
      <c r="P781" s="136"/>
      <c r="Q781" s="137"/>
      <c r="R781" s="138"/>
      <c r="S781" s="138"/>
      <c r="T781" s="139"/>
      <c r="U781" s="139"/>
      <c r="V781" s="139"/>
      <c r="W781" s="140"/>
      <c r="X781" s="141"/>
      <c r="Y781" s="140"/>
      <c r="Z781" s="142"/>
      <c r="AA781" s="139"/>
      <c r="AB781" s="139"/>
      <c r="AC781" s="140"/>
      <c r="AD781" s="140"/>
      <c r="AE781" s="140"/>
    </row>
    <row r="782">
      <c r="A782" s="130"/>
      <c r="B782" s="131"/>
      <c r="C782" s="131"/>
      <c r="D782" s="130"/>
      <c r="E782" s="132"/>
      <c r="F782" s="132"/>
      <c r="G782" s="133"/>
      <c r="H782" s="134"/>
      <c r="I782" s="134"/>
      <c r="J782" s="134"/>
      <c r="K782" s="134"/>
      <c r="L782" s="134"/>
      <c r="M782" s="134"/>
      <c r="N782" s="143"/>
      <c r="O782" s="136"/>
      <c r="P782" s="136"/>
      <c r="Q782" s="137"/>
      <c r="R782" s="138"/>
      <c r="S782" s="138"/>
      <c r="T782" s="139"/>
      <c r="U782" s="139"/>
      <c r="V782" s="139"/>
      <c r="W782" s="140"/>
      <c r="X782" s="141"/>
      <c r="Y782" s="140"/>
      <c r="Z782" s="142"/>
      <c r="AA782" s="139"/>
      <c r="AB782" s="139"/>
      <c r="AC782" s="140"/>
      <c r="AD782" s="140"/>
      <c r="AE782" s="140"/>
    </row>
    <row r="783">
      <c r="A783" s="130"/>
      <c r="B783" s="131"/>
      <c r="C783" s="131"/>
      <c r="D783" s="130"/>
      <c r="E783" s="132"/>
      <c r="F783" s="132"/>
      <c r="G783" s="133"/>
      <c r="H783" s="134"/>
      <c r="I783" s="134"/>
      <c r="J783" s="134"/>
      <c r="K783" s="134"/>
      <c r="L783" s="134"/>
      <c r="M783" s="134"/>
      <c r="N783" s="143"/>
      <c r="O783" s="136"/>
      <c r="P783" s="136"/>
      <c r="Q783" s="137"/>
      <c r="R783" s="138"/>
      <c r="S783" s="138"/>
      <c r="T783" s="139"/>
      <c r="U783" s="139"/>
      <c r="V783" s="139"/>
      <c r="W783" s="140"/>
      <c r="X783" s="141"/>
      <c r="Y783" s="140"/>
      <c r="Z783" s="142"/>
      <c r="AA783" s="139"/>
      <c r="AB783" s="139"/>
      <c r="AC783" s="140"/>
      <c r="AD783" s="140"/>
      <c r="AE783" s="140"/>
    </row>
    <row r="784">
      <c r="A784" s="130"/>
      <c r="B784" s="131"/>
      <c r="C784" s="131"/>
      <c r="D784" s="130"/>
      <c r="E784" s="132"/>
      <c r="F784" s="132"/>
      <c r="G784" s="133"/>
      <c r="H784" s="134"/>
      <c r="I784" s="134"/>
      <c r="J784" s="134"/>
      <c r="K784" s="134"/>
      <c r="L784" s="134"/>
      <c r="M784" s="134"/>
      <c r="N784" s="143"/>
      <c r="O784" s="136"/>
      <c r="P784" s="136"/>
      <c r="Q784" s="137"/>
      <c r="R784" s="138"/>
      <c r="S784" s="138"/>
      <c r="T784" s="139"/>
      <c r="U784" s="139"/>
      <c r="V784" s="139"/>
      <c r="W784" s="140"/>
      <c r="X784" s="141"/>
      <c r="Y784" s="140"/>
      <c r="Z784" s="142"/>
      <c r="AA784" s="139"/>
      <c r="AB784" s="139"/>
      <c r="AC784" s="140"/>
      <c r="AD784" s="140"/>
      <c r="AE784" s="140"/>
    </row>
    <row r="785">
      <c r="A785" s="130"/>
      <c r="B785" s="131"/>
      <c r="C785" s="131"/>
      <c r="D785" s="130"/>
      <c r="E785" s="132"/>
      <c r="F785" s="132"/>
      <c r="G785" s="133"/>
      <c r="H785" s="134"/>
      <c r="I785" s="134"/>
      <c r="J785" s="134"/>
      <c r="K785" s="134"/>
      <c r="L785" s="134"/>
      <c r="M785" s="134"/>
      <c r="N785" s="143"/>
      <c r="O785" s="136"/>
      <c r="P785" s="136"/>
      <c r="Q785" s="137"/>
      <c r="R785" s="138"/>
      <c r="S785" s="138"/>
      <c r="T785" s="139"/>
      <c r="U785" s="139"/>
      <c r="V785" s="139"/>
      <c r="W785" s="140"/>
      <c r="X785" s="141"/>
      <c r="Y785" s="140"/>
      <c r="Z785" s="142"/>
      <c r="AA785" s="139"/>
      <c r="AB785" s="139"/>
      <c r="AC785" s="140"/>
      <c r="AD785" s="140"/>
      <c r="AE785" s="140"/>
    </row>
    <row r="786">
      <c r="A786" s="130"/>
      <c r="B786" s="131"/>
      <c r="C786" s="131"/>
      <c r="D786" s="130"/>
      <c r="E786" s="132"/>
      <c r="F786" s="132"/>
      <c r="G786" s="133"/>
      <c r="H786" s="134"/>
      <c r="I786" s="134"/>
      <c r="J786" s="134"/>
      <c r="K786" s="134"/>
      <c r="L786" s="134"/>
      <c r="M786" s="134"/>
      <c r="N786" s="143"/>
      <c r="O786" s="136"/>
      <c r="P786" s="136"/>
      <c r="Q786" s="137"/>
      <c r="R786" s="138"/>
      <c r="S786" s="138"/>
      <c r="T786" s="139"/>
      <c r="U786" s="139"/>
      <c r="V786" s="139"/>
      <c r="W786" s="140"/>
      <c r="X786" s="141"/>
      <c r="Y786" s="140"/>
      <c r="Z786" s="142"/>
      <c r="AA786" s="139"/>
      <c r="AB786" s="139"/>
      <c r="AC786" s="140"/>
      <c r="AD786" s="140"/>
      <c r="AE786" s="140"/>
    </row>
    <row r="787">
      <c r="A787" s="130"/>
      <c r="B787" s="131"/>
      <c r="C787" s="131"/>
      <c r="D787" s="130"/>
      <c r="E787" s="132"/>
      <c r="F787" s="132"/>
      <c r="G787" s="133"/>
      <c r="H787" s="134"/>
      <c r="I787" s="134"/>
      <c r="J787" s="134"/>
      <c r="K787" s="134"/>
      <c r="L787" s="134"/>
      <c r="M787" s="134"/>
      <c r="N787" s="143"/>
      <c r="O787" s="136"/>
      <c r="P787" s="136"/>
      <c r="Q787" s="137"/>
      <c r="R787" s="138"/>
      <c r="S787" s="138"/>
      <c r="T787" s="139"/>
      <c r="U787" s="139"/>
      <c r="V787" s="139"/>
      <c r="W787" s="140"/>
      <c r="X787" s="141"/>
      <c r="Y787" s="140"/>
      <c r="Z787" s="142"/>
      <c r="AA787" s="139"/>
      <c r="AB787" s="139"/>
      <c r="AC787" s="140"/>
      <c r="AD787" s="140"/>
      <c r="AE787" s="140"/>
    </row>
    <row r="788">
      <c r="A788" s="130"/>
      <c r="B788" s="131"/>
      <c r="C788" s="131"/>
      <c r="D788" s="130"/>
      <c r="E788" s="132"/>
      <c r="F788" s="132"/>
      <c r="G788" s="133"/>
      <c r="H788" s="134"/>
      <c r="I788" s="134"/>
      <c r="J788" s="134"/>
      <c r="K788" s="134"/>
      <c r="L788" s="134"/>
      <c r="M788" s="134"/>
      <c r="N788" s="143"/>
      <c r="O788" s="136"/>
      <c r="P788" s="136"/>
      <c r="Q788" s="137"/>
      <c r="R788" s="138"/>
      <c r="S788" s="138"/>
      <c r="T788" s="139"/>
      <c r="U788" s="139"/>
      <c r="V788" s="139"/>
      <c r="W788" s="140"/>
      <c r="X788" s="141"/>
      <c r="Y788" s="140"/>
      <c r="Z788" s="142"/>
      <c r="AA788" s="139"/>
      <c r="AB788" s="139"/>
      <c r="AC788" s="140"/>
      <c r="AD788" s="140"/>
      <c r="AE788" s="140"/>
    </row>
    <row r="789">
      <c r="A789" s="130"/>
      <c r="B789" s="131"/>
      <c r="C789" s="131"/>
      <c r="D789" s="130"/>
      <c r="E789" s="132"/>
      <c r="F789" s="132"/>
      <c r="G789" s="133"/>
      <c r="H789" s="134"/>
      <c r="I789" s="134"/>
      <c r="J789" s="134"/>
      <c r="K789" s="134"/>
      <c r="L789" s="134"/>
      <c r="M789" s="134"/>
      <c r="N789" s="143"/>
      <c r="O789" s="136"/>
      <c r="P789" s="136"/>
      <c r="Q789" s="137"/>
      <c r="R789" s="138"/>
      <c r="S789" s="138"/>
      <c r="T789" s="139"/>
      <c r="U789" s="139"/>
      <c r="V789" s="139"/>
      <c r="W789" s="140"/>
      <c r="X789" s="141"/>
      <c r="Y789" s="140"/>
      <c r="Z789" s="142"/>
      <c r="AA789" s="139"/>
      <c r="AB789" s="139"/>
      <c r="AC789" s="140"/>
      <c r="AD789" s="140"/>
      <c r="AE789" s="140"/>
    </row>
    <row r="790">
      <c r="A790" s="130"/>
      <c r="B790" s="131"/>
      <c r="C790" s="131"/>
      <c r="D790" s="130"/>
      <c r="E790" s="132"/>
      <c r="F790" s="132"/>
      <c r="G790" s="133"/>
      <c r="H790" s="134"/>
      <c r="I790" s="134"/>
      <c r="J790" s="134"/>
      <c r="K790" s="134"/>
      <c r="L790" s="134"/>
      <c r="M790" s="134"/>
      <c r="N790" s="143"/>
      <c r="O790" s="136"/>
      <c r="P790" s="136"/>
      <c r="Q790" s="137"/>
      <c r="R790" s="138"/>
      <c r="S790" s="138"/>
      <c r="T790" s="139"/>
      <c r="U790" s="139"/>
      <c r="V790" s="139"/>
      <c r="W790" s="140"/>
      <c r="X790" s="141"/>
      <c r="Y790" s="140"/>
      <c r="Z790" s="142"/>
      <c r="AA790" s="139"/>
      <c r="AB790" s="139"/>
      <c r="AC790" s="140"/>
      <c r="AD790" s="140"/>
      <c r="AE790" s="140"/>
    </row>
    <row r="791">
      <c r="A791" s="130"/>
      <c r="B791" s="131"/>
      <c r="C791" s="131"/>
      <c r="D791" s="130"/>
      <c r="E791" s="132"/>
      <c r="F791" s="132"/>
      <c r="G791" s="133"/>
      <c r="H791" s="134"/>
      <c r="I791" s="134"/>
      <c r="J791" s="134"/>
      <c r="K791" s="134"/>
      <c r="L791" s="134"/>
      <c r="M791" s="134"/>
      <c r="N791" s="143"/>
      <c r="O791" s="136"/>
      <c r="P791" s="136"/>
      <c r="Q791" s="137"/>
      <c r="R791" s="138"/>
      <c r="S791" s="138"/>
      <c r="T791" s="139"/>
      <c r="U791" s="139"/>
      <c r="V791" s="139"/>
      <c r="W791" s="140"/>
      <c r="X791" s="141"/>
      <c r="Y791" s="140"/>
      <c r="Z791" s="142"/>
      <c r="AA791" s="139"/>
      <c r="AB791" s="139"/>
      <c r="AC791" s="140"/>
      <c r="AD791" s="140"/>
      <c r="AE791" s="140"/>
    </row>
    <row r="792">
      <c r="A792" s="130"/>
      <c r="B792" s="131"/>
      <c r="C792" s="131"/>
      <c r="D792" s="130"/>
      <c r="E792" s="132"/>
      <c r="F792" s="132"/>
      <c r="G792" s="133"/>
      <c r="H792" s="134"/>
      <c r="I792" s="134"/>
      <c r="J792" s="134"/>
      <c r="K792" s="134"/>
      <c r="L792" s="134"/>
      <c r="M792" s="134"/>
      <c r="N792" s="143"/>
      <c r="O792" s="136"/>
      <c r="P792" s="136"/>
      <c r="Q792" s="137"/>
      <c r="R792" s="138"/>
      <c r="S792" s="138"/>
      <c r="T792" s="139"/>
      <c r="U792" s="139"/>
      <c r="V792" s="139"/>
      <c r="W792" s="140"/>
      <c r="X792" s="141"/>
      <c r="Y792" s="140"/>
      <c r="Z792" s="142"/>
      <c r="AA792" s="139"/>
      <c r="AB792" s="139"/>
      <c r="AC792" s="140"/>
      <c r="AD792" s="140"/>
      <c r="AE792" s="140"/>
    </row>
    <row r="793">
      <c r="A793" s="130"/>
      <c r="B793" s="131"/>
      <c r="C793" s="131"/>
      <c r="D793" s="130"/>
      <c r="E793" s="132"/>
      <c r="F793" s="132"/>
      <c r="G793" s="133"/>
      <c r="H793" s="134"/>
      <c r="I793" s="134"/>
      <c r="J793" s="134"/>
      <c r="K793" s="134"/>
      <c r="L793" s="134"/>
      <c r="M793" s="134"/>
      <c r="N793" s="143"/>
      <c r="O793" s="136"/>
      <c r="P793" s="136"/>
      <c r="Q793" s="137"/>
      <c r="R793" s="138"/>
      <c r="S793" s="138"/>
      <c r="T793" s="139"/>
      <c r="U793" s="139"/>
      <c r="V793" s="139"/>
      <c r="W793" s="140"/>
      <c r="X793" s="141"/>
      <c r="Y793" s="140"/>
      <c r="Z793" s="142"/>
      <c r="AA793" s="139"/>
      <c r="AB793" s="139"/>
      <c r="AC793" s="140"/>
      <c r="AD793" s="140"/>
      <c r="AE793" s="140"/>
    </row>
    <row r="794">
      <c r="A794" s="130"/>
      <c r="B794" s="131"/>
      <c r="C794" s="131"/>
      <c r="D794" s="130"/>
      <c r="E794" s="132"/>
      <c r="F794" s="132"/>
      <c r="G794" s="133"/>
      <c r="H794" s="134"/>
      <c r="I794" s="134"/>
      <c r="J794" s="134"/>
      <c r="K794" s="134"/>
      <c r="L794" s="134"/>
      <c r="M794" s="134"/>
      <c r="N794" s="143"/>
      <c r="O794" s="136"/>
      <c r="P794" s="136"/>
      <c r="Q794" s="137"/>
      <c r="R794" s="138"/>
      <c r="S794" s="138"/>
      <c r="T794" s="139"/>
      <c r="U794" s="139"/>
      <c r="V794" s="139"/>
      <c r="W794" s="140"/>
      <c r="X794" s="141"/>
      <c r="Y794" s="140"/>
      <c r="Z794" s="142"/>
      <c r="AA794" s="139"/>
      <c r="AB794" s="139"/>
      <c r="AC794" s="140"/>
      <c r="AD794" s="140"/>
      <c r="AE794" s="140"/>
    </row>
    <row r="795">
      <c r="A795" s="130"/>
      <c r="B795" s="131"/>
      <c r="C795" s="131"/>
      <c r="D795" s="130"/>
      <c r="E795" s="132"/>
      <c r="F795" s="132"/>
      <c r="G795" s="133"/>
      <c r="H795" s="134"/>
      <c r="I795" s="134"/>
      <c r="J795" s="134"/>
      <c r="K795" s="134"/>
      <c r="L795" s="134"/>
      <c r="M795" s="134"/>
      <c r="N795" s="143"/>
      <c r="O795" s="136"/>
      <c r="P795" s="136"/>
      <c r="Q795" s="137"/>
      <c r="R795" s="138"/>
      <c r="S795" s="138"/>
      <c r="T795" s="139"/>
      <c r="U795" s="139"/>
      <c r="V795" s="139"/>
      <c r="W795" s="140"/>
      <c r="X795" s="141"/>
      <c r="Y795" s="140"/>
      <c r="Z795" s="142"/>
      <c r="AA795" s="139"/>
      <c r="AB795" s="139"/>
      <c r="AC795" s="140"/>
      <c r="AD795" s="140"/>
      <c r="AE795" s="140"/>
    </row>
    <row r="796">
      <c r="A796" s="130"/>
      <c r="B796" s="131"/>
      <c r="C796" s="131"/>
      <c r="D796" s="130"/>
      <c r="E796" s="132"/>
      <c r="F796" s="132"/>
      <c r="G796" s="133"/>
      <c r="H796" s="134"/>
      <c r="I796" s="134"/>
      <c r="J796" s="134"/>
      <c r="K796" s="134"/>
      <c r="L796" s="134"/>
      <c r="M796" s="134"/>
      <c r="N796" s="143"/>
      <c r="O796" s="136"/>
      <c r="P796" s="136"/>
      <c r="Q796" s="137"/>
      <c r="R796" s="138"/>
      <c r="S796" s="138"/>
      <c r="T796" s="139"/>
      <c r="U796" s="139"/>
      <c r="V796" s="139"/>
      <c r="W796" s="140"/>
      <c r="X796" s="141"/>
      <c r="Y796" s="140"/>
      <c r="Z796" s="142"/>
      <c r="AA796" s="139"/>
      <c r="AB796" s="139"/>
      <c r="AC796" s="140"/>
      <c r="AD796" s="140"/>
      <c r="AE796" s="140"/>
    </row>
    <row r="797">
      <c r="A797" s="130"/>
      <c r="B797" s="131"/>
      <c r="C797" s="131"/>
      <c r="D797" s="130"/>
      <c r="E797" s="132"/>
      <c r="F797" s="132"/>
      <c r="G797" s="133"/>
      <c r="H797" s="134"/>
      <c r="I797" s="134"/>
      <c r="J797" s="134"/>
      <c r="K797" s="134"/>
      <c r="L797" s="134"/>
      <c r="M797" s="134"/>
      <c r="N797" s="143"/>
      <c r="O797" s="136"/>
      <c r="P797" s="136"/>
      <c r="Q797" s="137"/>
      <c r="R797" s="138"/>
      <c r="S797" s="138"/>
      <c r="T797" s="139"/>
      <c r="U797" s="139"/>
      <c r="V797" s="139"/>
      <c r="W797" s="140"/>
      <c r="X797" s="141"/>
      <c r="Y797" s="140"/>
      <c r="Z797" s="142"/>
      <c r="AA797" s="139"/>
      <c r="AB797" s="139"/>
      <c r="AC797" s="140"/>
      <c r="AD797" s="140"/>
      <c r="AE797" s="140"/>
    </row>
    <row r="798">
      <c r="A798" s="130"/>
      <c r="B798" s="131"/>
      <c r="C798" s="131"/>
      <c r="D798" s="130"/>
      <c r="E798" s="132"/>
      <c r="F798" s="132"/>
      <c r="G798" s="133"/>
      <c r="H798" s="134"/>
      <c r="I798" s="134"/>
      <c r="J798" s="134"/>
      <c r="K798" s="134"/>
      <c r="L798" s="134"/>
      <c r="M798" s="134"/>
      <c r="N798" s="143"/>
      <c r="O798" s="136"/>
      <c r="P798" s="136"/>
      <c r="Q798" s="137"/>
      <c r="R798" s="138"/>
      <c r="S798" s="138"/>
      <c r="T798" s="139"/>
      <c r="U798" s="139"/>
      <c r="V798" s="139"/>
      <c r="W798" s="140"/>
      <c r="X798" s="141"/>
      <c r="Y798" s="140"/>
      <c r="Z798" s="142"/>
      <c r="AA798" s="139"/>
      <c r="AB798" s="139"/>
      <c r="AC798" s="140"/>
      <c r="AD798" s="140"/>
      <c r="AE798" s="140"/>
    </row>
    <row r="799">
      <c r="A799" s="130"/>
      <c r="B799" s="131"/>
      <c r="C799" s="131"/>
      <c r="D799" s="130"/>
      <c r="E799" s="132"/>
      <c r="F799" s="132"/>
      <c r="G799" s="133"/>
      <c r="H799" s="134"/>
      <c r="I799" s="134"/>
      <c r="J799" s="134"/>
      <c r="K799" s="134"/>
      <c r="L799" s="134"/>
      <c r="M799" s="134"/>
      <c r="N799" s="143"/>
      <c r="O799" s="136"/>
      <c r="P799" s="136"/>
      <c r="Q799" s="137"/>
      <c r="R799" s="138"/>
      <c r="S799" s="138"/>
      <c r="T799" s="139"/>
      <c r="U799" s="139"/>
      <c r="V799" s="139"/>
      <c r="W799" s="140"/>
      <c r="X799" s="141"/>
      <c r="Y799" s="140"/>
      <c r="Z799" s="142"/>
      <c r="AA799" s="139"/>
      <c r="AB799" s="139"/>
      <c r="AC799" s="140"/>
      <c r="AD799" s="140"/>
      <c r="AE799" s="140"/>
    </row>
    <row r="800">
      <c r="A800" s="130"/>
      <c r="B800" s="131"/>
      <c r="C800" s="131"/>
      <c r="D800" s="130"/>
      <c r="E800" s="132"/>
      <c r="F800" s="132"/>
      <c r="G800" s="133"/>
      <c r="H800" s="134"/>
      <c r="I800" s="134"/>
      <c r="J800" s="134"/>
      <c r="K800" s="134"/>
      <c r="L800" s="134"/>
      <c r="M800" s="134"/>
      <c r="N800" s="143"/>
      <c r="O800" s="136"/>
      <c r="P800" s="136"/>
      <c r="Q800" s="137"/>
      <c r="R800" s="138"/>
      <c r="S800" s="138"/>
      <c r="T800" s="139"/>
      <c r="U800" s="139"/>
      <c r="V800" s="139"/>
      <c r="W800" s="140"/>
      <c r="X800" s="141"/>
      <c r="Y800" s="140"/>
      <c r="Z800" s="142"/>
      <c r="AA800" s="139"/>
      <c r="AB800" s="139"/>
      <c r="AC800" s="140"/>
      <c r="AD800" s="140"/>
      <c r="AE800" s="140"/>
    </row>
    <row r="801">
      <c r="A801" s="130"/>
      <c r="B801" s="131"/>
      <c r="C801" s="131"/>
      <c r="D801" s="130"/>
      <c r="E801" s="132"/>
      <c r="F801" s="132"/>
      <c r="G801" s="133"/>
      <c r="H801" s="134"/>
      <c r="I801" s="134"/>
      <c r="J801" s="134"/>
      <c r="K801" s="134"/>
      <c r="L801" s="134"/>
      <c r="M801" s="134"/>
      <c r="N801" s="143"/>
      <c r="O801" s="136"/>
      <c r="P801" s="136"/>
      <c r="Q801" s="137"/>
      <c r="R801" s="138"/>
      <c r="S801" s="138"/>
      <c r="T801" s="139"/>
      <c r="U801" s="139"/>
      <c r="V801" s="139"/>
      <c r="W801" s="140"/>
      <c r="X801" s="141"/>
      <c r="Y801" s="140"/>
      <c r="Z801" s="142"/>
      <c r="AA801" s="139"/>
      <c r="AB801" s="139"/>
      <c r="AC801" s="140"/>
      <c r="AD801" s="140"/>
      <c r="AE801" s="140"/>
    </row>
    <row r="802">
      <c r="A802" s="130"/>
      <c r="B802" s="131"/>
      <c r="C802" s="131"/>
      <c r="D802" s="130"/>
      <c r="E802" s="132"/>
      <c r="F802" s="132"/>
      <c r="G802" s="133"/>
      <c r="H802" s="134"/>
      <c r="I802" s="134"/>
      <c r="J802" s="134"/>
      <c r="K802" s="134"/>
      <c r="L802" s="134"/>
      <c r="M802" s="134"/>
      <c r="N802" s="143"/>
      <c r="O802" s="136"/>
      <c r="P802" s="136"/>
      <c r="Q802" s="137"/>
      <c r="R802" s="138"/>
      <c r="S802" s="138"/>
      <c r="T802" s="139"/>
      <c r="U802" s="139"/>
      <c r="V802" s="139"/>
      <c r="W802" s="140"/>
      <c r="X802" s="141"/>
      <c r="Y802" s="140"/>
      <c r="Z802" s="142"/>
      <c r="AA802" s="139"/>
      <c r="AB802" s="139"/>
      <c r="AC802" s="140"/>
      <c r="AD802" s="140"/>
      <c r="AE802" s="140"/>
    </row>
    <row r="803">
      <c r="A803" s="130"/>
      <c r="B803" s="131"/>
      <c r="C803" s="131"/>
      <c r="D803" s="130"/>
      <c r="E803" s="132"/>
      <c r="F803" s="132"/>
      <c r="G803" s="133"/>
      <c r="H803" s="134"/>
      <c r="I803" s="134"/>
      <c r="J803" s="134"/>
      <c r="K803" s="134"/>
      <c r="L803" s="134"/>
      <c r="M803" s="134"/>
      <c r="N803" s="143"/>
      <c r="O803" s="136"/>
      <c r="P803" s="136"/>
      <c r="Q803" s="137"/>
      <c r="R803" s="138"/>
      <c r="S803" s="138"/>
      <c r="T803" s="139"/>
      <c r="U803" s="139"/>
      <c r="V803" s="139"/>
      <c r="W803" s="140"/>
      <c r="X803" s="141"/>
      <c r="Y803" s="140"/>
      <c r="Z803" s="142"/>
      <c r="AA803" s="139"/>
      <c r="AB803" s="139"/>
      <c r="AC803" s="140"/>
      <c r="AD803" s="140"/>
      <c r="AE803" s="140"/>
    </row>
    <row r="804">
      <c r="A804" s="130"/>
      <c r="B804" s="131"/>
      <c r="C804" s="131"/>
      <c r="D804" s="130"/>
      <c r="E804" s="132"/>
      <c r="F804" s="132"/>
      <c r="G804" s="133"/>
      <c r="H804" s="134"/>
      <c r="I804" s="134"/>
      <c r="J804" s="134"/>
      <c r="K804" s="134"/>
      <c r="L804" s="134"/>
      <c r="M804" s="134"/>
      <c r="N804" s="143"/>
      <c r="O804" s="136"/>
      <c r="P804" s="136"/>
      <c r="Q804" s="137"/>
      <c r="R804" s="138"/>
      <c r="S804" s="138"/>
      <c r="T804" s="139"/>
      <c r="U804" s="139"/>
      <c r="V804" s="139"/>
      <c r="W804" s="140"/>
      <c r="X804" s="141"/>
      <c r="Y804" s="140"/>
      <c r="Z804" s="142"/>
      <c r="AA804" s="139"/>
      <c r="AB804" s="139"/>
      <c r="AC804" s="140"/>
      <c r="AD804" s="140"/>
      <c r="AE804" s="140"/>
    </row>
    <row r="805">
      <c r="A805" s="130"/>
      <c r="B805" s="131"/>
      <c r="C805" s="131"/>
      <c r="D805" s="130"/>
      <c r="E805" s="132"/>
      <c r="F805" s="132"/>
      <c r="G805" s="133"/>
      <c r="H805" s="134"/>
      <c r="I805" s="134"/>
      <c r="J805" s="134"/>
      <c r="K805" s="134"/>
      <c r="L805" s="134"/>
      <c r="M805" s="134"/>
      <c r="N805" s="143"/>
      <c r="O805" s="136"/>
      <c r="P805" s="136"/>
      <c r="Q805" s="137"/>
      <c r="R805" s="138"/>
      <c r="S805" s="138"/>
      <c r="T805" s="139"/>
      <c r="U805" s="139"/>
      <c r="V805" s="139"/>
      <c r="W805" s="140"/>
      <c r="X805" s="141"/>
      <c r="Y805" s="140"/>
      <c r="Z805" s="142"/>
      <c r="AA805" s="139"/>
      <c r="AB805" s="139"/>
      <c r="AC805" s="140"/>
      <c r="AD805" s="140"/>
      <c r="AE805" s="140"/>
    </row>
    <row r="806">
      <c r="A806" s="130"/>
      <c r="B806" s="131"/>
      <c r="C806" s="131"/>
      <c r="D806" s="130"/>
      <c r="E806" s="132"/>
      <c r="F806" s="132"/>
      <c r="G806" s="133"/>
      <c r="H806" s="134"/>
      <c r="I806" s="134"/>
      <c r="J806" s="134"/>
      <c r="K806" s="134"/>
      <c r="L806" s="134"/>
      <c r="M806" s="134"/>
      <c r="N806" s="143"/>
      <c r="O806" s="136"/>
      <c r="P806" s="136"/>
      <c r="Q806" s="137"/>
      <c r="R806" s="138"/>
      <c r="S806" s="138"/>
      <c r="T806" s="139"/>
      <c r="U806" s="139"/>
      <c r="V806" s="139"/>
      <c r="W806" s="140"/>
      <c r="X806" s="141"/>
      <c r="Y806" s="140"/>
      <c r="Z806" s="142"/>
      <c r="AA806" s="139"/>
      <c r="AB806" s="139"/>
      <c r="AC806" s="140"/>
      <c r="AD806" s="140"/>
      <c r="AE806" s="140"/>
    </row>
    <row r="807">
      <c r="A807" s="130"/>
      <c r="B807" s="131"/>
      <c r="C807" s="131"/>
      <c r="D807" s="130"/>
      <c r="E807" s="132"/>
      <c r="F807" s="132"/>
      <c r="G807" s="133"/>
      <c r="H807" s="134"/>
      <c r="I807" s="134"/>
      <c r="J807" s="134"/>
      <c r="K807" s="134"/>
      <c r="L807" s="134"/>
      <c r="M807" s="134"/>
      <c r="N807" s="143"/>
      <c r="O807" s="136"/>
      <c r="P807" s="136"/>
      <c r="Q807" s="137"/>
      <c r="R807" s="138"/>
      <c r="S807" s="138"/>
      <c r="T807" s="139"/>
      <c r="U807" s="139"/>
      <c r="V807" s="139"/>
      <c r="W807" s="140"/>
      <c r="X807" s="141"/>
      <c r="Y807" s="140"/>
      <c r="Z807" s="142"/>
      <c r="AA807" s="139"/>
      <c r="AB807" s="139"/>
      <c r="AC807" s="140"/>
      <c r="AD807" s="140"/>
      <c r="AE807" s="140"/>
    </row>
    <row r="808">
      <c r="A808" s="130"/>
      <c r="B808" s="131"/>
      <c r="C808" s="131"/>
      <c r="D808" s="130"/>
      <c r="E808" s="132"/>
      <c r="F808" s="132"/>
      <c r="G808" s="133"/>
      <c r="H808" s="134"/>
      <c r="I808" s="134"/>
      <c r="J808" s="134"/>
      <c r="K808" s="134"/>
      <c r="L808" s="134"/>
      <c r="M808" s="134"/>
      <c r="N808" s="143"/>
      <c r="O808" s="136"/>
      <c r="P808" s="136"/>
      <c r="Q808" s="137"/>
      <c r="R808" s="138"/>
      <c r="S808" s="138"/>
      <c r="T808" s="139"/>
      <c r="U808" s="139"/>
      <c r="V808" s="139"/>
      <c r="W808" s="140"/>
      <c r="X808" s="141"/>
      <c r="Y808" s="140"/>
      <c r="Z808" s="142"/>
      <c r="AA808" s="139"/>
      <c r="AB808" s="139"/>
      <c r="AC808" s="140"/>
      <c r="AD808" s="140"/>
      <c r="AE808" s="140"/>
    </row>
    <row r="809">
      <c r="A809" s="130"/>
      <c r="B809" s="131"/>
      <c r="C809" s="131"/>
      <c r="D809" s="130"/>
      <c r="E809" s="132"/>
      <c r="F809" s="132"/>
      <c r="G809" s="133"/>
      <c r="H809" s="134"/>
      <c r="I809" s="134"/>
      <c r="J809" s="134"/>
      <c r="K809" s="134"/>
      <c r="L809" s="134"/>
      <c r="M809" s="134"/>
      <c r="N809" s="143"/>
      <c r="O809" s="136"/>
      <c r="P809" s="136"/>
      <c r="Q809" s="137"/>
      <c r="R809" s="138"/>
      <c r="S809" s="138"/>
      <c r="T809" s="139"/>
      <c r="U809" s="139"/>
      <c r="V809" s="139"/>
      <c r="W809" s="140"/>
      <c r="X809" s="141"/>
      <c r="Y809" s="140"/>
      <c r="Z809" s="142"/>
      <c r="AA809" s="139"/>
      <c r="AB809" s="139"/>
      <c r="AC809" s="140"/>
      <c r="AD809" s="140"/>
      <c r="AE809" s="140"/>
    </row>
    <row r="810">
      <c r="A810" s="130"/>
      <c r="B810" s="131"/>
      <c r="C810" s="131"/>
      <c r="D810" s="130"/>
      <c r="E810" s="132"/>
      <c r="F810" s="132"/>
      <c r="G810" s="133"/>
      <c r="H810" s="134"/>
      <c r="I810" s="134"/>
      <c r="J810" s="134"/>
      <c r="K810" s="134"/>
      <c r="L810" s="134"/>
      <c r="M810" s="134"/>
      <c r="N810" s="143"/>
      <c r="O810" s="136"/>
      <c r="P810" s="136"/>
      <c r="Q810" s="137"/>
      <c r="R810" s="138"/>
      <c r="S810" s="138"/>
      <c r="T810" s="139"/>
      <c r="U810" s="139"/>
      <c r="V810" s="139"/>
      <c r="W810" s="140"/>
      <c r="X810" s="141"/>
      <c r="Y810" s="140"/>
      <c r="Z810" s="142"/>
      <c r="AA810" s="139"/>
      <c r="AB810" s="139"/>
      <c r="AC810" s="140"/>
      <c r="AD810" s="140"/>
      <c r="AE810" s="140"/>
    </row>
    <row r="811">
      <c r="A811" s="130"/>
      <c r="B811" s="131"/>
      <c r="C811" s="131"/>
      <c r="D811" s="130"/>
      <c r="E811" s="132"/>
      <c r="F811" s="132"/>
      <c r="G811" s="133"/>
      <c r="H811" s="134"/>
      <c r="I811" s="134"/>
      <c r="J811" s="134"/>
      <c r="K811" s="134"/>
      <c r="L811" s="134"/>
      <c r="M811" s="134"/>
      <c r="N811" s="143"/>
      <c r="O811" s="136"/>
      <c r="P811" s="136"/>
      <c r="Q811" s="137"/>
      <c r="R811" s="138"/>
      <c r="S811" s="138"/>
      <c r="T811" s="139"/>
      <c r="U811" s="139"/>
      <c r="V811" s="139"/>
      <c r="W811" s="140"/>
      <c r="X811" s="141"/>
      <c r="Y811" s="140"/>
      <c r="Z811" s="142"/>
      <c r="AA811" s="139"/>
      <c r="AB811" s="139"/>
      <c r="AC811" s="140"/>
      <c r="AD811" s="140"/>
      <c r="AE811" s="140"/>
    </row>
    <row r="812">
      <c r="A812" s="130"/>
      <c r="B812" s="131"/>
      <c r="C812" s="131"/>
      <c r="D812" s="130"/>
      <c r="E812" s="132"/>
      <c r="F812" s="132"/>
      <c r="G812" s="133"/>
      <c r="H812" s="134"/>
      <c r="I812" s="134"/>
      <c r="J812" s="134"/>
      <c r="K812" s="134"/>
      <c r="L812" s="134"/>
      <c r="M812" s="134"/>
      <c r="N812" s="143"/>
      <c r="O812" s="136"/>
      <c r="P812" s="136"/>
      <c r="Q812" s="137"/>
      <c r="R812" s="138"/>
      <c r="S812" s="138"/>
      <c r="T812" s="139"/>
      <c r="U812" s="139"/>
      <c r="V812" s="139"/>
      <c r="W812" s="140"/>
      <c r="X812" s="141"/>
      <c r="Y812" s="140"/>
      <c r="Z812" s="142"/>
      <c r="AA812" s="139"/>
      <c r="AB812" s="139"/>
      <c r="AC812" s="140"/>
      <c r="AD812" s="140"/>
      <c r="AE812" s="140"/>
    </row>
    <row r="813">
      <c r="A813" s="130"/>
      <c r="B813" s="131"/>
      <c r="C813" s="131"/>
      <c r="D813" s="130"/>
      <c r="E813" s="132"/>
      <c r="F813" s="132"/>
      <c r="G813" s="133"/>
      <c r="H813" s="134"/>
      <c r="I813" s="134"/>
      <c r="J813" s="134"/>
      <c r="K813" s="134"/>
      <c r="L813" s="134"/>
      <c r="M813" s="134"/>
      <c r="N813" s="143"/>
      <c r="O813" s="136"/>
      <c r="P813" s="136"/>
      <c r="Q813" s="137"/>
      <c r="R813" s="138"/>
      <c r="S813" s="138"/>
      <c r="T813" s="139"/>
      <c r="U813" s="139"/>
      <c r="V813" s="139"/>
      <c r="W813" s="140"/>
      <c r="X813" s="141"/>
      <c r="Y813" s="140"/>
      <c r="Z813" s="142"/>
      <c r="AA813" s="139"/>
      <c r="AB813" s="139"/>
      <c r="AC813" s="140"/>
      <c r="AD813" s="140"/>
      <c r="AE813" s="140"/>
    </row>
    <row r="814">
      <c r="A814" s="130"/>
      <c r="B814" s="131"/>
      <c r="C814" s="131"/>
      <c r="D814" s="130"/>
      <c r="E814" s="132"/>
      <c r="F814" s="132"/>
      <c r="G814" s="133"/>
      <c r="H814" s="134"/>
      <c r="I814" s="134"/>
      <c r="J814" s="134"/>
      <c r="K814" s="134"/>
      <c r="L814" s="134"/>
      <c r="M814" s="134"/>
      <c r="N814" s="143"/>
      <c r="O814" s="136"/>
      <c r="P814" s="136"/>
      <c r="Q814" s="137"/>
      <c r="R814" s="138"/>
      <c r="S814" s="138"/>
      <c r="T814" s="139"/>
      <c r="U814" s="139"/>
      <c r="V814" s="139"/>
      <c r="W814" s="140"/>
      <c r="X814" s="141"/>
      <c r="Y814" s="140"/>
      <c r="Z814" s="142"/>
      <c r="AA814" s="139"/>
      <c r="AB814" s="139"/>
      <c r="AC814" s="140"/>
      <c r="AD814" s="140"/>
      <c r="AE814" s="140"/>
    </row>
    <row r="815">
      <c r="A815" s="130"/>
      <c r="B815" s="131"/>
      <c r="C815" s="131"/>
      <c r="D815" s="130"/>
      <c r="E815" s="132"/>
      <c r="F815" s="132"/>
      <c r="G815" s="133"/>
      <c r="H815" s="134"/>
      <c r="I815" s="134"/>
      <c r="J815" s="134"/>
      <c r="K815" s="134"/>
      <c r="L815" s="134"/>
      <c r="M815" s="134"/>
      <c r="N815" s="143"/>
      <c r="O815" s="136"/>
      <c r="P815" s="136"/>
      <c r="Q815" s="137"/>
      <c r="R815" s="138"/>
      <c r="S815" s="138"/>
      <c r="T815" s="139"/>
      <c r="U815" s="139"/>
      <c r="V815" s="139"/>
      <c r="W815" s="140"/>
      <c r="X815" s="141"/>
      <c r="Y815" s="140"/>
      <c r="Z815" s="142"/>
      <c r="AA815" s="139"/>
      <c r="AB815" s="139"/>
      <c r="AC815" s="140"/>
      <c r="AD815" s="140"/>
      <c r="AE815" s="140"/>
    </row>
    <row r="816">
      <c r="A816" s="130"/>
      <c r="B816" s="131"/>
      <c r="C816" s="131"/>
      <c r="D816" s="130"/>
      <c r="E816" s="132"/>
      <c r="F816" s="132"/>
      <c r="G816" s="133"/>
      <c r="H816" s="134"/>
      <c r="I816" s="134"/>
      <c r="J816" s="134"/>
      <c r="K816" s="134"/>
      <c r="L816" s="134"/>
      <c r="M816" s="134"/>
      <c r="N816" s="143"/>
      <c r="O816" s="136"/>
      <c r="P816" s="136"/>
      <c r="Q816" s="137"/>
      <c r="R816" s="138"/>
      <c r="S816" s="138"/>
      <c r="T816" s="139"/>
      <c r="U816" s="139"/>
      <c r="V816" s="139"/>
      <c r="W816" s="140"/>
      <c r="X816" s="141"/>
      <c r="Y816" s="140"/>
      <c r="Z816" s="142"/>
      <c r="AA816" s="139"/>
      <c r="AB816" s="139"/>
      <c r="AC816" s="140"/>
      <c r="AD816" s="140"/>
      <c r="AE816" s="140"/>
    </row>
    <row r="817">
      <c r="A817" s="130"/>
      <c r="B817" s="131"/>
      <c r="C817" s="131"/>
      <c r="D817" s="130"/>
      <c r="E817" s="132"/>
      <c r="F817" s="132"/>
      <c r="G817" s="133"/>
      <c r="H817" s="134"/>
      <c r="I817" s="134"/>
      <c r="J817" s="134"/>
      <c r="K817" s="134"/>
      <c r="L817" s="134"/>
      <c r="M817" s="134"/>
      <c r="N817" s="143"/>
      <c r="O817" s="136"/>
      <c r="P817" s="136"/>
      <c r="Q817" s="137"/>
      <c r="R817" s="138"/>
      <c r="S817" s="138"/>
      <c r="T817" s="139"/>
      <c r="U817" s="139"/>
      <c r="V817" s="139"/>
      <c r="W817" s="140"/>
      <c r="X817" s="141"/>
      <c r="Y817" s="140"/>
      <c r="Z817" s="142"/>
      <c r="AA817" s="139"/>
      <c r="AB817" s="139"/>
      <c r="AC817" s="140"/>
      <c r="AD817" s="140"/>
      <c r="AE817" s="140"/>
    </row>
    <row r="818">
      <c r="A818" s="130"/>
      <c r="B818" s="131"/>
      <c r="C818" s="131"/>
      <c r="D818" s="130"/>
      <c r="E818" s="132"/>
      <c r="F818" s="132"/>
      <c r="G818" s="133"/>
      <c r="H818" s="134"/>
      <c r="I818" s="134"/>
      <c r="J818" s="134"/>
      <c r="K818" s="134"/>
      <c r="L818" s="134"/>
      <c r="M818" s="134"/>
      <c r="N818" s="143"/>
      <c r="O818" s="136"/>
      <c r="P818" s="136"/>
      <c r="Q818" s="137"/>
      <c r="R818" s="138"/>
      <c r="S818" s="138"/>
      <c r="T818" s="139"/>
      <c r="U818" s="139"/>
      <c r="V818" s="139"/>
      <c r="W818" s="140"/>
      <c r="X818" s="141"/>
      <c r="Y818" s="140"/>
      <c r="Z818" s="142"/>
      <c r="AA818" s="139"/>
      <c r="AB818" s="139"/>
      <c r="AC818" s="140"/>
      <c r="AD818" s="140"/>
      <c r="AE818" s="140"/>
    </row>
    <row r="819">
      <c r="A819" s="130"/>
      <c r="B819" s="131"/>
      <c r="C819" s="131"/>
      <c r="D819" s="130"/>
      <c r="E819" s="132"/>
      <c r="F819" s="132"/>
      <c r="G819" s="133"/>
      <c r="H819" s="134"/>
      <c r="I819" s="134"/>
      <c r="J819" s="134"/>
      <c r="K819" s="134"/>
      <c r="L819" s="134"/>
      <c r="M819" s="134"/>
      <c r="N819" s="143"/>
      <c r="O819" s="136"/>
      <c r="P819" s="136"/>
      <c r="Q819" s="137"/>
      <c r="R819" s="138"/>
      <c r="S819" s="138"/>
      <c r="T819" s="139"/>
      <c r="U819" s="139"/>
      <c r="V819" s="139"/>
      <c r="W819" s="140"/>
      <c r="X819" s="141"/>
      <c r="Y819" s="140"/>
      <c r="Z819" s="142"/>
      <c r="AA819" s="139"/>
      <c r="AB819" s="139"/>
      <c r="AC819" s="140"/>
      <c r="AD819" s="140"/>
      <c r="AE819" s="140"/>
    </row>
    <row r="820">
      <c r="A820" s="130"/>
      <c r="B820" s="131"/>
      <c r="C820" s="131"/>
      <c r="D820" s="130"/>
      <c r="E820" s="132"/>
      <c r="F820" s="132"/>
      <c r="G820" s="133"/>
      <c r="H820" s="134"/>
      <c r="I820" s="134"/>
      <c r="J820" s="134"/>
      <c r="K820" s="134"/>
      <c r="L820" s="134"/>
      <c r="M820" s="134"/>
      <c r="N820" s="143"/>
      <c r="O820" s="136"/>
      <c r="P820" s="136"/>
      <c r="Q820" s="137"/>
      <c r="R820" s="138"/>
      <c r="S820" s="138"/>
      <c r="T820" s="139"/>
      <c r="U820" s="139"/>
      <c r="V820" s="139"/>
      <c r="W820" s="140"/>
      <c r="X820" s="141"/>
      <c r="Y820" s="140"/>
      <c r="Z820" s="142"/>
      <c r="AA820" s="139"/>
      <c r="AB820" s="139"/>
      <c r="AC820" s="140"/>
      <c r="AD820" s="140"/>
      <c r="AE820" s="140"/>
    </row>
    <row r="821">
      <c r="A821" s="130"/>
      <c r="B821" s="131"/>
      <c r="C821" s="131"/>
      <c r="D821" s="130"/>
      <c r="E821" s="132"/>
      <c r="F821" s="132"/>
      <c r="G821" s="133"/>
      <c r="H821" s="134"/>
      <c r="I821" s="134"/>
      <c r="J821" s="134"/>
      <c r="K821" s="134"/>
      <c r="L821" s="134"/>
      <c r="M821" s="134"/>
      <c r="N821" s="143"/>
      <c r="O821" s="136"/>
      <c r="P821" s="136"/>
      <c r="Q821" s="137"/>
      <c r="R821" s="138"/>
      <c r="S821" s="138"/>
      <c r="T821" s="139"/>
      <c r="U821" s="139"/>
      <c r="V821" s="139"/>
      <c r="W821" s="140"/>
      <c r="X821" s="141"/>
      <c r="Y821" s="140"/>
      <c r="Z821" s="142"/>
      <c r="AA821" s="139"/>
      <c r="AB821" s="139"/>
      <c r="AC821" s="140"/>
      <c r="AD821" s="140"/>
      <c r="AE821" s="140"/>
    </row>
    <row r="822">
      <c r="A822" s="130"/>
      <c r="B822" s="131"/>
      <c r="C822" s="131"/>
      <c r="D822" s="130"/>
      <c r="E822" s="132"/>
      <c r="F822" s="132"/>
      <c r="G822" s="133"/>
      <c r="H822" s="134"/>
      <c r="I822" s="134"/>
      <c r="J822" s="134"/>
      <c r="K822" s="134"/>
      <c r="L822" s="134"/>
      <c r="M822" s="134"/>
      <c r="N822" s="143"/>
      <c r="O822" s="136"/>
      <c r="P822" s="136"/>
      <c r="Q822" s="137"/>
      <c r="R822" s="138"/>
      <c r="S822" s="138"/>
      <c r="T822" s="139"/>
      <c r="U822" s="139"/>
      <c r="V822" s="139"/>
      <c r="W822" s="140"/>
      <c r="X822" s="141"/>
      <c r="Y822" s="140"/>
      <c r="Z822" s="142"/>
      <c r="AA822" s="139"/>
      <c r="AB822" s="139"/>
      <c r="AC822" s="140"/>
      <c r="AD822" s="140"/>
      <c r="AE822" s="140"/>
    </row>
    <row r="823">
      <c r="A823" s="130"/>
      <c r="B823" s="131"/>
      <c r="C823" s="131"/>
      <c r="D823" s="130"/>
      <c r="E823" s="132"/>
      <c r="F823" s="132"/>
      <c r="G823" s="133"/>
      <c r="H823" s="134"/>
      <c r="I823" s="134"/>
      <c r="J823" s="134"/>
      <c r="K823" s="134"/>
      <c r="L823" s="134"/>
      <c r="M823" s="134"/>
      <c r="N823" s="143"/>
      <c r="O823" s="136"/>
      <c r="P823" s="136"/>
      <c r="Q823" s="137"/>
      <c r="R823" s="138"/>
      <c r="S823" s="138"/>
      <c r="T823" s="139"/>
      <c r="U823" s="139"/>
      <c r="V823" s="139"/>
      <c r="W823" s="140"/>
      <c r="X823" s="141"/>
      <c r="Y823" s="140"/>
      <c r="Z823" s="142"/>
      <c r="AA823" s="139"/>
      <c r="AB823" s="139"/>
      <c r="AC823" s="140"/>
      <c r="AD823" s="140"/>
      <c r="AE823" s="140"/>
    </row>
    <row r="824">
      <c r="A824" s="130"/>
      <c r="B824" s="131"/>
      <c r="C824" s="131"/>
      <c r="D824" s="130"/>
      <c r="E824" s="132"/>
      <c r="F824" s="132"/>
      <c r="G824" s="133"/>
      <c r="H824" s="134"/>
      <c r="I824" s="134"/>
      <c r="J824" s="134"/>
      <c r="K824" s="134"/>
      <c r="L824" s="134"/>
      <c r="M824" s="134"/>
      <c r="N824" s="143"/>
      <c r="O824" s="136"/>
      <c r="P824" s="136"/>
      <c r="Q824" s="137"/>
      <c r="R824" s="138"/>
      <c r="S824" s="138"/>
      <c r="T824" s="139"/>
      <c r="U824" s="139"/>
      <c r="V824" s="139"/>
      <c r="W824" s="140"/>
      <c r="X824" s="141"/>
      <c r="Y824" s="140"/>
      <c r="Z824" s="142"/>
      <c r="AA824" s="139"/>
      <c r="AB824" s="139"/>
      <c r="AC824" s="140"/>
      <c r="AD824" s="140"/>
      <c r="AE824" s="140"/>
    </row>
    <row r="825">
      <c r="A825" s="130"/>
      <c r="B825" s="131"/>
      <c r="C825" s="131"/>
      <c r="D825" s="130"/>
      <c r="E825" s="132"/>
      <c r="F825" s="132"/>
      <c r="G825" s="133"/>
      <c r="H825" s="134"/>
      <c r="I825" s="134"/>
      <c r="J825" s="134"/>
      <c r="K825" s="134"/>
      <c r="L825" s="134"/>
      <c r="M825" s="134"/>
      <c r="N825" s="143"/>
      <c r="O825" s="136"/>
      <c r="P825" s="136"/>
      <c r="Q825" s="137"/>
      <c r="R825" s="138"/>
      <c r="S825" s="138"/>
      <c r="T825" s="139"/>
      <c r="U825" s="139"/>
      <c r="V825" s="139"/>
      <c r="W825" s="140"/>
      <c r="X825" s="141"/>
      <c r="Y825" s="140"/>
      <c r="Z825" s="142"/>
      <c r="AA825" s="139"/>
      <c r="AB825" s="139"/>
      <c r="AC825" s="140"/>
      <c r="AD825" s="140"/>
      <c r="AE825" s="140"/>
    </row>
    <row r="826">
      <c r="A826" s="130"/>
      <c r="B826" s="131"/>
      <c r="C826" s="131"/>
      <c r="D826" s="130"/>
      <c r="E826" s="132"/>
      <c r="F826" s="132"/>
      <c r="G826" s="133"/>
      <c r="H826" s="134"/>
      <c r="I826" s="134"/>
      <c r="J826" s="134"/>
      <c r="K826" s="134"/>
      <c r="L826" s="134"/>
      <c r="M826" s="134"/>
      <c r="N826" s="143"/>
      <c r="O826" s="136"/>
      <c r="P826" s="136"/>
      <c r="Q826" s="137"/>
      <c r="R826" s="138"/>
      <c r="S826" s="138"/>
      <c r="T826" s="139"/>
      <c r="U826" s="139"/>
      <c r="V826" s="139"/>
      <c r="W826" s="140"/>
      <c r="X826" s="141"/>
      <c r="Y826" s="140"/>
      <c r="Z826" s="142"/>
      <c r="AA826" s="139"/>
      <c r="AB826" s="139"/>
      <c r="AC826" s="140"/>
      <c r="AD826" s="140"/>
      <c r="AE826" s="140"/>
    </row>
    <row r="827">
      <c r="A827" s="130"/>
      <c r="B827" s="131"/>
      <c r="C827" s="131"/>
      <c r="D827" s="130"/>
      <c r="E827" s="132"/>
      <c r="F827" s="132"/>
      <c r="G827" s="133"/>
      <c r="H827" s="134"/>
      <c r="I827" s="134"/>
      <c r="J827" s="134"/>
      <c r="K827" s="134"/>
      <c r="L827" s="134"/>
      <c r="M827" s="134"/>
      <c r="N827" s="143"/>
      <c r="O827" s="136"/>
      <c r="P827" s="136"/>
      <c r="Q827" s="137"/>
      <c r="R827" s="138"/>
      <c r="S827" s="138"/>
      <c r="T827" s="139"/>
      <c r="U827" s="139"/>
      <c r="V827" s="139"/>
      <c r="W827" s="140"/>
      <c r="X827" s="141"/>
      <c r="Y827" s="140"/>
      <c r="Z827" s="142"/>
      <c r="AA827" s="139"/>
      <c r="AB827" s="139"/>
      <c r="AC827" s="140"/>
      <c r="AD827" s="140"/>
      <c r="AE827" s="140"/>
    </row>
    <row r="828">
      <c r="A828" s="130"/>
      <c r="B828" s="131"/>
      <c r="C828" s="131"/>
      <c r="D828" s="130"/>
      <c r="E828" s="132"/>
      <c r="F828" s="132"/>
      <c r="G828" s="133"/>
      <c r="H828" s="134"/>
      <c r="I828" s="134"/>
      <c r="J828" s="134"/>
      <c r="K828" s="134"/>
      <c r="L828" s="134"/>
      <c r="M828" s="134"/>
      <c r="N828" s="143"/>
      <c r="O828" s="136"/>
      <c r="P828" s="136"/>
      <c r="Q828" s="137"/>
      <c r="R828" s="138"/>
      <c r="S828" s="138"/>
      <c r="T828" s="139"/>
      <c r="U828" s="139"/>
      <c r="V828" s="139"/>
      <c r="W828" s="140"/>
      <c r="X828" s="141"/>
      <c r="Y828" s="140"/>
      <c r="Z828" s="142"/>
      <c r="AA828" s="139"/>
      <c r="AB828" s="139"/>
      <c r="AC828" s="140"/>
      <c r="AD828" s="140"/>
      <c r="AE828" s="140"/>
    </row>
    <row r="829">
      <c r="A829" s="130"/>
      <c r="B829" s="131"/>
      <c r="C829" s="131"/>
      <c r="D829" s="130"/>
      <c r="E829" s="132"/>
      <c r="F829" s="132"/>
      <c r="G829" s="133"/>
      <c r="H829" s="134"/>
      <c r="I829" s="134"/>
      <c r="J829" s="134"/>
      <c r="K829" s="134"/>
      <c r="L829" s="134"/>
      <c r="M829" s="134"/>
      <c r="N829" s="143"/>
      <c r="O829" s="136"/>
      <c r="P829" s="136"/>
      <c r="Q829" s="137"/>
      <c r="R829" s="138"/>
      <c r="S829" s="138"/>
      <c r="T829" s="139"/>
      <c r="U829" s="139"/>
      <c r="V829" s="139"/>
      <c r="W829" s="140"/>
      <c r="X829" s="141"/>
      <c r="Y829" s="140"/>
      <c r="Z829" s="142"/>
      <c r="AA829" s="139"/>
      <c r="AB829" s="139"/>
      <c r="AC829" s="140"/>
      <c r="AD829" s="140"/>
      <c r="AE829" s="140"/>
    </row>
    <row r="830">
      <c r="A830" s="130"/>
      <c r="B830" s="131"/>
      <c r="C830" s="131"/>
      <c r="D830" s="130"/>
      <c r="E830" s="132"/>
      <c r="F830" s="132"/>
      <c r="G830" s="133"/>
      <c r="H830" s="134"/>
      <c r="I830" s="134"/>
      <c r="J830" s="134"/>
      <c r="K830" s="134"/>
      <c r="L830" s="134"/>
      <c r="M830" s="134"/>
      <c r="N830" s="143"/>
      <c r="O830" s="136"/>
      <c r="P830" s="136"/>
      <c r="Q830" s="137"/>
      <c r="R830" s="138"/>
      <c r="S830" s="138"/>
      <c r="T830" s="139"/>
      <c r="U830" s="139"/>
      <c r="V830" s="139"/>
      <c r="W830" s="140"/>
      <c r="X830" s="141"/>
      <c r="Y830" s="140"/>
      <c r="Z830" s="142"/>
      <c r="AA830" s="139"/>
      <c r="AB830" s="139"/>
      <c r="AC830" s="140"/>
      <c r="AD830" s="140"/>
      <c r="AE830" s="140"/>
    </row>
    <row r="831">
      <c r="A831" s="130"/>
      <c r="B831" s="131"/>
      <c r="C831" s="131"/>
      <c r="D831" s="130"/>
      <c r="E831" s="132"/>
      <c r="F831" s="132"/>
      <c r="G831" s="133"/>
      <c r="H831" s="134"/>
      <c r="I831" s="134"/>
      <c r="J831" s="134"/>
      <c r="K831" s="134"/>
      <c r="L831" s="134"/>
      <c r="M831" s="134"/>
      <c r="N831" s="143"/>
      <c r="O831" s="136"/>
      <c r="P831" s="136"/>
      <c r="Q831" s="137"/>
      <c r="R831" s="138"/>
      <c r="S831" s="138"/>
      <c r="T831" s="139"/>
      <c r="U831" s="139"/>
      <c r="V831" s="139"/>
      <c r="W831" s="140"/>
      <c r="X831" s="141"/>
      <c r="Y831" s="140"/>
      <c r="Z831" s="142"/>
      <c r="AA831" s="139"/>
      <c r="AB831" s="139"/>
      <c r="AC831" s="140"/>
      <c r="AD831" s="140"/>
      <c r="AE831" s="140"/>
    </row>
    <row r="832">
      <c r="A832" s="130"/>
      <c r="B832" s="131"/>
      <c r="C832" s="131"/>
      <c r="D832" s="130"/>
      <c r="E832" s="132"/>
      <c r="F832" s="132"/>
      <c r="G832" s="133"/>
      <c r="H832" s="134"/>
      <c r="I832" s="134"/>
      <c r="J832" s="134"/>
      <c r="K832" s="134"/>
      <c r="L832" s="134"/>
      <c r="M832" s="134"/>
      <c r="N832" s="143"/>
      <c r="O832" s="136"/>
      <c r="P832" s="136"/>
      <c r="Q832" s="137"/>
      <c r="R832" s="138"/>
      <c r="S832" s="138"/>
      <c r="T832" s="139"/>
      <c r="U832" s="139"/>
      <c r="V832" s="139"/>
      <c r="W832" s="140"/>
      <c r="X832" s="141"/>
      <c r="Y832" s="140"/>
      <c r="Z832" s="142"/>
      <c r="AA832" s="139"/>
      <c r="AB832" s="139"/>
      <c r="AC832" s="140"/>
      <c r="AD832" s="140"/>
      <c r="AE832" s="140"/>
    </row>
    <row r="833">
      <c r="A833" s="130"/>
      <c r="B833" s="131"/>
      <c r="C833" s="131"/>
      <c r="D833" s="130"/>
      <c r="E833" s="132"/>
      <c r="F833" s="132"/>
      <c r="G833" s="133"/>
      <c r="H833" s="134"/>
      <c r="I833" s="134"/>
      <c r="J833" s="134"/>
      <c r="K833" s="134"/>
      <c r="L833" s="134"/>
      <c r="M833" s="134"/>
      <c r="N833" s="143"/>
      <c r="O833" s="136"/>
      <c r="P833" s="136"/>
      <c r="Q833" s="137"/>
      <c r="R833" s="138"/>
      <c r="S833" s="138"/>
      <c r="T833" s="139"/>
      <c r="U833" s="139"/>
      <c r="V833" s="139"/>
      <c r="W833" s="140"/>
      <c r="X833" s="141"/>
      <c r="Y833" s="140"/>
      <c r="Z833" s="142"/>
      <c r="AA833" s="139"/>
      <c r="AB833" s="139"/>
      <c r="AC833" s="140"/>
      <c r="AD833" s="140"/>
      <c r="AE833" s="140"/>
    </row>
    <row r="834">
      <c r="A834" s="130"/>
      <c r="B834" s="131"/>
      <c r="C834" s="131"/>
      <c r="D834" s="130"/>
      <c r="E834" s="132"/>
      <c r="F834" s="132"/>
      <c r="G834" s="133"/>
      <c r="H834" s="134"/>
      <c r="I834" s="134"/>
      <c r="J834" s="134"/>
      <c r="K834" s="134"/>
      <c r="L834" s="134"/>
      <c r="M834" s="134"/>
      <c r="N834" s="143"/>
      <c r="O834" s="136"/>
      <c r="P834" s="136"/>
      <c r="Q834" s="137"/>
      <c r="R834" s="138"/>
      <c r="S834" s="138"/>
      <c r="T834" s="139"/>
      <c r="U834" s="139"/>
      <c r="V834" s="139"/>
      <c r="W834" s="140"/>
      <c r="X834" s="141"/>
      <c r="Y834" s="140"/>
      <c r="Z834" s="142"/>
      <c r="AA834" s="139"/>
      <c r="AB834" s="139"/>
      <c r="AC834" s="140"/>
      <c r="AD834" s="140"/>
      <c r="AE834" s="140"/>
    </row>
    <row r="835">
      <c r="A835" s="130"/>
      <c r="B835" s="131"/>
      <c r="C835" s="131"/>
      <c r="D835" s="130"/>
      <c r="E835" s="132"/>
      <c r="F835" s="132"/>
      <c r="G835" s="133"/>
      <c r="H835" s="134"/>
      <c r="I835" s="134"/>
      <c r="J835" s="134"/>
      <c r="K835" s="134"/>
      <c r="L835" s="134"/>
      <c r="M835" s="134"/>
      <c r="N835" s="143"/>
      <c r="O835" s="136"/>
      <c r="P835" s="136"/>
      <c r="Q835" s="137"/>
      <c r="R835" s="138"/>
      <c r="S835" s="138"/>
      <c r="T835" s="139"/>
      <c r="U835" s="139"/>
      <c r="V835" s="139"/>
      <c r="W835" s="140"/>
      <c r="X835" s="141"/>
      <c r="Y835" s="140"/>
      <c r="Z835" s="142"/>
      <c r="AA835" s="139"/>
      <c r="AB835" s="139"/>
      <c r="AC835" s="140"/>
      <c r="AD835" s="140"/>
      <c r="AE835" s="140"/>
    </row>
    <row r="836">
      <c r="A836" s="130"/>
      <c r="B836" s="131"/>
      <c r="C836" s="131"/>
      <c r="D836" s="130"/>
      <c r="E836" s="132"/>
      <c r="F836" s="132"/>
      <c r="G836" s="133"/>
      <c r="H836" s="134"/>
      <c r="I836" s="134"/>
      <c r="J836" s="134"/>
      <c r="K836" s="134"/>
      <c r="L836" s="134"/>
      <c r="M836" s="134"/>
      <c r="N836" s="143"/>
      <c r="O836" s="136"/>
      <c r="P836" s="136"/>
      <c r="Q836" s="137"/>
      <c r="R836" s="138"/>
      <c r="S836" s="138"/>
      <c r="T836" s="139"/>
      <c r="U836" s="139"/>
      <c r="V836" s="139"/>
      <c r="W836" s="140"/>
      <c r="X836" s="141"/>
      <c r="Y836" s="140"/>
      <c r="Z836" s="142"/>
      <c r="AA836" s="139"/>
      <c r="AB836" s="139"/>
      <c r="AC836" s="140"/>
      <c r="AD836" s="140"/>
      <c r="AE836" s="140"/>
    </row>
    <row r="837">
      <c r="A837" s="130"/>
      <c r="B837" s="131"/>
      <c r="C837" s="131"/>
      <c r="D837" s="130"/>
      <c r="E837" s="132"/>
      <c r="F837" s="132"/>
      <c r="G837" s="133"/>
      <c r="H837" s="134"/>
      <c r="I837" s="134"/>
      <c r="J837" s="134"/>
      <c r="K837" s="134"/>
      <c r="L837" s="134"/>
      <c r="M837" s="134"/>
      <c r="N837" s="143"/>
      <c r="O837" s="136"/>
      <c r="P837" s="136"/>
      <c r="Q837" s="137"/>
      <c r="R837" s="138"/>
      <c r="S837" s="138"/>
      <c r="T837" s="139"/>
      <c r="U837" s="139"/>
      <c r="V837" s="139"/>
      <c r="W837" s="140"/>
      <c r="X837" s="141"/>
      <c r="Y837" s="140"/>
      <c r="Z837" s="142"/>
      <c r="AA837" s="139"/>
      <c r="AB837" s="139"/>
      <c r="AC837" s="140"/>
      <c r="AD837" s="140"/>
      <c r="AE837" s="140"/>
    </row>
    <row r="838">
      <c r="A838" s="130"/>
      <c r="B838" s="131"/>
      <c r="C838" s="131"/>
      <c r="D838" s="130"/>
      <c r="E838" s="132"/>
      <c r="F838" s="132"/>
      <c r="G838" s="133"/>
      <c r="H838" s="134"/>
      <c r="I838" s="134"/>
      <c r="J838" s="134"/>
      <c r="K838" s="134"/>
      <c r="L838" s="134"/>
      <c r="M838" s="134"/>
      <c r="N838" s="143"/>
      <c r="O838" s="136"/>
      <c r="P838" s="136"/>
      <c r="Q838" s="137"/>
      <c r="R838" s="138"/>
      <c r="S838" s="138"/>
      <c r="T838" s="139"/>
      <c r="U838" s="139"/>
      <c r="V838" s="139"/>
      <c r="W838" s="140"/>
      <c r="X838" s="141"/>
      <c r="Y838" s="140"/>
      <c r="Z838" s="142"/>
      <c r="AA838" s="139"/>
      <c r="AB838" s="139"/>
      <c r="AC838" s="140"/>
      <c r="AD838" s="140"/>
      <c r="AE838" s="140"/>
    </row>
    <row r="839">
      <c r="A839" s="130"/>
      <c r="B839" s="131"/>
      <c r="C839" s="131"/>
      <c r="D839" s="130"/>
      <c r="E839" s="132"/>
      <c r="F839" s="132"/>
      <c r="G839" s="133"/>
      <c r="H839" s="134"/>
      <c r="I839" s="134"/>
      <c r="J839" s="134"/>
      <c r="K839" s="134"/>
      <c r="L839" s="134"/>
      <c r="M839" s="134"/>
      <c r="N839" s="143"/>
      <c r="O839" s="136"/>
      <c r="P839" s="136"/>
      <c r="Q839" s="137"/>
      <c r="R839" s="138"/>
      <c r="S839" s="138"/>
      <c r="T839" s="139"/>
      <c r="U839" s="139"/>
      <c r="V839" s="139"/>
      <c r="W839" s="140"/>
      <c r="X839" s="141"/>
      <c r="Y839" s="140"/>
      <c r="Z839" s="142"/>
      <c r="AA839" s="139"/>
      <c r="AB839" s="139"/>
      <c r="AC839" s="140"/>
      <c r="AD839" s="140"/>
      <c r="AE839" s="140"/>
    </row>
    <row r="840">
      <c r="A840" s="130"/>
      <c r="B840" s="131"/>
      <c r="C840" s="131"/>
      <c r="D840" s="130"/>
      <c r="E840" s="132"/>
      <c r="F840" s="132"/>
      <c r="G840" s="133"/>
      <c r="H840" s="134"/>
      <c r="I840" s="134"/>
      <c r="J840" s="134"/>
      <c r="K840" s="134"/>
      <c r="L840" s="134"/>
      <c r="M840" s="134"/>
      <c r="N840" s="143"/>
      <c r="O840" s="136"/>
      <c r="P840" s="136"/>
      <c r="Q840" s="137"/>
      <c r="R840" s="138"/>
      <c r="S840" s="138"/>
      <c r="T840" s="139"/>
      <c r="U840" s="139"/>
      <c r="V840" s="139"/>
      <c r="W840" s="140"/>
      <c r="X840" s="141"/>
      <c r="Y840" s="140"/>
      <c r="Z840" s="142"/>
      <c r="AA840" s="139"/>
      <c r="AB840" s="139"/>
      <c r="AC840" s="140"/>
      <c r="AD840" s="140"/>
      <c r="AE840" s="140"/>
    </row>
    <row r="841">
      <c r="A841" s="130"/>
      <c r="B841" s="131"/>
      <c r="C841" s="131"/>
      <c r="D841" s="130"/>
      <c r="E841" s="132"/>
      <c r="F841" s="132"/>
      <c r="G841" s="133"/>
      <c r="H841" s="134"/>
      <c r="I841" s="134"/>
      <c r="J841" s="134"/>
      <c r="K841" s="134"/>
      <c r="L841" s="134"/>
      <c r="M841" s="134"/>
      <c r="N841" s="143"/>
      <c r="O841" s="136"/>
      <c r="P841" s="136"/>
      <c r="Q841" s="137"/>
      <c r="R841" s="138"/>
      <c r="S841" s="138"/>
      <c r="T841" s="139"/>
      <c r="U841" s="139"/>
      <c r="V841" s="139"/>
      <c r="W841" s="140"/>
      <c r="X841" s="141"/>
      <c r="Y841" s="140"/>
      <c r="Z841" s="142"/>
      <c r="AA841" s="139"/>
      <c r="AB841" s="139"/>
      <c r="AC841" s="140"/>
      <c r="AD841" s="140"/>
      <c r="AE841" s="140"/>
    </row>
    <row r="842">
      <c r="A842" s="130"/>
      <c r="B842" s="131"/>
      <c r="C842" s="131"/>
      <c r="D842" s="130"/>
      <c r="E842" s="132"/>
      <c r="F842" s="132"/>
      <c r="G842" s="133"/>
      <c r="H842" s="134"/>
      <c r="I842" s="134"/>
      <c r="J842" s="134"/>
      <c r="K842" s="134"/>
      <c r="L842" s="134"/>
      <c r="M842" s="134"/>
      <c r="N842" s="143"/>
      <c r="O842" s="136"/>
      <c r="P842" s="136"/>
      <c r="Q842" s="137"/>
      <c r="R842" s="138"/>
      <c r="S842" s="138"/>
      <c r="T842" s="139"/>
      <c r="U842" s="139"/>
      <c r="V842" s="139"/>
      <c r="W842" s="140"/>
      <c r="X842" s="141"/>
      <c r="Y842" s="140"/>
      <c r="Z842" s="142"/>
      <c r="AA842" s="139"/>
      <c r="AB842" s="139"/>
      <c r="AC842" s="140"/>
      <c r="AD842" s="140"/>
      <c r="AE842" s="140"/>
    </row>
    <row r="843">
      <c r="A843" s="130"/>
      <c r="B843" s="131"/>
      <c r="C843" s="131"/>
      <c r="D843" s="130"/>
      <c r="E843" s="132"/>
      <c r="F843" s="132"/>
      <c r="G843" s="133"/>
      <c r="H843" s="134"/>
      <c r="I843" s="134"/>
      <c r="J843" s="134"/>
      <c r="K843" s="134"/>
      <c r="L843" s="134"/>
      <c r="M843" s="134"/>
      <c r="N843" s="143"/>
      <c r="O843" s="136"/>
      <c r="P843" s="136"/>
      <c r="Q843" s="137"/>
      <c r="R843" s="138"/>
      <c r="S843" s="138"/>
      <c r="T843" s="139"/>
      <c r="U843" s="139"/>
      <c r="V843" s="139"/>
      <c r="W843" s="140"/>
      <c r="X843" s="141"/>
      <c r="Y843" s="140"/>
      <c r="Z843" s="142"/>
      <c r="AA843" s="139"/>
      <c r="AB843" s="139"/>
      <c r="AC843" s="140"/>
      <c r="AD843" s="140"/>
      <c r="AE843" s="140"/>
    </row>
    <row r="844">
      <c r="A844" s="130"/>
      <c r="B844" s="131"/>
      <c r="C844" s="131"/>
      <c r="D844" s="130"/>
      <c r="E844" s="132"/>
      <c r="F844" s="132"/>
      <c r="G844" s="133"/>
      <c r="H844" s="134"/>
      <c r="I844" s="134"/>
      <c r="J844" s="134"/>
      <c r="K844" s="134"/>
      <c r="L844" s="134"/>
      <c r="M844" s="134"/>
      <c r="N844" s="143"/>
      <c r="O844" s="136"/>
      <c r="P844" s="136"/>
      <c r="Q844" s="137"/>
      <c r="R844" s="138"/>
      <c r="S844" s="138"/>
      <c r="T844" s="139"/>
      <c r="U844" s="139"/>
      <c r="V844" s="139"/>
      <c r="W844" s="140"/>
      <c r="X844" s="141"/>
      <c r="Y844" s="140"/>
      <c r="Z844" s="142"/>
      <c r="AA844" s="139"/>
      <c r="AB844" s="139"/>
      <c r="AC844" s="140"/>
      <c r="AD844" s="140"/>
      <c r="AE844" s="140"/>
    </row>
    <row r="845">
      <c r="A845" s="130"/>
      <c r="B845" s="131"/>
      <c r="C845" s="131"/>
      <c r="D845" s="130"/>
      <c r="E845" s="132"/>
      <c r="F845" s="132"/>
      <c r="G845" s="133"/>
      <c r="H845" s="134"/>
      <c r="I845" s="134"/>
      <c r="J845" s="134"/>
      <c r="K845" s="134"/>
      <c r="L845" s="134"/>
      <c r="M845" s="134"/>
      <c r="N845" s="143"/>
      <c r="O845" s="136"/>
      <c r="P845" s="136"/>
      <c r="Q845" s="137"/>
      <c r="R845" s="138"/>
      <c r="S845" s="138"/>
      <c r="T845" s="139"/>
      <c r="U845" s="139"/>
      <c r="V845" s="139"/>
      <c r="W845" s="140"/>
      <c r="X845" s="141"/>
      <c r="Y845" s="140"/>
      <c r="Z845" s="142"/>
      <c r="AA845" s="139"/>
      <c r="AB845" s="139"/>
      <c r="AC845" s="140"/>
      <c r="AD845" s="140"/>
      <c r="AE845" s="140"/>
    </row>
    <row r="846">
      <c r="A846" s="130"/>
      <c r="B846" s="131"/>
      <c r="C846" s="131"/>
      <c r="D846" s="130"/>
      <c r="E846" s="132"/>
      <c r="F846" s="132"/>
      <c r="G846" s="133"/>
      <c r="H846" s="134"/>
      <c r="I846" s="134"/>
      <c r="J846" s="134"/>
      <c r="K846" s="134"/>
      <c r="L846" s="134"/>
      <c r="M846" s="134"/>
      <c r="N846" s="143"/>
      <c r="O846" s="136"/>
      <c r="P846" s="136"/>
      <c r="Q846" s="137"/>
      <c r="R846" s="138"/>
      <c r="S846" s="138"/>
      <c r="T846" s="139"/>
      <c r="U846" s="139"/>
      <c r="V846" s="139"/>
      <c r="W846" s="140"/>
      <c r="X846" s="141"/>
      <c r="Y846" s="140"/>
      <c r="Z846" s="142"/>
      <c r="AA846" s="139"/>
      <c r="AB846" s="139"/>
      <c r="AC846" s="140"/>
      <c r="AD846" s="140"/>
      <c r="AE846" s="140"/>
    </row>
    <row r="847">
      <c r="A847" s="130"/>
      <c r="B847" s="131"/>
      <c r="C847" s="131"/>
      <c r="D847" s="130"/>
      <c r="E847" s="132"/>
      <c r="F847" s="132"/>
      <c r="G847" s="133"/>
      <c r="H847" s="134"/>
      <c r="I847" s="134"/>
      <c r="J847" s="134"/>
      <c r="K847" s="134"/>
      <c r="L847" s="134"/>
      <c r="M847" s="134"/>
      <c r="N847" s="143"/>
      <c r="O847" s="136"/>
      <c r="P847" s="136"/>
      <c r="Q847" s="137"/>
      <c r="R847" s="138"/>
      <c r="S847" s="138"/>
      <c r="T847" s="139"/>
      <c r="U847" s="139"/>
      <c r="V847" s="139"/>
      <c r="W847" s="140"/>
      <c r="X847" s="141"/>
      <c r="Y847" s="140"/>
      <c r="Z847" s="142"/>
      <c r="AA847" s="139"/>
      <c r="AB847" s="139"/>
      <c r="AC847" s="140"/>
      <c r="AD847" s="140"/>
      <c r="AE847" s="140"/>
    </row>
    <row r="848">
      <c r="A848" s="130"/>
      <c r="B848" s="131"/>
      <c r="C848" s="131"/>
      <c r="D848" s="130"/>
      <c r="E848" s="132"/>
      <c r="F848" s="132"/>
      <c r="G848" s="133"/>
      <c r="H848" s="134"/>
      <c r="I848" s="134"/>
      <c r="J848" s="134"/>
      <c r="K848" s="134"/>
      <c r="L848" s="134"/>
      <c r="M848" s="134"/>
      <c r="N848" s="143"/>
      <c r="O848" s="136"/>
      <c r="P848" s="136"/>
      <c r="Q848" s="137"/>
      <c r="R848" s="138"/>
      <c r="S848" s="138"/>
      <c r="T848" s="139"/>
      <c r="U848" s="139"/>
      <c r="V848" s="139"/>
      <c r="W848" s="140"/>
      <c r="X848" s="141"/>
      <c r="Y848" s="140"/>
      <c r="Z848" s="142"/>
      <c r="AA848" s="139"/>
      <c r="AB848" s="139"/>
      <c r="AC848" s="140"/>
      <c r="AD848" s="140"/>
      <c r="AE848" s="140"/>
    </row>
    <row r="849">
      <c r="A849" s="130"/>
      <c r="B849" s="131"/>
      <c r="C849" s="131"/>
      <c r="D849" s="130"/>
      <c r="E849" s="132"/>
      <c r="F849" s="132"/>
      <c r="G849" s="133"/>
      <c r="H849" s="134"/>
      <c r="I849" s="134"/>
      <c r="J849" s="134"/>
      <c r="K849" s="134"/>
      <c r="L849" s="134"/>
      <c r="M849" s="134"/>
      <c r="N849" s="143"/>
      <c r="O849" s="136"/>
      <c r="P849" s="136"/>
      <c r="Q849" s="137"/>
      <c r="R849" s="138"/>
      <c r="S849" s="138"/>
      <c r="T849" s="139"/>
      <c r="U849" s="139"/>
      <c r="V849" s="139"/>
      <c r="W849" s="140"/>
      <c r="X849" s="141"/>
      <c r="Y849" s="140"/>
      <c r="Z849" s="142"/>
      <c r="AA849" s="139"/>
      <c r="AB849" s="139"/>
      <c r="AC849" s="140"/>
      <c r="AD849" s="140"/>
      <c r="AE849" s="140"/>
    </row>
    <row r="850">
      <c r="A850" s="130"/>
      <c r="B850" s="131"/>
      <c r="C850" s="131"/>
      <c r="D850" s="130"/>
      <c r="E850" s="132"/>
      <c r="F850" s="132"/>
      <c r="G850" s="133"/>
      <c r="H850" s="134"/>
      <c r="I850" s="134"/>
      <c r="J850" s="134"/>
      <c r="K850" s="134"/>
      <c r="L850" s="134"/>
      <c r="M850" s="134"/>
      <c r="N850" s="143"/>
      <c r="O850" s="136"/>
      <c r="P850" s="136"/>
      <c r="Q850" s="137"/>
      <c r="R850" s="138"/>
      <c r="S850" s="138"/>
      <c r="T850" s="139"/>
      <c r="U850" s="139"/>
      <c r="V850" s="139"/>
      <c r="W850" s="140"/>
      <c r="X850" s="141"/>
      <c r="Y850" s="140"/>
      <c r="Z850" s="142"/>
      <c r="AA850" s="139"/>
      <c r="AB850" s="139"/>
      <c r="AC850" s="140"/>
      <c r="AD850" s="140"/>
      <c r="AE850" s="140"/>
    </row>
    <row r="851">
      <c r="A851" s="130"/>
      <c r="B851" s="131"/>
      <c r="C851" s="131"/>
      <c r="D851" s="130"/>
      <c r="E851" s="132"/>
      <c r="F851" s="132"/>
      <c r="G851" s="133"/>
      <c r="H851" s="134"/>
      <c r="I851" s="134"/>
      <c r="J851" s="134"/>
      <c r="K851" s="134"/>
      <c r="L851" s="134"/>
      <c r="M851" s="134"/>
      <c r="N851" s="143"/>
      <c r="O851" s="136"/>
      <c r="P851" s="136"/>
      <c r="Q851" s="137"/>
      <c r="R851" s="138"/>
      <c r="S851" s="138"/>
      <c r="T851" s="139"/>
      <c r="U851" s="139"/>
      <c r="V851" s="139"/>
      <c r="W851" s="140"/>
      <c r="X851" s="141"/>
      <c r="Y851" s="140"/>
      <c r="Z851" s="142"/>
      <c r="AA851" s="139"/>
      <c r="AB851" s="139"/>
      <c r="AC851" s="140"/>
      <c r="AD851" s="140"/>
      <c r="AE851" s="140"/>
    </row>
    <row r="852">
      <c r="A852" s="130"/>
      <c r="B852" s="131"/>
      <c r="C852" s="131"/>
      <c r="D852" s="130"/>
      <c r="E852" s="132"/>
      <c r="F852" s="132"/>
      <c r="G852" s="133"/>
      <c r="H852" s="134"/>
      <c r="I852" s="134"/>
      <c r="J852" s="134"/>
      <c r="K852" s="134"/>
      <c r="L852" s="134"/>
      <c r="M852" s="134"/>
      <c r="N852" s="143"/>
      <c r="O852" s="136"/>
      <c r="P852" s="136"/>
      <c r="Q852" s="137"/>
      <c r="R852" s="138"/>
      <c r="S852" s="138"/>
      <c r="T852" s="139"/>
      <c r="U852" s="139"/>
      <c r="V852" s="139"/>
      <c r="W852" s="140"/>
      <c r="X852" s="141"/>
      <c r="Y852" s="140"/>
      <c r="Z852" s="142"/>
      <c r="AA852" s="139"/>
      <c r="AB852" s="139"/>
      <c r="AC852" s="140"/>
      <c r="AD852" s="140"/>
      <c r="AE852" s="140"/>
    </row>
    <row r="853">
      <c r="A853" s="130"/>
      <c r="B853" s="131"/>
      <c r="C853" s="131"/>
      <c r="D853" s="130"/>
      <c r="E853" s="132"/>
      <c r="F853" s="132"/>
      <c r="G853" s="133"/>
      <c r="H853" s="134"/>
      <c r="I853" s="134"/>
      <c r="J853" s="134"/>
      <c r="K853" s="134"/>
      <c r="L853" s="134"/>
      <c r="M853" s="134"/>
      <c r="N853" s="143"/>
      <c r="O853" s="136"/>
      <c r="P853" s="136"/>
      <c r="Q853" s="137"/>
      <c r="R853" s="138"/>
      <c r="S853" s="138"/>
      <c r="T853" s="139"/>
      <c r="U853" s="139"/>
      <c r="V853" s="139"/>
      <c r="W853" s="140"/>
      <c r="X853" s="141"/>
      <c r="Y853" s="140"/>
      <c r="Z853" s="142"/>
      <c r="AA853" s="139"/>
      <c r="AB853" s="139"/>
      <c r="AC853" s="140"/>
      <c r="AD853" s="140"/>
      <c r="AE853" s="140"/>
    </row>
    <row r="854">
      <c r="A854" s="130"/>
      <c r="B854" s="131"/>
      <c r="C854" s="131"/>
      <c r="D854" s="130"/>
      <c r="E854" s="132"/>
      <c r="F854" s="132"/>
      <c r="G854" s="133"/>
      <c r="H854" s="134"/>
      <c r="I854" s="134"/>
      <c r="J854" s="134"/>
      <c r="K854" s="134"/>
      <c r="L854" s="134"/>
      <c r="M854" s="134"/>
      <c r="N854" s="143"/>
      <c r="O854" s="136"/>
      <c r="P854" s="136"/>
      <c r="Q854" s="137"/>
      <c r="R854" s="138"/>
      <c r="S854" s="138"/>
      <c r="T854" s="139"/>
      <c r="U854" s="139"/>
      <c r="V854" s="139"/>
      <c r="W854" s="140"/>
      <c r="X854" s="141"/>
      <c r="Y854" s="140"/>
      <c r="Z854" s="142"/>
      <c r="AA854" s="139"/>
      <c r="AB854" s="139"/>
      <c r="AC854" s="140"/>
      <c r="AD854" s="140"/>
      <c r="AE854" s="140"/>
    </row>
    <row r="855">
      <c r="A855" s="130"/>
      <c r="B855" s="131"/>
      <c r="C855" s="131"/>
      <c r="D855" s="130"/>
      <c r="E855" s="132"/>
      <c r="F855" s="132"/>
      <c r="G855" s="133"/>
      <c r="H855" s="134"/>
      <c r="I855" s="134"/>
      <c r="J855" s="134"/>
      <c r="K855" s="134"/>
      <c r="L855" s="134"/>
      <c r="M855" s="134"/>
      <c r="N855" s="143"/>
      <c r="O855" s="136"/>
      <c r="P855" s="136"/>
      <c r="Q855" s="137"/>
      <c r="R855" s="138"/>
      <c r="S855" s="138"/>
      <c r="T855" s="139"/>
      <c r="U855" s="139"/>
      <c r="V855" s="139"/>
      <c r="W855" s="140"/>
      <c r="X855" s="141"/>
      <c r="Y855" s="140"/>
      <c r="Z855" s="142"/>
      <c r="AA855" s="139"/>
      <c r="AB855" s="139"/>
      <c r="AC855" s="140"/>
      <c r="AD855" s="140"/>
      <c r="AE855" s="140"/>
    </row>
    <row r="856">
      <c r="A856" s="130"/>
      <c r="B856" s="131"/>
      <c r="C856" s="131"/>
      <c r="D856" s="130"/>
      <c r="E856" s="132"/>
      <c r="F856" s="132"/>
      <c r="G856" s="133"/>
      <c r="H856" s="134"/>
      <c r="I856" s="134"/>
      <c r="J856" s="134"/>
      <c r="K856" s="134"/>
      <c r="L856" s="134"/>
      <c r="M856" s="134"/>
      <c r="N856" s="143"/>
      <c r="O856" s="136"/>
      <c r="P856" s="136"/>
      <c r="Q856" s="137"/>
      <c r="R856" s="138"/>
      <c r="S856" s="138"/>
      <c r="T856" s="139"/>
      <c r="U856" s="139"/>
      <c r="V856" s="139"/>
      <c r="W856" s="140"/>
      <c r="X856" s="141"/>
      <c r="Y856" s="140"/>
      <c r="Z856" s="142"/>
      <c r="AA856" s="139"/>
      <c r="AB856" s="139"/>
      <c r="AC856" s="140"/>
      <c r="AD856" s="140"/>
      <c r="AE856" s="140"/>
    </row>
    <row r="857">
      <c r="A857" s="130"/>
      <c r="B857" s="131"/>
      <c r="C857" s="131"/>
      <c r="D857" s="130"/>
      <c r="E857" s="132"/>
      <c r="F857" s="132"/>
      <c r="G857" s="133"/>
      <c r="H857" s="134"/>
      <c r="I857" s="134"/>
      <c r="J857" s="134"/>
      <c r="K857" s="134"/>
      <c r="L857" s="134"/>
      <c r="M857" s="134"/>
      <c r="N857" s="143"/>
      <c r="O857" s="136"/>
      <c r="P857" s="136"/>
      <c r="Q857" s="137"/>
      <c r="R857" s="138"/>
      <c r="S857" s="138"/>
      <c r="T857" s="139"/>
      <c r="U857" s="139"/>
      <c r="V857" s="139"/>
      <c r="W857" s="140"/>
      <c r="X857" s="141"/>
      <c r="Y857" s="140"/>
      <c r="Z857" s="142"/>
      <c r="AA857" s="139"/>
      <c r="AB857" s="139"/>
      <c r="AC857" s="140"/>
      <c r="AD857" s="140"/>
      <c r="AE857" s="140"/>
    </row>
    <row r="858">
      <c r="A858" s="130"/>
      <c r="B858" s="131"/>
      <c r="C858" s="131"/>
      <c r="D858" s="130"/>
      <c r="E858" s="132"/>
      <c r="F858" s="132"/>
      <c r="G858" s="133"/>
      <c r="H858" s="134"/>
      <c r="I858" s="134"/>
      <c r="J858" s="134"/>
      <c r="K858" s="134"/>
      <c r="L858" s="134"/>
      <c r="M858" s="134"/>
      <c r="N858" s="143"/>
      <c r="O858" s="136"/>
      <c r="P858" s="136"/>
      <c r="Q858" s="137"/>
      <c r="R858" s="138"/>
      <c r="S858" s="138"/>
      <c r="T858" s="139"/>
      <c r="U858" s="139"/>
      <c r="V858" s="139"/>
      <c r="W858" s="140"/>
      <c r="X858" s="141"/>
      <c r="Y858" s="140"/>
      <c r="Z858" s="142"/>
      <c r="AA858" s="139"/>
      <c r="AB858" s="139"/>
      <c r="AC858" s="140"/>
      <c r="AD858" s="140"/>
      <c r="AE858" s="140"/>
    </row>
    <row r="859">
      <c r="A859" s="130"/>
      <c r="B859" s="131"/>
      <c r="C859" s="131"/>
      <c r="D859" s="130"/>
      <c r="E859" s="132"/>
      <c r="F859" s="132"/>
      <c r="G859" s="133"/>
      <c r="H859" s="134"/>
      <c r="I859" s="134"/>
      <c r="J859" s="134"/>
      <c r="K859" s="134"/>
      <c r="L859" s="134"/>
      <c r="M859" s="134"/>
      <c r="N859" s="143"/>
      <c r="O859" s="136"/>
      <c r="P859" s="136"/>
      <c r="Q859" s="137"/>
      <c r="R859" s="138"/>
      <c r="S859" s="138"/>
      <c r="T859" s="139"/>
      <c r="U859" s="139"/>
      <c r="V859" s="139"/>
      <c r="W859" s="140"/>
      <c r="X859" s="141"/>
      <c r="Y859" s="140"/>
      <c r="Z859" s="142"/>
      <c r="AA859" s="139"/>
      <c r="AB859" s="139"/>
      <c r="AC859" s="140"/>
      <c r="AD859" s="140"/>
      <c r="AE859" s="140"/>
    </row>
    <row r="860">
      <c r="A860" s="130"/>
      <c r="B860" s="131"/>
      <c r="C860" s="131"/>
      <c r="D860" s="130"/>
      <c r="E860" s="132"/>
      <c r="F860" s="132"/>
      <c r="G860" s="133"/>
      <c r="H860" s="134"/>
      <c r="I860" s="134"/>
      <c r="J860" s="134"/>
      <c r="K860" s="134"/>
      <c r="L860" s="134"/>
      <c r="M860" s="134"/>
      <c r="N860" s="143"/>
      <c r="O860" s="136"/>
      <c r="P860" s="136"/>
      <c r="Q860" s="137"/>
      <c r="R860" s="138"/>
      <c r="S860" s="138"/>
      <c r="T860" s="139"/>
      <c r="U860" s="139"/>
      <c r="V860" s="139"/>
      <c r="W860" s="140"/>
      <c r="X860" s="141"/>
      <c r="Y860" s="140"/>
      <c r="Z860" s="142"/>
      <c r="AA860" s="139"/>
      <c r="AB860" s="139"/>
      <c r="AC860" s="140"/>
      <c r="AD860" s="140"/>
      <c r="AE860" s="140"/>
    </row>
    <row r="861">
      <c r="A861" s="130"/>
      <c r="B861" s="131"/>
      <c r="C861" s="131"/>
      <c r="D861" s="130"/>
      <c r="E861" s="132"/>
      <c r="F861" s="132"/>
      <c r="G861" s="133"/>
      <c r="H861" s="134"/>
      <c r="I861" s="134"/>
      <c r="J861" s="134"/>
      <c r="K861" s="134"/>
      <c r="L861" s="134"/>
      <c r="M861" s="134"/>
      <c r="N861" s="143"/>
      <c r="O861" s="136"/>
      <c r="P861" s="136"/>
      <c r="Q861" s="137"/>
      <c r="R861" s="138"/>
      <c r="S861" s="138"/>
      <c r="T861" s="139"/>
      <c r="U861" s="139"/>
      <c r="V861" s="139"/>
      <c r="W861" s="140"/>
      <c r="X861" s="141"/>
      <c r="Y861" s="140"/>
      <c r="Z861" s="142"/>
      <c r="AA861" s="139"/>
      <c r="AB861" s="139"/>
      <c r="AC861" s="140"/>
      <c r="AD861" s="140"/>
      <c r="AE861" s="140"/>
    </row>
    <row r="862">
      <c r="A862" s="130"/>
      <c r="B862" s="131"/>
      <c r="C862" s="131"/>
      <c r="D862" s="130"/>
      <c r="E862" s="132"/>
      <c r="F862" s="132"/>
      <c r="G862" s="133"/>
      <c r="H862" s="134"/>
      <c r="I862" s="134"/>
      <c r="J862" s="134"/>
      <c r="K862" s="134"/>
      <c r="L862" s="134"/>
      <c r="M862" s="134"/>
      <c r="N862" s="143"/>
      <c r="O862" s="136"/>
      <c r="P862" s="136"/>
      <c r="Q862" s="137"/>
      <c r="R862" s="138"/>
      <c r="S862" s="138"/>
      <c r="T862" s="139"/>
      <c r="U862" s="139"/>
      <c r="V862" s="139"/>
      <c r="W862" s="140"/>
      <c r="X862" s="141"/>
      <c r="Y862" s="140"/>
      <c r="Z862" s="142"/>
      <c r="AA862" s="139"/>
      <c r="AB862" s="139"/>
      <c r="AC862" s="140"/>
      <c r="AD862" s="140"/>
      <c r="AE862" s="140"/>
    </row>
    <row r="863">
      <c r="A863" s="130"/>
      <c r="B863" s="131"/>
      <c r="C863" s="131"/>
      <c r="D863" s="130"/>
      <c r="E863" s="132"/>
      <c r="F863" s="132"/>
      <c r="G863" s="133"/>
      <c r="H863" s="134"/>
      <c r="I863" s="134"/>
      <c r="J863" s="134"/>
      <c r="K863" s="134"/>
      <c r="L863" s="134"/>
      <c r="M863" s="134"/>
      <c r="N863" s="143"/>
      <c r="O863" s="136"/>
      <c r="P863" s="136"/>
      <c r="Q863" s="137"/>
      <c r="R863" s="138"/>
      <c r="S863" s="138"/>
      <c r="T863" s="139"/>
      <c r="U863" s="139"/>
      <c r="V863" s="139"/>
      <c r="W863" s="140"/>
      <c r="X863" s="141"/>
      <c r="Y863" s="140"/>
      <c r="Z863" s="142"/>
      <c r="AA863" s="139"/>
      <c r="AB863" s="139"/>
      <c r="AC863" s="140"/>
      <c r="AD863" s="140"/>
      <c r="AE863" s="140"/>
    </row>
    <row r="864">
      <c r="A864" s="130"/>
      <c r="B864" s="131"/>
      <c r="C864" s="131"/>
      <c r="D864" s="130"/>
      <c r="E864" s="132"/>
      <c r="F864" s="132"/>
      <c r="G864" s="133"/>
      <c r="H864" s="134"/>
      <c r="I864" s="134"/>
      <c r="J864" s="134"/>
      <c r="K864" s="134"/>
      <c r="L864" s="134"/>
      <c r="M864" s="134"/>
      <c r="N864" s="143"/>
      <c r="O864" s="136"/>
      <c r="P864" s="136"/>
      <c r="Q864" s="137"/>
      <c r="R864" s="138"/>
      <c r="S864" s="138"/>
      <c r="T864" s="139"/>
      <c r="U864" s="139"/>
      <c r="V864" s="139"/>
      <c r="W864" s="140"/>
      <c r="X864" s="141"/>
      <c r="Y864" s="140"/>
      <c r="Z864" s="142"/>
      <c r="AA864" s="139"/>
      <c r="AB864" s="139"/>
      <c r="AC864" s="140"/>
      <c r="AD864" s="140"/>
      <c r="AE864" s="140"/>
    </row>
    <row r="865">
      <c r="A865" s="130"/>
      <c r="B865" s="131"/>
      <c r="C865" s="131"/>
      <c r="D865" s="130"/>
      <c r="E865" s="132"/>
      <c r="F865" s="132"/>
      <c r="G865" s="133"/>
      <c r="H865" s="134"/>
      <c r="I865" s="134"/>
      <c r="J865" s="134"/>
      <c r="K865" s="134"/>
      <c r="L865" s="134"/>
      <c r="M865" s="134"/>
      <c r="N865" s="143"/>
      <c r="O865" s="136"/>
      <c r="P865" s="136"/>
      <c r="Q865" s="137"/>
      <c r="R865" s="138"/>
      <c r="S865" s="138"/>
      <c r="T865" s="139"/>
      <c r="U865" s="139"/>
      <c r="V865" s="139"/>
      <c r="W865" s="140"/>
      <c r="X865" s="141"/>
      <c r="Y865" s="140"/>
      <c r="Z865" s="142"/>
      <c r="AA865" s="139"/>
      <c r="AB865" s="139"/>
      <c r="AC865" s="140"/>
      <c r="AD865" s="140"/>
      <c r="AE865" s="140"/>
    </row>
    <row r="866">
      <c r="A866" s="130"/>
      <c r="B866" s="131"/>
      <c r="C866" s="131"/>
      <c r="D866" s="130"/>
      <c r="E866" s="132"/>
      <c r="F866" s="132"/>
      <c r="G866" s="133"/>
      <c r="H866" s="134"/>
      <c r="I866" s="134"/>
      <c r="J866" s="134"/>
      <c r="K866" s="134"/>
      <c r="L866" s="134"/>
      <c r="M866" s="134"/>
      <c r="N866" s="143"/>
      <c r="O866" s="136"/>
      <c r="P866" s="136"/>
      <c r="Q866" s="137"/>
      <c r="R866" s="138"/>
      <c r="S866" s="138"/>
      <c r="T866" s="139"/>
      <c r="U866" s="139"/>
      <c r="V866" s="139"/>
      <c r="W866" s="140"/>
      <c r="X866" s="141"/>
      <c r="Y866" s="140"/>
      <c r="Z866" s="142"/>
      <c r="AA866" s="139"/>
      <c r="AB866" s="139"/>
      <c r="AC866" s="140"/>
      <c r="AD866" s="140"/>
      <c r="AE866" s="140"/>
    </row>
    <row r="867">
      <c r="A867" s="130"/>
      <c r="B867" s="131"/>
      <c r="C867" s="131"/>
      <c r="D867" s="130"/>
      <c r="E867" s="132"/>
      <c r="F867" s="132"/>
      <c r="G867" s="133"/>
      <c r="H867" s="134"/>
      <c r="I867" s="134"/>
      <c r="J867" s="134"/>
      <c r="K867" s="134"/>
      <c r="L867" s="134"/>
      <c r="M867" s="134"/>
      <c r="N867" s="143"/>
      <c r="O867" s="136"/>
      <c r="P867" s="136"/>
      <c r="Q867" s="137"/>
      <c r="R867" s="138"/>
      <c r="S867" s="138"/>
      <c r="T867" s="139"/>
      <c r="U867" s="139"/>
      <c r="V867" s="139"/>
      <c r="W867" s="140"/>
      <c r="X867" s="141"/>
      <c r="Y867" s="140"/>
      <c r="Z867" s="142"/>
      <c r="AA867" s="139"/>
      <c r="AB867" s="139"/>
      <c r="AC867" s="140"/>
      <c r="AD867" s="140"/>
      <c r="AE867" s="140"/>
    </row>
    <row r="868">
      <c r="A868" s="130"/>
      <c r="B868" s="131"/>
      <c r="C868" s="131"/>
      <c r="D868" s="130"/>
      <c r="E868" s="132"/>
      <c r="F868" s="132"/>
      <c r="G868" s="133"/>
      <c r="H868" s="134"/>
      <c r="I868" s="134"/>
      <c r="J868" s="134"/>
      <c r="K868" s="134"/>
      <c r="L868" s="134"/>
      <c r="M868" s="134"/>
      <c r="N868" s="143"/>
      <c r="O868" s="136"/>
      <c r="P868" s="136"/>
      <c r="Q868" s="137"/>
      <c r="R868" s="138"/>
      <c r="S868" s="138"/>
      <c r="T868" s="139"/>
      <c r="U868" s="139"/>
      <c r="V868" s="139"/>
      <c r="W868" s="140"/>
      <c r="X868" s="141"/>
      <c r="Y868" s="140"/>
      <c r="Z868" s="142"/>
      <c r="AA868" s="139"/>
      <c r="AB868" s="139"/>
      <c r="AC868" s="140"/>
      <c r="AD868" s="140"/>
      <c r="AE868" s="140"/>
    </row>
    <row r="869">
      <c r="A869" s="130"/>
      <c r="B869" s="131"/>
      <c r="C869" s="131"/>
      <c r="D869" s="130"/>
      <c r="E869" s="132"/>
      <c r="F869" s="132"/>
      <c r="G869" s="133"/>
      <c r="H869" s="134"/>
      <c r="I869" s="134"/>
      <c r="J869" s="134"/>
      <c r="K869" s="134"/>
      <c r="L869" s="134"/>
      <c r="M869" s="134"/>
      <c r="N869" s="143"/>
      <c r="O869" s="136"/>
      <c r="P869" s="136"/>
      <c r="Q869" s="137"/>
      <c r="R869" s="138"/>
      <c r="S869" s="138"/>
      <c r="T869" s="139"/>
      <c r="U869" s="139"/>
      <c r="V869" s="139"/>
      <c r="W869" s="140"/>
      <c r="X869" s="141"/>
      <c r="Y869" s="140"/>
      <c r="Z869" s="142"/>
      <c r="AA869" s="139"/>
      <c r="AB869" s="139"/>
      <c r="AC869" s="140"/>
      <c r="AD869" s="140"/>
      <c r="AE869" s="140"/>
    </row>
    <row r="870">
      <c r="A870" s="130"/>
      <c r="B870" s="131"/>
      <c r="C870" s="131"/>
      <c r="D870" s="130"/>
      <c r="E870" s="132"/>
      <c r="F870" s="132"/>
      <c r="G870" s="133"/>
      <c r="H870" s="134"/>
      <c r="I870" s="134"/>
      <c r="J870" s="134"/>
      <c r="K870" s="134"/>
      <c r="L870" s="134"/>
      <c r="M870" s="134"/>
      <c r="N870" s="143"/>
      <c r="O870" s="136"/>
      <c r="P870" s="136"/>
      <c r="Q870" s="137"/>
      <c r="R870" s="138"/>
      <c r="S870" s="138"/>
      <c r="T870" s="139"/>
      <c r="U870" s="139"/>
      <c r="V870" s="139"/>
      <c r="W870" s="140"/>
      <c r="X870" s="141"/>
      <c r="Y870" s="140"/>
      <c r="Z870" s="142"/>
      <c r="AA870" s="139"/>
      <c r="AB870" s="139"/>
      <c r="AC870" s="140"/>
      <c r="AD870" s="140"/>
      <c r="AE870" s="140"/>
    </row>
    <row r="871">
      <c r="A871" s="130"/>
      <c r="B871" s="131"/>
      <c r="C871" s="131"/>
      <c r="D871" s="130"/>
      <c r="E871" s="132"/>
      <c r="F871" s="132"/>
      <c r="G871" s="133"/>
      <c r="H871" s="134"/>
      <c r="I871" s="134"/>
      <c r="J871" s="134"/>
      <c r="K871" s="134"/>
      <c r="L871" s="134"/>
      <c r="M871" s="134"/>
      <c r="N871" s="143"/>
      <c r="O871" s="136"/>
      <c r="P871" s="136"/>
      <c r="Q871" s="137"/>
      <c r="R871" s="138"/>
      <c r="S871" s="138"/>
      <c r="T871" s="139"/>
      <c r="U871" s="139"/>
      <c r="V871" s="139"/>
      <c r="W871" s="140"/>
      <c r="X871" s="141"/>
      <c r="Y871" s="140"/>
      <c r="Z871" s="142"/>
      <c r="AA871" s="139"/>
      <c r="AB871" s="139"/>
      <c r="AC871" s="140"/>
      <c r="AD871" s="140"/>
      <c r="AE871" s="140"/>
    </row>
    <row r="872">
      <c r="A872" s="130"/>
      <c r="B872" s="131"/>
      <c r="C872" s="131"/>
      <c r="D872" s="130"/>
      <c r="E872" s="132"/>
      <c r="F872" s="132"/>
      <c r="G872" s="133"/>
      <c r="H872" s="134"/>
      <c r="I872" s="134"/>
      <c r="J872" s="134"/>
      <c r="K872" s="134"/>
      <c r="L872" s="134"/>
      <c r="M872" s="134"/>
      <c r="N872" s="143"/>
      <c r="O872" s="136"/>
      <c r="P872" s="136"/>
      <c r="Q872" s="137"/>
      <c r="R872" s="138"/>
      <c r="S872" s="138"/>
      <c r="T872" s="139"/>
      <c r="U872" s="139"/>
      <c r="V872" s="139"/>
      <c r="W872" s="140"/>
      <c r="X872" s="141"/>
      <c r="Y872" s="140"/>
      <c r="Z872" s="142"/>
      <c r="AA872" s="139"/>
      <c r="AB872" s="139"/>
      <c r="AC872" s="140"/>
      <c r="AD872" s="140"/>
      <c r="AE872" s="140"/>
    </row>
    <row r="873">
      <c r="A873" s="130"/>
      <c r="B873" s="131"/>
      <c r="C873" s="131"/>
      <c r="D873" s="130"/>
      <c r="E873" s="132"/>
      <c r="F873" s="132"/>
      <c r="G873" s="133"/>
      <c r="H873" s="134"/>
      <c r="I873" s="134"/>
      <c r="J873" s="134"/>
      <c r="K873" s="134"/>
      <c r="L873" s="134"/>
      <c r="M873" s="134"/>
      <c r="N873" s="143"/>
      <c r="O873" s="136"/>
      <c r="P873" s="136"/>
      <c r="Q873" s="137"/>
      <c r="R873" s="138"/>
      <c r="S873" s="138"/>
      <c r="T873" s="139"/>
      <c r="U873" s="139"/>
      <c r="V873" s="139"/>
      <c r="W873" s="140"/>
      <c r="X873" s="141"/>
      <c r="Y873" s="140"/>
      <c r="Z873" s="142"/>
      <c r="AA873" s="139"/>
      <c r="AB873" s="139"/>
      <c r="AC873" s="140"/>
      <c r="AD873" s="140"/>
      <c r="AE873" s="140"/>
    </row>
    <row r="874">
      <c r="A874" s="130"/>
      <c r="B874" s="131"/>
      <c r="C874" s="131"/>
      <c r="D874" s="130"/>
      <c r="E874" s="132"/>
      <c r="F874" s="132"/>
      <c r="G874" s="133"/>
      <c r="H874" s="134"/>
      <c r="I874" s="134"/>
      <c r="J874" s="134"/>
      <c r="K874" s="134"/>
      <c r="L874" s="134"/>
      <c r="M874" s="134"/>
      <c r="N874" s="143"/>
      <c r="O874" s="136"/>
      <c r="P874" s="136"/>
      <c r="Q874" s="137"/>
      <c r="R874" s="138"/>
      <c r="S874" s="138"/>
      <c r="T874" s="139"/>
      <c r="U874" s="139"/>
      <c r="V874" s="139"/>
      <c r="W874" s="140"/>
      <c r="X874" s="141"/>
      <c r="Y874" s="140"/>
      <c r="Z874" s="142"/>
      <c r="AA874" s="139"/>
      <c r="AB874" s="139"/>
      <c r="AC874" s="140"/>
      <c r="AD874" s="140"/>
      <c r="AE874" s="140"/>
    </row>
    <row r="875">
      <c r="A875" s="130"/>
      <c r="B875" s="131"/>
      <c r="C875" s="131"/>
      <c r="D875" s="130"/>
      <c r="E875" s="132"/>
      <c r="F875" s="132"/>
      <c r="G875" s="133"/>
      <c r="H875" s="134"/>
      <c r="I875" s="134"/>
      <c r="J875" s="134"/>
      <c r="K875" s="134"/>
      <c r="L875" s="134"/>
      <c r="M875" s="134"/>
      <c r="N875" s="143"/>
      <c r="O875" s="136"/>
      <c r="P875" s="136"/>
      <c r="Q875" s="137"/>
      <c r="R875" s="138"/>
      <c r="S875" s="138"/>
      <c r="T875" s="139"/>
      <c r="U875" s="139"/>
      <c r="V875" s="139"/>
      <c r="W875" s="140"/>
      <c r="X875" s="141"/>
      <c r="Y875" s="140"/>
      <c r="Z875" s="142"/>
      <c r="AA875" s="139"/>
      <c r="AB875" s="139"/>
      <c r="AC875" s="140"/>
      <c r="AD875" s="140"/>
      <c r="AE875" s="140"/>
    </row>
    <row r="876">
      <c r="A876" s="130"/>
      <c r="B876" s="131"/>
      <c r="C876" s="131"/>
      <c r="D876" s="130"/>
      <c r="E876" s="132"/>
      <c r="F876" s="132"/>
      <c r="G876" s="133"/>
      <c r="H876" s="134"/>
      <c r="I876" s="134"/>
      <c r="J876" s="134"/>
      <c r="K876" s="134"/>
      <c r="L876" s="134"/>
      <c r="M876" s="134"/>
      <c r="N876" s="143"/>
      <c r="O876" s="136"/>
      <c r="P876" s="136"/>
      <c r="Q876" s="137"/>
      <c r="R876" s="138"/>
      <c r="S876" s="138"/>
      <c r="T876" s="139"/>
      <c r="U876" s="139"/>
      <c r="V876" s="139"/>
      <c r="W876" s="140"/>
      <c r="X876" s="141"/>
      <c r="Y876" s="140"/>
      <c r="Z876" s="142"/>
      <c r="AA876" s="139"/>
      <c r="AB876" s="139"/>
      <c r="AC876" s="140"/>
      <c r="AD876" s="140"/>
      <c r="AE876" s="140"/>
    </row>
    <row r="877">
      <c r="A877" s="130"/>
      <c r="B877" s="131"/>
      <c r="C877" s="131"/>
      <c r="D877" s="130"/>
      <c r="E877" s="132"/>
      <c r="F877" s="132"/>
      <c r="G877" s="133"/>
      <c r="H877" s="134"/>
      <c r="I877" s="134"/>
      <c r="J877" s="134"/>
      <c r="K877" s="134"/>
      <c r="L877" s="134"/>
      <c r="M877" s="134"/>
      <c r="N877" s="143"/>
      <c r="O877" s="136"/>
      <c r="P877" s="136"/>
      <c r="Q877" s="137"/>
      <c r="R877" s="138"/>
      <c r="S877" s="138"/>
      <c r="T877" s="139"/>
      <c r="U877" s="139"/>
      <c r="V877" s="139"/>
      <c r="W877" s="140"/>
      <c r="X877" s="141"/>
      <c r="Y877" s="140"/>
      <c r="Z877" s="142"/>
      <c r="AA877" s="139"/>
      <c r="AB877" s="139"/>
      <c r="AC877" s="140"/>
      <c r="AD877" s="140"/>
      <c r="AE877" s="140"/>
    </row>
    <row r="878">
      <c r="A878" s="130"/>
      <c r="B878" s="131"/>
      <c r="C878" s="131"/>
      <c r="D878" s="130"/>
      <c r="E878" s="132"/>
      <c r="F878" s="132"/>
      <c r="G878" s="133"/>
      <c r="H878" s="134"/>
      <c r="I878" s="134"/>
      <c r="J878" s="134"/>
      <c r="K878" s="134"/>
      <c r="L878" s="134"/>
      <c r="M878" s="134"/>
      <c r="N878" s="143"/>
      <c r="O878" s="136"/>
      <c r="P878" s="136"/>
      <c r="Q878" s="137"/>
      <c r="R878" s="138"/>
      <c r="S878" s="138"/>
      <c r="T878" s="139"/>
      <c r="U878" s="139"/>
      <c r="V878" s="139"/>
      <c r="W878" s="140"/>
      <c r="X878" s="141"/>
      <c r="Y878" s="140"/>
      <c r="Z878" s="142"/>
      <c r="AA878" s="139"/>
      <c r="AB878" s="139"/>
      <c r="AC878" s="140"/>
      <c r="AD878" s="140"/>
      <c r="AE878" s="140"/>
    </row>
    <row r="879">
      <c r="A879" s="130"/>
      <c r="B879" s="131"/>
      <c r="C879" s="131"/>
      <c r="D879" s="130"/>
      <c r="E879" s="132"/>
      <c r="F879" s="132"/>
      <c r="G879" s="133"/>
      <c r="H879" s="134"/>
      <c r="I879" s="134"/>
      <c r="J879" s="134"/>
      <c r="K879" s="134"/>
      <c r="L879" s="134"/>
      <c r="M879" s="134"/>
      <c r="N879" s="143"/>
      <c r="O879" s="136"/>
      <c r="P879" s="136"/>
      <c r="Q879" s="137"/>
      <c r="R879" s="138"/>
      <c r="S879" s="138"/>
      <c r="T879" s="139"/>
      <c r="U879" s="139"/>
      <c r="V879" s="139"/>
      <c r="W879" s="140"/>
      <c r="X879" s="141"/>
      <c r="Y879" s="140"/>
      <c r="Z879" s="142"/>
      <c r="AA879" s="139"/>
      <c r="AB879" s="139"/>
      <c r="AC879" s="140"/>
      <c r="AD879" s="140"/>
      <c r="AE879" s="140"/>
    </row>
    <row r="880">
      <c r="A880" s="130"/>
      <c r="B880" s="131"/>
      <c r="C880" s="131"/>
      <c r="D880" s="130"/>
      <c r="E880" s="132"/>
      <c r="F880" s="132"/>
      <c r="G880" s="133"/>
      <c r="H880" s="134"/>
      <c r="I880" s="134"/>
      <c r="J880" s="134"/>
      <c r="K880" s="134"/>
      <c r="L880" s="134"/>
      <c r="M880" s="134"/>
      <c r="N880" s="143"/>
      <c r="O880" s="136"/>
      <c r="P880" s="136"/>
      <c r="Q880" s="137"/>
      <c r="R880" s="138"/>
      <c r="S880" s="138"/>
      <c r="T880" s="139"/>
      <c r="U880" s="139"/>
      <c r="V880" s="139"/>
      <c r="W880" s="140"/>
      <c r="X880" s="141"/>
      <c r="Y880" s="140"/>
      <c r="Z880" s="142"/>
      <c r="AA880" s="139"/>
      <c r="AB880" s="139"/>
      <c r="AC880" s="140"/>
      <c r="AD880" s="140"/>
      <c r="AE880" s="140"/>
    </row>
    <row r="881">
      <c r="A881" s="130"/>
      <c r="B881" s="131"/>
      <c r="C881" s="131"/>
      <c r="D881" s="130"/>
      <c r="E881" s="132"/>
      <c r="F881" s="132"/>
      <c r="G881" s="133"/>
      <c r="H881" s="134"/>
      <c r="I881" s="134"/>
      <c r="J881" s="134"/>
      <c r="K881" s="134"/>
      <c r="L881" s="134"/>
      <c r="M881" s="134"/>
      <c r="N881" s="143"/>
      <c r="O881" s="136"/>
      <c r="P881" s="136"/>
      <c r="Q881" s="137"/>
      <c r="R881" s="138"/>
      <c r="S881" s="138"/>
      <c r="T881" s="139"/>
      <c r="U881" s="139"/>
      <c r="V881" s="139"/>
      <c r="W881" s="140"/>
      <c r="X881" s="141"/>
      <c r="Y881" s="140"/>
      <c r="Z881" s="142"/>
      <c r="AA881" s="139"/>
      <c r="AB881" s="139"/>
      <c r="AC881" s="140"/>
      <c r="AD881" s="140"/>
      <c r="AE881" s="140"/>
    </row>
    <row r="882">
      <c r="A882" s="130"/>
      <c r="B882" s="131"/>
      <c r="C882" s="131"/>
      <c r="D882" s="130"/>
      <c r="E882" s="132"/>
      <c r="F882" s="132"/>
      <c r="G882" s="133"/>
      <c r="H882" s="134"/>
      <c r="I882" s="134"/>
      <c r="J882" s="134"/>
      <c r="K882" s="134"/>
      <c r="L882" s="134"/>
      <c r="M882" s="134"/>
      <c r="N882" s="143"/>
      <c r="O882" s="136"/>
      <c r="P882" s="136"/>
      <c r="Q882" s="137"/>
      <c r="R882" s="138"/>
      <c r="S882" s="138"/>
      <c r="T882" s="139"/>
      <c r="U882" s="139"/>
      <c r="V882" s="139"/>
      <c r="W882" s="140"/>
      <c r="X882" s="141"/>
      <c r="Y882" s="140"/>
      <c r="Z882" s="142"/>
      <c r="AA882" s="139"/>
      <c r="AB882" s="139"/>
      <c r="AC882" s="140"/>
      <c r="AD882" s="140"/>
      <c r="AE882" s="140"/>
    </row>
    <row r="883">
      <c r="A883" s="130"/>
      <c r="B883" s="131"/>
      <c r="C883" s="131"/>
      <c r="D883" s="130"/>
      <c r="E883" s="132"/>
      <c r="F883" s="132"/>
      <c r="G883" s="133"/>
      <c r="H883" s="134"/>
      <c r="I883" s="134"/>
      <c r="J883" s="134"/>
      <c r="K883" s="134"/>
      <c r="L883" s="134"/>
      <c r="M883" s="134"/>
      <c r="N883" s="143"/>
      <c r="O883" s="136"/>
      <c r="P883" s="136"/>
      <c r="Q883" s="137"/>
      <c r="R883" s="138"/>
      <c r="S883" s="138"/>
      <c r="T883" s="139"/>
      <c r="U883" s="139"/>
      <c r="V883" s="139"/>
      <c r="W883" s="140"/>
      <c r="X883" s="141"/>
      <c r="Y883" s="140"/>
      <c r="Z883" s="142"/>
      <c r="AA883" s="139"/>
      <c r="AB883" s="139"/>
      <c r="AC883" s="140"/>
      <c r="AD883" s="140"/>
      <c r="AE883" s="140"/>
    </row>
    <row r="884">
      <c r="A884" s="130"/>
      <c r="B884" s="131"/>
      <c r="C884" s="131"/>
      <c r="D884" s="130"/>
      <c r="E884" s="132"/>
      <c r="F884" s="132"/>
      <c r="G884" s="133"/>
      <c r="H884" s="134"/>
      <c r="I884" s="134"/>
      <c r="J884" s="134"/>
      <c r="K884" s="134"/>
      <c r="L884" s="134"/>
      <c r="M884" s="134"/>
      <c r="N884" s="143"/>
      <c r="O884" s="136"/>
      <c r="P884" s="136"/>
      <c r="Q884" s="137"/>
      <c r="R884" s="138"/>
      <c r="S884" s="138"/>
      <c r="T884" s="139"/>
      <c r="U884" s="139"/>
      <c r="V884" s="139"/>
      <c r="W884" s="140"/>
      <c r="X884" s="141"/>
      <c r="Y884" s="140"/>
      <c r="Z884" s="142"/>
      <c r="AA884" s="139"/>
      <c r="AB884" s="139"/>
      <c r="AC884" s="140"/>
      <c r="AD884" s="140"/>
      <c r="AE884" s="140"/>
    </row>
    <row r="885">
      <c r="A885" s="130"/>
      <c r="B885" s="131"/>
      <c r="C885" s="131"/>
      <c r="D885" s="130"/>
      <c r="E885" s="132"/>
      <c r="F885" s="132"/>
      <c r="G885" s="133"/>
      <c r="H885" s="134"/>
      <c r="I885" s="134"/>
      <c r="J885" s="134"/>
      <c r="K885" s="134"/>
      <c r="L885" s="134"/>
      <c r="M885" s="134"/>
      <c r="N885" s="143"/>
      <c r="O885" s="136"/>
      <c r="P885" s="136"/>
      <c r="Q885" s="137"/>
      <c r="R885" s="138"/>
      <c r="S885" s="138"/>
      <c r="T885" s="139"/>
      <c r="U885" s="139"/>
      <c r="V885" s="139"/>
      <c r="W885" s="140"/>
      <c r="X885" s="141"/>
      <c r="Y885" s="140"/>
      <c r="Z885" s="142"/>
      <c r="AA885" s="139"/>
      <c r="AB885" s="139"/>
      <c r="AC885" s="140"/>
      <c r="AD885" s="140"/>
      <c r="AE885" s="140"/>
    </row>
    <row r="886">
      <c r="A886" s="130"/>
      <c r="B886" s="131"/>
      <c r="C886" s="131"/>
      <c r="D886" s="130"/>
      <c r="E886" s="132"/>
      <c r="F886" s="132"/>
      <c r="G886" s="133"/>
      <c r="H886" s="134"/>
      <c r="I886" s="134"/>
      <c r="J886" s="134"/>
      <c r="K886" s="134"/>
      <c r="L886" s="134"/>
      <c r="M886" s="134"/>
      <c r="N886" s="143"/>
      <c r="O886" s="136"/>
      <c r="P886" s="136"/>
      <c r="Q886" s="137"/>
      <c r="R886" s="138"/>
      <c r="S886" s="138"/>
      <c r="T886" s="139"/>
      <c r="U886" s="139"/>
      <c r="V886" s="139"/>
      <c r="W886" s="140"/>
      <c r="X886" s="141"/>
      <c r="Y886" s="140"/>
      <c r="Z886" s="142"/>
      <c r="AA886" s="139"/>
      <c r="AB886" s="139"/>
      <c r="AC886" s="140"/>
      <c r="AD886" s="140"/>
      <c r="AE886" s="140"/>
    </row>
    <row r="887">
      <c r="A887" s="130"/>
      <c r="B887" s="131"/>
      <c r="C887" s="131"/>
      <c r="D887" s="130"/>
      <c r="E887" s="132"/>
      <c r="F887" s="132"/>
      <c r="G887" s="133"/>
      <c r="H887" s="134"/>
      <c r="I887" s="134"/>
      <c r="J887" s="134"/>
      <c r="K887" s="134"/>
      <c r="L887" s="134"/>
      <c r="M887" s="134"/>
      <c r="N887" s="143"/>
      <c r="O887" s="136"/>
      <c r="P887" s="136"/>
      <c r="Q887" s="137"/>
      <c r="R887" s="138"/>
      <c r="S887" s="138"/>
      <c r="T887" s="139"/>
      <c r="U887" s="139"/>
      <c r="V887" s="139"/>
      <c r="W887" s="140"/>
      <c r="X887" s="141"/>
      <c r="Y887" s="140"/>
      <c r="Z887" s="142"/>
      <c r="AA887" s="139"/>
      <c r="AB887" s="139"/>
      <c r="AC887" s="140"/>
      <c r="AD887" s="140"/>
      <c r="AE887" s="140"/>
    </row>
    <row r="888">
      <c r="A888" s="130"/>
      <c r="B888" s="131"/>
      <c r="C888" s="131"/>
      <c r="D888" s="130"/>
      <c r="E888" s="132"/>
      <c r="F888" s="132"/>
      <c r="G888" s="133"/>
      <c r="H888" s="134"/>
      <c r="I888" s="134"/>
      <c r="J888" s="134"/>
      <c r="K888" s="134"/>
      <c r="L888" s="134"/>
      <c r="M888" s="134"/>
      <c r="N888" s="143"/>
      <c r="O888" s="136"/>
      <c r="P888" s="136"/>
      <c r="Q888" s="137"/>
      <c r="R888" s="138"/>
      <c r="S888" s="138"/>
      <c r="T888" s="139"/>
      <c r="U888" s="139"/>
      <c r="V888" s="139"/>
      <c r="W888" s="140"/>
      <c r="X888" s="141"/>
      <c r="Y888" s="140"/>
      <c r="Z888" s="142"/>
      <c r="AA888" s="139"/>
      <c r="AB888" s="139"/>
      <c r="AC888" s="140"/>
      <c r="AD888" s="140"/>
      <c r="AE888" s="140"/>
    </row>
    <row r="889">
      <c r="A889" s="130"/>
      <c r="B889" s="131"/>
      <c r="C889" s="131"/>
      <c r="D889" s="130"/>
      <c r="E889" s="132"/>
      <c r="F889" s="132"/>
      <c r="G889" s="133"/>
      <c r="H889" s="134"/>
      <c r="I889" s="134"/>
      <c r="J889" s="134"/>
      <c r="K889" s="134"/>
      <c r="L889" s="134"/>
      <c r="M889" s="134"/>
      <c r="N889" s="143"/>
      <c r="O889" s="136"/>
      <c r="P889" s="136"/>
      <c r="Q889" s="137"/>
      <c r="R889" s="138"/>
      <c r="S889" s="138"/>
      <c r="T889" s="139"/>
      <c r="U889" s="139"/>
      <c r="V889" s="139"/>
      <c r="W889" s="140"/>
      <c r="X889" s="141"/>
      <c r="Y889" s="140"/>
      <c r="Z889" s="142"/>
      <c r="AA889" s="139"/>
      <c r="AB889" s="139"/>
      <c r="AC889" s="140"/>
      <c r="AD889" s="140"/>
      <c r="AE889" s="140"/>
    </row>
    <row r="890">
      <c r="A890" s="130"/>
      <c r="B890" s="131"/>
      <c r="C890" s="131"/>
      <c r="D890" s="130"/>
      <c r="E890" s="132"/>
      <c r="F890" s="132"/>
      <c r="G890" s="133"/>
      <c r="H890" s="134"/>
      <c r="I890" s="134"/>
      <c r="J890" s="134"/>
      <c r="K890" s="134"/>
      <c r="L890" s="134"/>
      <c r="M890" s="134"/>
      <c r="N890" s="143"/>
      <c r="O890" s="136"/>
      <c r="P890" s="136"/>
      <c r="Q890" s="137"/>
      <c r="R890" s="138"/>
      <c r="S890" s="138"/>
      <c r="T890" s="139"/>
      <c r="U890" s="139"/>
      <c r="V890" s="139"/>
      <c r="W890" s="140"/>
      <c r="X890" s="141"/>
      <c r="Y890" s="140"/>
      <c r="Z890" s="142"/>
      <c r="AA890" s="139"/>
      <c r="AB890" s="139"/>
      <c r="AC890" s="140"/>
      <c r="AD890" s="140"/>
      <c r="AE890" s="140"/>
    </row>
    <row r="891">
      <c r="A891" s="130"/>
      <c r="B891" s="131"/>
      <c r="C891" s="131"/>
      <c r="D891" s="130"/>
      <c r="E891" s="132"/>
      <c r="F891" s="132"/>
      <c r="G891" s="133"/>
      <c r="H891" s="134"/>
      <c r="I891" s="134"/>
      <c r="J891" s="134"/>
      <c r="K891" s="134"/>
      <c r="L891" s="134"/>
      <c r="M891" s="134"/>
      <c r="N891" s="143"/>
      <c r="O891" s="136"/>
      <c r="P891" s="136"/>
      <c r="Q891" s="137"/>
      <c r="R891" s="138"/>
      <c r="S891" s="138"/>
      <c r="T891" s="139"/>
      <c r="U891" s="139"/>
      <c r="V891" s="139"/>
      <c r="W891" s="140"/>
      <c r="X891" s="141"/>
      <c r="Y891" s="140"/>
      <c r="Z891" s="142"/>
      <c r="AA891" s="139"/>
      <c r="AB891" s="139"/>
      <c r="AC891" s="140"/>
      <c r="AD891" s="140"/>
      <c r="AE891" s="140"/>
    </row>
    <row r="892">
      <c r="A892" s="130"/>
      <c r="B892" s="131"/>
      <c r="C892" s="131"/>
      <c r="D892" s="130"/>
      <c r="E892" s="132"/>
      <c r="F892" s="132"/>
      <c r="G892" s="133"/>
      <c r="H892" s="134"/>
      <c r="I892" s="134"/>
      <c r="J892" s="134"/>
      <c r="K892" s="134"/>
      <c r="L892" s="134"/>
      <c r="M892" s="134"/>
      <c r="N892" s="143"/>
      <c r="O892" s="136"/>
      <c r="P892" s="136"/>
      <c r="Q892" s="137"/>
      <c r="R892" s="138"/>
      <c r="S892" s="138"/>
      <c r="T892" s="139"/>
      <c r="U892" s="139"/>
      <c r="V892" s="139"/>
      <c r="W892" s="140"/>
      <c r="X892" s="141"/>
      <c r="Y892" s="140"/>
      <c r="Z892" s="142"/>
      <c r="AA892" s="139"/>
      <c r="AB892" s="139"/>
      <c r="AC892" s="140"/>
      <c r="AD892" s="140"/>
      <c r="AE892" s="140"/>
    </row>
    <row r="893">
      <c r="A893" s="130"/>
      <c r="B893" s="131"/>
      <c r="C893" s="131"/>
      <c r="D893" s="130"/>
      <c r="E893" s="132"/>
      <c r="F893" s="132"/>
      <c r="G893" s="133"/>
      <c r="H893" s="134"/>
      <c r="I893" s="134"/>
      <c r="J893" s="134"/>
      <c r="K893" s="134"/>
      <c r="L893" s="134"/>
      <c r="M893" s="134"/>
      <c r="N893" s="143"/>
      <c r="O893" s="136"/>
      <c r="P893" s="136"/>
      <c r="Q893" s="137"/>
      <c r="R893" s="138"/>
      <c r="S893" s="138"/>
      <c r="T893" s="139"/>
      <c r="U893" s="139"/>
      <c r="V893" s="139"/>
      <c r="W893" s="140"/>
      <c r="X893" s="141"/>
      <c r="Y893" s="140"/>
      <c r="Z893" s="142"/>
      <c r="AA893" s="139"/>
      <c r="AB893" s="139"/>
      <c r="AC893" s="140"/>
      <c r="AD893" s="140"/>
      <c r="AE893" s="140"/>
    </row>
    <row r="894">
      <c r="A894" s="130"/>
      <c r="B894" s="131"/>
      <c r="C894" s="131"/>
      <c r="D894" s="130"/>
      <c r="E894" s="132"/>
      <c r="F894" s="132"/>
      <c r="G894" s="133"/>
      <c r="H894" s="134"/>
      <c r="I894" s="134"/>
      <c r="J894" s="134"/>
      <c r="K894" s="134"/>
      <c r="L894" s="134"/>
      <c r="M894" s="134"/>
      <c r="N894" s="143"/>
      <c r="O894" s="136"/>
      <c r="P894" s="136"/>
      <c r="Q894" s="137"/>
      <c r="R894" s="138"/>
      <c r="S894" s="138"/>
      <c r="T894" s="139"/>
      <c r="U894" s="139"/>
      <c r="V894" s="139"/>
      <c r="W894" s="140"/>
      <c r="X894" s="141"/>
      <c r="Y894" s="140"/>
      <c r="Z894" s="142"/>
      <c r="AA894" s="139"/>
      <c r="AB894" s="139"/>
      <c r="AC894" s="140"/>
      <c r="AD894" s="140"/>
      <c r="AE894" s="140"/>
    </row>
    <row r="895">
      <c r="A895" s="130"/>
      <c r="B895" s="131"/>
      <c r="C895" s="131"/>
      <c r="D895" s="130"/>
      <c r="E895" s="132"/>
      <c r="F895" s="132"/>
      <c r="G895" s="133"/>
      <c r="H895" s="134"/>
      <c r="I895" s="134"/>
      <c r="J895" s="134"/>
      <c r="K895" s="134"/>
      <c r="L895" s="134"/>
      <c r="M895" s="134"/>
      <c r="N895" s="143"/>
      <c r="O895" s="136"/>
      <c r="P895" s="136"/>
      <c r="Q895" s="137"/>
      <c r="R895" s="138"/>
      <c r="S895" s="138"/>
      <c r="T895" s="139"/>
      <c r="U895" s="139"/>
      <c r="V895" s="139"/>
      <c r="W895" s="140"/>
      <c r="X895" s="141"/>
      <c r="Y895" s="140"/>
      <c r="Z895" s="142"/>
      <c r="AA895" s="139"/>
      <c r="AB895" s="139"/>
      <c r="AC895" s="140"/>
      <c r="AD895" s="140"/>
      <c r="AE895" s="140"/>
    </row>
    <row r="896">
      <c r="A896" s="130"/>
      <c r="B896" s="131"/>
      <c r="C896" s="131"/>
      <c r="D896" s="130"/>
      <c r="E896" s="132"/>
      <c r="F896" s="132"/>
      <c r="G896" s="133"/>
      <c r="H896" s="134"/>
      <c r="I896" s="134"/>
      <c r="J896" s="134"/>
      <c r="K896" s="134"/>
      <c r="L896" s="134"/>
      <c r="M896" s="134"/>
      <c r="N896" s="143"/>
      <c r="O896" s="136"/>
      <c r="P896" s="136"/>
      <c r="Q896" s="137"/>
      <c r="R896" s="138"/>
      <c r="S896" s="138"/>
      <c r="T896" s="139"/>
      <c r="U896" s="139"/>
      <c r="V896" s="139"/>
      <c r="W896" s="140"/>
      <c r="X896" s="141"/>
      <c r="Y896" s="140"/>
      <c r="Z896" s="142"/>
      <c r="AA896" s="139"/>
      <c r="AB896" s="139"/>
      <c r="AC896" s="140"/>
      <c r="AD896" s="140"/>
      <c r="AE896" s="140"/>
    </row>
    <row r="897">
      <c r="A897" s="130"/>
      <c r="B897" s="131"/>
      <c r="C897" s="131"/>
      <c r="D897" s="130"/>
      <c r="E897" s="132"/>
      <c r="F897" s="132"/>
      <c r="G897" s="133"/>
      <c r="H897" s="134"/>
      <c r="I897" s="134"/>
      <c r="J897" s="134"/>
      <c r="K897" s="134"/>
      <c r="L897" s="134"/>
      <c r="M897" s="134"/>
      <c r="N897" s="143"/>
      <c r="O897" s="136"/>
      <c r="P897" s="136"/>
      <c r="Q897" s="137"/>
      <c r="R897" s="138"/>
      <c r="S897" s="138"/>
      <c r="T897" s="139"/>
      <c r="U897" s="139"/>
      <c r="V897" s="139"/>
      <c r="W897" s="140"/>
      <c r="X897" s="141"/>
      <c r="Y897" s="140"/>
      <c r="Z897" s="142"/>
      <c r="AA897" s="139"/>
      <c r="AB897" s="139"/>
      <c r="AC897" s="140"/>
      <c r="AD897" s="140"/>
      <c r="AE897" s="140"/>
    </row>
    <row r="898">
      <c r="A898" s="130"/>
      <c r="B898" s="131"/>
      <c r="C898" s="131"/>
      <c r="D898" s="130"/>
      <c r="E898" s="132"/>
      <c r="F898" s="132"/>
      <c r="G898" s="133"/>
      <c r="H898" s="134"/>
      <c r="I898" s="134"/>
      <c r="J898" s="134"/>
      <c r="K898" s="134"/>
      <c r="L898" s="134"/>
      <c r="M898" s="134"/>
      <c r="N898" s="143"/>
      <c r="O898" s="136"/>
      <c r="P898" s="136"/>
      <c r="Q898" s="137"/>
      <c r="R898" s="138"/>
      <c r="S898" s="138"/>
      <c r="T898" s="139"/>
      <c r="U898" s="139"/>
      <c r="V898" s="139"/>
      <c r="W898" s="140"/>
      <c r="X898" s="141"/>
      <c r="Y898" s="140"/>
      <c r="Z898" s="142"/>
      <c r="AA898" s="139"/>
      <c r="AB898" s="139"/>
      <c r="AC898" s="140"/>
      <c r="AD898" s="140"/>
      <c r="AE898" s="140"/>
    </row>
    <row r="899">
      <c r="A899" s="130"/>
      <c r="B899" s="131"/>
      <c r="C899" s="131"/>
      <c r="D899" s="130"/>
      <c r="E899" s="132"/>
      <c r="F899" s="132"/>
      <c r="G899" s="133"/>
      <c r="H899" s="134"/>
      <c r="I899" s="134"/>
      <c r="J899" s="134"/>
      <c r="K899" s="134"/>
      <c r="L899" s="134"/>
      <c r="M899" s="134"/>
      <c r="N899" s="143"/>
      <c r="O899" s="136"/>
      <c r="P899" s="136"/>
      <c r="Q899" s="137"/>
      <c r="R899" s="138"/>
      <c r="S899" s="138"/>
      <c r="T899" s="139"/>
      <c r="U899" s="139"/>
      <c r="V899" s="139"/>
      <c r="W899" s="140"/>
      <c r="X899" s="141"/>
      <c r="Y899" s="140"/>
      <c r="Z899" s="142"/>
      <c r="AA899" s="139"/>
      <c r="AB899" s="139"/>
      <c r="AC899" s="140"/>
      <c r="AD899" s="140"/>
      <c r="AE899" s="140"/>
    </row>
    <row r="900">
      <c r="A900" s="130"/>
      <c r="B900" s="131"/>
      <c r="C900" s="131"/>
      <c r="D900" s="130"/>
      <c r="E900" s="132"/>
      <c r="F900" s="132"/>
      <c r="G900" s="133"/>
      <c r="H900" s="134"/>
      <c r="I900" s="134"/>
      <c r="J900" s="134"/>
      <c r="K900" s="134"/>
      <c r="L900" s="134"/>
      <c r="M900" s="134"/>
      <c r="N900" s="143"/>
      <c r="O900" s="136"/>
      <c r="P900" s="136"/>
      <c r="Q900" s="137"/>
      <c r="R900" s="138"/>
      <c r="S900" s="138"/>
      <c r="T900" s="139"/>
      <c r="U900" s="139"/>
      <c r="V900" s="139"/>
      <c r="W900" s="140"/>
      <c r="X900" s="141"/>
      <c r="Y900" s="140"/>
      <c r="Z900" s="142"/>
      <c r="AA900" s="139"/>
      <c r="AB900" s="139"/>
      <c r="AC900" s="140"/>
      <c r="AD900" s="140"/>
      <c r="AE900" s="140"/>
    </row>
    <row r="901">
      <c r="A901" s="130"/>
      <c r="B901" s="131"/>
      <c r="C901" s="131"/>
      <c r="D901" s="130"/>
      <c r="E901" s="132"/>
      <c r="F901" s="132"/>
      <c r="G901" s="133"/>
      <c r="H901" s="134"/>
      <c r="I901" s="134"/>
      <c r="J901" s="134"/>
      <c r="K901" s="134"/>
      <c r="L901" s="134"/>
      <c r="M901" s="134"/>
      <c r="N901" s="143"/>
      <c r="O901" s="136"/>
      <c r="P901" s="136"/>
      <c r="Q901" s="137"/>
      <c r="R901" s="138"/>
      <c r="S901" s="138"/>
      <c r="T901" s="139"/>
      <c r="U901" s="139"/>
      <c r="V901" s="139"/>
      <c r="W901" s="140"/>
      <c r="X901" s="141"/>
      <c r="Y901" s="140"/>
      <c r="Z901" s="142"/>
      <c r="AA901" s="139"/>
      <c r="AB901" s="139"/>
      <c r="AC901" s="140"/>
      <c r="AD901" s="140"/>
      <c r="AE901" s="140"/>
    </row>
    <row r="902">
      <c r="A902" s="130"/>
      <c r="B902" s="131"/>
      <c r="C902" s="131"/>
      <c r="D902" s="130"/>
      <c r="E902" s="132"/>
      <c r="F902" s="132"/>
      <c r="G902" s="133"/>
      <c r="H902" s="134"/>
      <c r="I902" s="134"/>
      <c r="J902" s="134"/>
      <c r="K902" s="134"/>
      <c r="L902" s="134"/>
      <c r="M902" s="134"/>
      <c r="N902" s="143"/>
      <c r="O902" s="136"/>
      <c r="P902" s="136"/>
      <c r="Q902" s="137"/>
      <c r="R902" s="138"/>
      <c r="S902" s="138"/>
      <c r="T902" s="139"/>
      <c r="U902" s="139"/>
      <c r="V902" s="139"/>
      <c r="W902" s="140"/>
      <c r="X902" s="141"/>
      <c r="Y902" s="140"/>
      <c r="Z902" s="142"/>
      <c r="AA902" s="139"/>
      <c r="AB902" s="139"/>
      <c r="AC902" s="140"/>
      <c r="AD902" s="140"/>
      <c r="AE902" s="140"/>
    </row>
    <row r="903">
      <c r="A903" s="130"/>
      <c r="B903" s="131"/>
      <c r="C903" s="131"/>
      <c r="D903" s="130"/>
      <c r="E903" s="132"/>
      <c r="F903" s="132"/>
      <c r="G903" s="133"/>
      <c r="H903" s="134"/>
      <c r="I903" s="134"/>
      <c r="J903" s="134"/>
      <c r="K903" s="134"/>
      <c r="L903" s="134"/>
      <c r="M903" s="134"/>
      <c r="N903" s="143"/>
      <c r="O903" s="136"/>
      <c r="P903" s="136"/>
      <c r="Q903" s="137"/>
      <c r="R903" s="138"/>
      <c r="S903" s="138"/>
      <c r="T903" s="139"/>
      <c r="U903" s="139"/>
      <c r="V903" s="139"/>
      <c r="W903" s="140"/>
      <c r="X903" s="141"/>
      <c r="Y903" s="140"/>
      <c r="Z903" s="142"/>
      <c r="AA903" s="139"/>
      <c r="AB903" s="139"/>
      <c r="AC903" s="140"/>
      <c r="AD903" s="140"/>
      <c r="AE903" s="140"/>
    </row>
    <row r="904">
      <c r="A904" s="130"/>
      <c r="B904" s="131"/>
      <c r="C904" s="131"/>
      <c r="D904" s="130"/>
      <c r="E904" s="132"/>
      <c r="F904" s="132"/>
      <c r="G904" s="133"/>
      <c r="H904" s="134"/>
      <c r="I904" s="134"/>
      <c r="J904" s="134"/>
      <c r="K904" s="134"/>
      <c r="L904" s="134"/>
      <c r="M904" s="134"/>
      <c r="N904" s="143"/>
      <c r="O904" s="136"/>
      <c r="P904" s="136"/>
      <c r="Q904" s="137"/>
      <c r="R904" s="138"/>
      <c r="S904" s="138"/>
      <c r="T904" s="139"/>
      <c r="U904" s="139"/>
      <c r="V904" s="139"/>
      <c r="W904" s="140"/>
      <c r="X904" s="141"/>
      <c r="Y904" s="140"/>
      <c r="Z904" s="142"/>
      <c r="AA904" s="139"/>
      <c r="AB904" s="139"/>
      <c r="AC904" s="140"/>
      <c r="AD904" s="140"/>
      <c r="AE904" s="140"/>
    </row>
    <row r="905">
      <c r="A905" s="130"/>
      <c r="B905" s="131"/>
      <c r="C905" s="131"/>
      <c r="D905" s="130"/>
      <c r="E905" s="132"/>
      <c r="F905" s="132"/>
      <c r="G905" s="133"/>
      <c r="H905" s="134"/>
      <c r="I905" s="134"/>
      <c r="J905" s="134"/>
      <c r="K905" s="134"/>
      <c r="L905" s="134"/>
      <c r="M905" s="134"/>
      <c r="N905" s="143"/>
      <c r="O905" s="136"/>
      <c r="P905" s="136"/>
      <c r="Q905" s="137"/>
      <c r="R905" s="138"/>
      <c r="S905" s="138"/>
      <c r="T905" s="139"/>
      <c r="U905" s="139"/>
      <c r="V905" s="139"/>
      <c r="W905" s="140"/>
      <c r="X905" s="141"/>
      <c r="Y905" s="140"/>
      <c r="Z905" s="142"/>
      <c r="AA905" s="139"/>
      <c r="AB905" s="139"/>
      <c r="AC905" s="140"/>
      <c r="AD905" s="140"/>
      <c r="AE905" s="140"/>
    </row>
    <row r="906">
      <c r="A906" s="130"/>
      <c r="B906" s="131"/>
      <c r="C906" s="131"/>
      <c r="D906" s="130"/>
      <c r="E906" s="132"/>
      <c r="F906" s="132"/>
      <c r="G906" s="133"/>
      <c r="H906" s="134"/>
      <c r="I906" s="134"/>
      <c r="J906" s="134"/>
      <c r="K906" s="134"/>
      <c r="L906" s="134"/>
      <c r="M906" s="134"/>
      <c r="N906" s="143"/>
      <c r="O906" s="136"/>
      <c r="P906" s="136"/>
      <c r="Q906" s="137"/>
      <c r="R906" s="138"/>
      <c r="S906" s="138"/>
      <c r="T906" s="139"/>
      <c r="U906" s="139"/>
      <c r="V906" s="139"/>
      <c r="W906" s="140"/>
      <c r="X906" s="141"/>
      <c r="Y906" s="140"/>
      <c r="Z906" s="142"/>
      <c r="AA906" s="139"/>
      <c r="AB906" s="139"/>
      <c r="AC906" s="140"/>
      <c r="AD906" s="140"/>
      <c r="AE906" s="140"/>
    </row>
    <row r="907">
      <c r="A907" s="130"/>
      <c r="B907" s="131"/>
      <c r="C907" s="131"/>
      <c r="D907" s="130"/>
      <c r="E907" s="132"/>
      <c r="F907" s="132"/>
      <c r="G907" s="133"/>
      <c r="H907" s="134"/>
      <c r="I907" s="134"/>
      <c r="J907" s="134"/>
      <c r="K907" s="134"/>
      <c r="L907" s="134"/>
      <c r="M907" s="134"/>
      <c r="N907" s="143"/>
      <c r="O907" s="136"/>
      <c r="P907" s="136"/>
      <c r="Q907" s="137"/>
      <c r="R907" s="138"/>
      <c r="S907" s="138"/>
      <c r="T907" s="139"/>
      <c r="U907" s="139"/>
      <c r="V907" s="139"/>
      <c r="W907" s="140"/>
      <c r="X907" s="141"/>
      <c r="Y907" s="140"/>
      <c r="Z907" s="142"/>
      <c r="AA907" s="139"/>
      <c r="AB907" s="139"/>
      <c r="AC907" s="140"/>
      <c r="AD907" s="140"/>
      <c r="AE907" s="140"/>
    </row>
    <row r="908">
      <c r="A908" s="130"/>
      <c r="B908" s="131"/>
      <c r="C908" s="131"/>
      <c r="D908" s="130"/>
      <c r="E908" s="132"/>
      <c r="F908" s="132"/>
      <c r="G908" s="133"/>
      <c r="H908" s="134"/>
      <c r="I908" s="134"/>
      <c r="J908" s="134"/>
      <c r="K908" s="134"/>
      <c r="L908" s="134"/>
      <c r="M908" s="134"/>
      <c r="N908" s="143"/>
      <c r="O908" s="136"/>
      <c r="P908" s="136"/>
      <c r="Q908" s="137"/>
      <c r="R908" s="138"/>
      <c r="S908" s="138"/>
      <c r="T908" s="139"/>
      <c r="U908" s="139"/>
      <c r="V908" s="139"/>
      <c r="W908" s="140"/>
      <c r="X908" s="141"/>
      <c r="Y908" s="140"/>
      <c r="Z908" s="142"/>
      <c r="AA908" s="139"/>
      <c r="AB908" s="139"/>
      <c r="AC908" s="140"/>
      <c r="AD908" s="140"/>
      <c r="AE908" s="140"/>
    </row>
    <row r="909">
      <c r="A909" s="130"/>
      <c r="B909" s="131"/>
      <c r="C909" s="131"/>
      <c r="D909" s="130"/>
      <c r="E909" s="132"/>
      <c r="F909" s="132"/>
      <c r="G909" s="133"/>
      <c r="H909" s="134"/>
      <c r="I909" s="134"/>
      <c r="J909" s="134"/>
      <c r="K909" s="134"/>
      <c r="L909" s="134"/>
      <c r="M909" s="134"/>
      <c r="N909" s="143"/>
      <c r="O909" s="136"/>
      <c r="P909" s="136"/>
      <c r="Q909" s="137"/>
      <c r="R909" s="138"/>
      <c r="S909" s="138"/>
      <c r="T909" s="139"/>
      <c r="U909" s="139"/>
      <c r="V909" s="139"/>
      <c r="W909" s="140"/>
      <c r="X909" s="141"/>
      <c r="Y909" s="140"/>
      <c r="Z909" s="142"/>
      <c r="AA909" s="139"/>
      <c r="AB909" s="139"/>
      <c r="AC909" s="140"/>
      <c r="AD909" s="140"/>
      <c r="AE909" s="140"/>
    </row>
    <row r="910">
      <c r="A910" s="130"/>
      <c r="B910" s="131"/>
      <c r="C910" s="131"/>
      <c r="D910" s="130"/>
      <c r="E910" s="132"/>
      <c r="F910" s="132"/>
      <c r="G910" s="133"/>
      <c r="H910" s="134"/>
      <c r="I910" s="134"/>
      <c r="J910" s="134"/>
      <c r="K910" s="134"/>
      <c r="L910" s="134"/>
      <c r="M910" s="134"/>
      <c r="N910" s="143"/>
      <c r="O910" s="136"/>
      <c r="P910" s="136"/>
      <c r="Q910" s="137"/>
      <c r="R910" s="138"/>
      <c r="S910" s="138"/>
      <c r="T910" s="139"/>
      <c r="U910" s="139"/>
      <c r="V910" s="139"/>
      <c r="W910" s="140"/>
      <c r="X910" s="141"/>
      <c r="Y910" s="140"/>
      <c r="Z910" s="142"/>
      <c r="AA910" s="139"/>
      <c r="AB910" s="139"/>
      <c r="AC910" s="140"/>
      <c r="AD910" s="140"/>
      <c r="AE910" s="140"/>
    </row>
    <row r="911">
      <c r="A911" s="130"/>
      <c r="B911" s="131"/>
      <c r="C911" s="131"/>
      <c r="D911" s="130"/>
      <c r="E911" s="132"/>
      <c r="F911" s="132"/>
      <c r="G911" s="133"/>
      <c r="H911" s="134"/>
      <c r="I911" s="134"/>
      <c r="J911" s="134"/>
      <c r="K911" s="134"/>
      <c r="L911" s="134"/>
      <c r="M911" s="134"/>
      <c r="N911" s="143"/>
      <c r="O911" s="136"/>
      <c r="P911" s="136"/>
      <c r="Q911" s="137"/>
      <c r="R911" s="138"/>
      <c r="S911" s="138"/>
      <c r="T911" s="139"/>
      <c r="U911" s="139"/>
      <c r="V911" s="139"/>
      <c r="W911" s="140"/>
      <c r="X911" s="141"/>
      <c r="Y911" s="140"/>
      <c r="Z911" s="142"/>
      <c r="AA911" s="139"/>
      <c r="AB911" s="139"/>
      <c r="AC911" s="140"/>
      <c r="AD911" s="140"/>
      <c r="AE911" s="140"/>
    </row>
    <row r="912">
      <c r="A912" s="130"/>
      <c r="B912" s="131"/>
      <c r="C912" s="131"/>
      <c r="D912" s="130"/>
      <c r="E912" s="132"/>
      <c r="F912" s="132"/>
      <c r="G912" s="133"/>
      <c r="H912" s="134"/>
      <c r="I912" s="134"/>
      <c r="J912" s="134"/>
      <c r="K912" s="134"/>
      <c r="L912" s="134"/>
      <c r="M912" s="134"/>
      <c r="N912" s="143"/>
      <c r="O912" s="136"/>
      <c r="P912" s="136"/>
      <c r="Q912" s="137"/>
      <c r="R912" s="138"/>
      <c r="S912" s="138"/>
      <c r="T912" s="139"/>
      <c r="U912" s="139"/>
      <c r="V912" s="139"/>
      <c r="W912" s="140"/>
      <c r="X912" s="141"/>
      <c r="Y912" s="140"/>
      <c r="Z912" s="142"/>
      <c r="AA912" s="139"/>
      <c r="AB912" s="139"/>
      <c r="AC912" s="140"/>
      <c r="AD912" s="140"/>
      <c r="AE912" s="140"/>
    </row>
    <row r="913">
      <c r="A913" s="130"/>
      <c r="B913" s="131"/>
      <c r="C913" s="131"/>
      <c r="D913" s="130"/>
      <c r="E913" s="132"/>
      <c r="F913" s="132"/>
      <c r="G913" s="133"/>
      <c r="H913" s="134"/>
      <c r="I913" s="134"/>
      <c r="J913" s="134"/>
      <c r="K913" s="134"/>
      <c r="L913" s="134"/>
      <c r="M913" s="134"/>
      <c r="N913" s="143"/>
      <c r="O913" s="136"/>
      <c r="P913" s="136"/>
      <c r="Q913" s="137"/>
      <c r="R913" s="138"/>
      <c r="S913" s="138"/>
      <c r="T913" s="139"/>
      <c r="U913" s="139"/>
      <c r="V913" s="139"/>
      <c r="W913" s="140"/>
      <c r="X913" s="141"/>
      <c r="Y913" s="140"/>
      <c r="Z913" s="142"/>
      <c r="AA913" s="139"/>
      <c r="AB913" s="139"/>
      <c r="AC913" s="140"/>
      <c r="AD913" s="140"/>
      <c r="AE913" s="140"/>
    </row>
    <row r="914">
      <c r="A914" s="130"/>
      <c r="B914" s="131"/>
      <c r="C914" s="131"/>
      <c r="D914" s="130"/>
      <c r="E914" s="132"/>
      <c r="F914" s="132"/>
      <c r="G914" s="133"/>
      <c r="H914" s="134"/>
      <c r="I914" s="134"/>
      <c r="J914" s="134"/>
      <c r="K914" s="134"/>
      <c r="L914" s="134"/>
      <c r="M914" s="134"/>
      <c r="N914" s="143"/>
      <c r="O914" s="136"/>
      <c r="P914" s="136"/>
      <c r="Q914" s="137"/>
      <c r="R914" s="138"/>
      <c r="S914" s="138"/>
      <c r="T914" s="139"/>
      <c r="U914" s="139"/>
      <c r="V914" s="139"/>
      <c r="W914" s="140"/>
      <c r="X914" s="141"/>
      <c r="Y914" s="140"/>
      <c r="Z914" s="142"/>
      <c r="AA914" s="139"/>
      <c r="AB914" s="139"/>
      <c r="AC914" s="140"/>
      <c r="AD914" s="140"/>
      <c r="AE914" s="140"/>
    </row>
    <row r="915">
      <c r="A915" s="130"/>
      <c r="B915" s="131"/>
      <c r="C915" s="131"/>
      <c r="D915" s="130"/>
      <c r="E915" s="132"/>
      <c r="F915" s="132"/>
      <c r="G915" s="133"/>
      <c r="H915" s="134"/>
      <c r="I915" s="134"/>
      <c r="J915" s="134"/>
      <c r="K915" s="134"/>
      <c r="L915" s="134"/>
      <c r="M915" s="134"/>
      <c r="N915" s="143"/>
      <c r="O915" s="136"/>
      <c r="P915" s="136"/>
      <c r="Q915" s="137"/>
      <c r="R915" s="138"/>
      <c r="S915" s="138"/>
      <c r="T915" s="139"/>
      <c r="U915" s="139"/>
      <c r="V915" s="139"/>
      <c r="W915" s="140"/>
      <c r="X915" s="141"/>
      <c r="Y915" s="140"/>
      <c r="Z915" s="142"/>
      <c r="AA915" s="139"/>
      <c r="AB915" s="139"/>
      <c r="AC915" s="140"/>
      <c r="AD915" s="140"/>
      <c r="AE915" s="140"/>
    </row>
    <row r="916">
      <c r="A916" s="130"/>
      <c r="B916" s="131"/>
      <c r="C916" s="131"/>
      <c r="D916" s="130"/>
      <c r="E916" s="132"/>
      <c r="F916" s="132"/>
      <c r="G916" s="133"/>
      <c r="H916" s="134"/>
      <c r="I916" s="134"/>
      <c r="J916" s="134"/>
      <c r="K916" s="134"/>
      <c r="L916" s="134"/>
      <c r="M916" s="134"/>
      <c r="N916" s="143"/>
      <c r="O916" s="136"/>
      <c r="P916" s="136"/>
      <c r="Q916" s="137"/>
      <c r="R916" s="138"/>
      <c r="S916" s="138"/>
      <c r="T916" s="139"/>
      <c r="U916" s="139"/>
      <c r="V916" s="139"/>
      <c r="W916" s="140"/>
      <c r="X916" s="141"/>
      <c r="Y916" s="140"/>
      <c r="Z916" s="142"/>
      <c r="AA916" s="139"/>
      <c r="AB916" s="139"/>
      <c r="AC916" s="140"/>
      <c r="AD916" s="140"/>
      <c r="AE916" s="140"/>
    </row>
    <row r="917">
      <c r="A917" s="130"/>
      <c r="B917" s="131"/>
      <c r="C917" s="131"/>
      <c r="D917" s="130"/>
      <c r="E917" s="132"/>
      <c r="F917" s="132"/>
      <c r="G917" s="133"/>
      <c r="H917" s="134"/>
      <c r="I917" s="134"/>
      <c r="J917" s="134"/>
      <c r="K917" s="134"/>
      <c r="L917" s="134"/>
      <c r="M917" s="134"/>
      <c r="N917" s="143"/>
      <c r="O917" s="136"/>
      <c r="P917" s="136"/>
      <c r="Q917" s="137"/>
      <c r="R917" s="138"/>
      <c r="S917" s="138"/>
      <c r="T917" s="139"/>
      <c r="U917" s="139"/>
      <c r="V917" s="139"/>
      <c r="W917" s="140"/>
      <c r="X917" s="141"/>
      <c r="Y917" s="140"/>
      <c r="Z917" s="142"/>
      <c r="AA917" s="139"/>
      <c r="AB917" s="139"/>
      <c r="AC917" s="140"/>
      <c r="AD917" s="140"/>
      <c r="AE917" s="140"/>
    </row>
    <row r="918">
      <c r="A918" s="130"/>
      <c r="B918" s="131"/>
      <c r="C918" s="131"/>
      <c r="D918" s="130"/>
      <c r="E918" s="132"/>
      <c r="F918" s="132"/>
      <c r="G918" s="133"/>
      <c r="H918" s="134"/>
      <c r="I918" s="134"/>
      <c r="J918" s="134"/>
      <c r="K918" s="134"/>
      <c r="L918" s="134"/>
      <c r="M918" s="134"/>
      <c r="N918" s="143"/>
      <c r="O918" s="136"/>
      <c r="P918" s="136"/>
      <c r="Q918" s="137"/>
      <c r="R918" s="138"/>
      <c r="S918" s="138"/>
      <c r="T918" s="139"/>
      <c r="U918" s="139"/>
      <c r="V918" s="139"/>
      <c r="W918" s="140"/>
      <c r="X918" s="141"/>
      <c r="Y918" s="140"/>
      <c r="Z918" s="142"/>
      <c r="AA918" s="139"/>
      <c r="AB918" s="139"/>
      <c r="AC918" s="140"/>
      <c r="AD918" s="140"/>
      <c r="AE918" s="140"/>
    </row>
    <row r="919">
      <c r="A919" s="130"/>
      <c r="B919" s="131"/>
      <c r="C919" s="131"/>
      <c r="D919" s="130"/>
      <c r="E919" s="132"/>
      <c r="F919" s="132"/>
      <c r="G919" s="133"/>
      <c r="H919" s="134"/>
      <c r="I919" s="134"/>
      <c r="J919" s="134"/>
      <c r="K919" s="134"/>
      <c r="L919" s="134"/>
      <c r="M919" s="134"/>
      <c r="N919" s="143"/>
      <c r="O919" s="136"/>
      <c r="P919" s="136"/>
      <c r="Q919" s="137"/>
      <c r="R919" s="138"/>
      <c r="S919" s="138"/>
      <c r="T919" s="139"/>
      <c r="U919" s="139"/>
      <c r="V919" s="139"/>
      <c r="W919" s="140"/>
      <c r="X919" s="141"/>
      <c r="Y919" s="140"/>
      <c r="Z919" s="142"/>
      <c r="AA919" s="139"/>
      <c r="AB919" s="139"/>
      <c r="AC919" s="140"/>
      <c r="AD919" s="140"/>
      <c r="AE919" s="140"/>
    </row>
    <row r="920">
      <c r="A920" s="130"/>
      <c r="B920" s="131"/>
      <c r="C920" s="131"/>
      <c r="D920" s="130"/>
      <c r="E920" s="132"/>
      <c r="F920" s="132"/>
      <c r="G920" s="133"/>
      <c r="H920" s="134"/>
      <c r="I920" s="134"/>
      <c r="J920" s="134"/>
      <c r="K920" s="134"/>
      <c r="L920" s="134"/>
      <c r="M920" s="134"/>
      <c r="N920" s="143"/>
      <c r="O920" s="136"/>
      <c r="P920" s="136"/>
      <c r="Q920" s="137"/>
      <c r="R920" s="138"/>
      <c r="S920" s="138"/>
      <c r="T920" s="139"/>
      <c r="U920" s="139"/>
      <c r="V920" s="139"/>
      <c r="W920" s="140"/>
      <c r="X920" s="141"/>
      <c r="Y920" s="140"/>
      <c r="Z920" s="142"/>
      <c r="AA920" s="139"/>
      <c r="AB920" s="139"/>
      <c r="AC920" s="140"/>
      <c r="AD920" s="140"/>
      <c r="AE920" s="140"/>
    </row>
    <row r="921">
      <c r="A921" s="130"/>
      <c r="B921" s="131"/>
      <c r="C921" s="131"/>
      <c r="D921" s="130"/>
      <c r="E921" s="132"/>
      <c r="F921" s="132"/>
      <c r="G921" s="133"/>
      <c r="H921" s="134"/>
      <c r="I921" s="134"/>
      <c r="J921" s="134"/>
      <c r="K921" s="134"/>
      <c r="L921" s="134"/>
      <c r="M921" s="134"/>
      <c r="N921" s="143"/>
      <c r="O921" s="136"/>
      <c r="P921" s="136"/>
      <c r="Q921" s="137"/>
      <c r="R921" s="138"/>
      <c r="S921" s="138"/>
      <c r="T921" s="139"/>
      <c r="U921" s="139"/>
      <c r="V921" s="139"/>
      <c r="W921" s="140"/>
      <c r="X921" s="141"/>
      <c r="Y921" s="140"/>
      <c r="Z921" s="142"/>
      <c r="AA921" s="139"/>
      <c r="AB921" s="139"/>
      <c r="AC921" s="140"/>
      <c r="AD921" s="140"/>
      <c r="AE921" s="140"/>
    </row>
    <row r="922">
      <c r="A922" s="130"/>
      <c r="B922" s="131"/>
      <c r="C922" s="131"/>
      <c r="D922" s="130"/>
      <c r="E922" s="132"/>
      <c r="F922" s="132"/>
      <c r="G922" s="133"/>
      <c r="H922" s="134"/>
      <c r="I922" s="134"/>
      <c r="J922" s="134"/>
      <c r="K922" s="134"/>
      <c r="L922" s="134"/>
      <c r="M922" s="134"/>
      <c r="N922" s="143"/>
      <c r="O922" s="136"/>
      <c r="P922" s="136"/>
      <c r="Q922" s="137"/>
      <c r="R922" s="138"/>
      <c r="S922" s="138"/>
      <c r="T922" s="139"/>
      <c r="U922" s="139"/>
      <c r="V922" s="139"/>
      <c r="W922" s="140"/>
      <c r="X922" s="141"/>
      <c r="Y922" s="140"/>
      <c r="Z922" s="142"/>
      <c r="AA922" s="139"/>
      <c r="AB922" s="139"/>
      <c r="AC922" s="140"/>
      <c r="AD922" s="140"/>
      <c r="AE922" s="140"/>
    </row>
    <row r="923">
      <c r="A923" s="130"/>
      <c r="B923" s="131"/>
      <c r="C923" s="131"/>
      <c r="D923" s="130"/>
      <c r="E923" s="132"/>
      <c r="F923" s="132"/>
      <c r="G923" s="133"/>
      <c r="H923" s="134"/>
      <c r="I923" s="134"/>
      <c r="J923" s="134"/>
      <c r="K923" s="134"/>
      <c r="L923" s="134"/>
      <c r="M923" s="134"/>
      <c r="N923" s="143"/>
      <c r="O923" s="136"/>
      <c r="P923" s="136"/>
      <c r="Q923" s="137"/>
      <c r="R923" s="138"/>
      <c r="S923" s="138"/>
      <c r="T923" s="139"/>
      <c r="U923" s="139"/>
      <c r="V923" s="139"/>
      <c r="W923" s="140"/>
      <c r="X923" s="141"/>
      <c r="Y923" s="140"/>
      <c r="Z923" s="142"/>
      <c r="AA923" s="139"/>
      <c r="AB923" s="139"/>
      <c r="AC923" s="140"/>
      <c r="AD923" s="140"/>
      <c r="AE923" s="140"/>
    </row>
    <row r="924">
      <c r="A924" s="130"/>
      <c r="B924" s="131"/>
      <c r="C924" s="131"/>
      <c r="D924" s="130"/>
      <c r="E924" s="132"/>
      <c r="F924" s="132"/>
      <c r="G924" s="133"/>
      <c r="H924" s="134"/>
      <c r="I924" s="134"/>
      <c r="J924" s="134"/>
      <c r="K924" s="134"/>
      <c r="L924" s="134"/>
      <c r="M924" s="134"/>
      <c r="N924" s="143"/>
      <c r="O924" s="136"/>
      <c r="P924" s="136"/>
      <c r="Q924" s="137"/>
      <c r="R924" s="138"/>
      <c r="S924" s="138"/>
      <c r="T924" s="139"/>
      <c r="U924" s="139"/>
      <c r="V924" s="139"/>
      <c r="W924" s="140"/>
      <c r="X924" s="141"/>
      <c r="Y924" s="140"/>
      <c r="Z924" s="142"/>
      <c r="AA924" s="139"/>
      <c r="AB924" s="139"/>
      <c r="AC924" s="140"/>
      <c r="AD924" s="140"/>
      <c r="AE924" s="140"/>
    </row>
    <row r="925">
      <c r="A925" s="130"/>
      <c r="B925" s="131"/>
      <c r="C925" s="131"/>
      <c r="D925" s="130"/>
      <c r="E925" s="132"/>
      <c r="F925" s="132"/>
      <c r="G925" s="133"/>
      <c r="H925" s="134"/>
      <c r="I925" s="134"/>
      <c r="J925" s="134"/>
      <c r="K925" s="134"/>
      <c r="L925" s="134"/>
      <c r="M925" s="134"/>
      <c r="N925" s="143"/>
      <c r="O925" s="136"/>
      <c r="P925" s="136"/>
      <c r="Q925" s="137"/>
      <c r="R925" s="138"/>
      <c r="S925" s="138"/>
      <c r="T925" s="139"/>
      <c r="U925" s="139"/>
      <c r="V925" s="139"/>
      <c r="W925" s="140"/>
      <c r="X925" s="141"/>
      <c r="Y925" s="140"/>
      <c r="Z925" s="142"/>
      <c r="AA925" s="139"/>
      <c r="AB925" s="139"/>
      <c r="AC925" s="140"/>
      <c r="AD925" s="140"/>
      <c r="AE925" s="140"/>
    </row>
    <row r="926">
      <c r="A926" s="130"/>
      <c r="B926" s="131"/>
      <c r="C926" s="131"/>
      <c r="D926" s="130"/>
      <c r="E926" s="132"/>
      <c r="F926" s="132"/>
      <c r="G926" s="133"/>
      <c r="H926" s="134"/>
      <c r="I926" s="134"/>
      <c r="J926" s="134"/>
      <c r="K926" s="134"/>
      <c r="L926" s="134"/>
      <c r="M926" s="134"/>
      <c r="N926" s="143"/>
      <c r="O926" s="136"/>
      <c r="P926" s="136"/>
      <c r="Q926" s="137"/>
      <c r="R926" s="138"/>
      <c r="S926" s="138"/>
      <c r="T926" s="139"/>
      <c r="U926" s="139"/>
      <c r="V926" s="139"/>
      <c r="W926" s="140"/>
      <c r="X926" s="141"/>
      <c r="Y926" s="140"/>
      <c r="Z926" s="142"/>
      <c r="AA926" s="139"/>
      <c r="AB926" s="139"/>
      <c r="AC926" s="140"/>
      <c r="AD926" s="140"/>
      <c r="AE926" s="140"/>
    </row>
    <row r="927">
      <c r="A927" s="130"/>
      <c r="B927" s="131"/>
      <c r="C927" s="131"/>
      <c r="D927" s="130"/>
      <c r="E927" s="132"/>
      <c r="F927" s="132"/>
      <c r="G927" s="133"/>
      <c r="H927" s="134"/>
      <c r="I927" s="134"/>
      <c r="J927" s="134"/>
      <c r="K927" s="134"/>
      <c r="L927" s="134"/>
      <c r="M927" s="134"/>
      <c r="N927" s="143"/>
      <c r="O927" s="136"/>
      <c r="P927" s="136"/>
      <c r="Q927" s="137"/>
      <c r="R927" s="138"/>
      <c r="S927" s="138"/>
      <c r="T927" s="139"/>
      <c r="U927" s="139"/>
      <c r="V927" s="139"/>
      <c r="W927" s="140"/>
      <c r="X927" s="141"/>
      <c r="Y927" s="140"/>
      <c r="Z927" s="142"/>
      <c r="AA927" s="139"/>
      <c r="AB927" s="139"/>
      <c r="AC927" s="140"/>
      <c r="AD927" s="140"/>
      <c r="AE927" s="140"/>
    </row>
    <row r="928">
      <c r="A928" s="130"/>
      <c r="B928" s="131"/>
      <c r="C928" s="131"/>
      <c r="D928" s="130"/>
      <c r="E928" s="132"/>
      <c r="F928" s="132"/>
      <c r="G928" s="133"/>
      <c r="H928" s="134"/>
      <c r="I928" s="134"/>
      <c r="J928" s="134"/>
      <c r="K928" s="134"/>
      <c r="L928" s="134"/>
      <c r="M928" s="134"/>
      <c r="N928" s="143"/>
      <c r="O928" s="136"/>
      <c r="P928" s="136"/>
      <c r="Q928" s="137"/>
      <c r="R928" s="138"/>
      <c r="S928" s="138"/>
      <c r="T928" s="139"/>
      <c r="U928" s="139"/>
      <c r="V928" s="139"/>
      <c r="W928" s="140"/>
      <c r="X928" s="141"/>
      <c r="Y928" s="140"/>
      <c r="Z928" s="142"/>
      <c r="AA928" s="139"/>
      <c r="AB928" s="139"/>
      <c r="AC928" s="140"/>
      <c r="AD928" s="140"/>
      <c r="AE928" s="140"/>
    </row>
    <row r="929">
      <c r="A929" s="130"/>
      <c r="B929" s="131"/>
      <c r="C929" s="131"/>
      <c r="D929" s="130"/>
      <c r="E929" s="132"/>
      <c r="F929" s="132"/>
      <c r="G929" s="133"/>
      <c r="H929" s="134"/>
      <c r="I929" s="134"/>
      <c r="J929" s="134"/>
      <c r="K929" s="134"/>
      <c r="L929" s="134"/>
      <c r="M929" s="134"/>
      <c r="N929" s="143"/>
      <c r="O929" s="136"/>
      <c r="P929" s="136"/>
      <c r="Q929" s="137"/>
      <c r="R929" s="138"/>
      <c r="S929" s="138"/>
      <c r="T929" s="139"/>
      <c r="U929" s="139"/>
      <c r="V929" s="139"/>
      <c r="W929" s="140"/>
      <c r="X929" s="141"/>
      <c r="Y929" s="140"/>
      <c r="Z929" s="142"/>
      <c r="AA929" s="139"/>
      <c r="AB929" s="139"/>
      <c r="AC929" s="140"/>
      <c r="AD929" s="140"/>
      <c r="AE929" s="140"/>
    </row>
    <row r="930">
      <c r="A930" s="130"/>
      <c r="B930" s="131"/>
      <c r="C930" s="131"/>
      <c r="D930" s="130"/>
      <c r="E930" s="132"/>
      <c r="F930" s="132"/>
      <c r="G930" s="133"/>
      <c r="H930" s="134"/>
      <c r="I930" s="134"/>
      <c r="J930" s="134"/>
      <c r="K930" s="134"/>
      <c r="L930" s="134"/>
      <c r="M930" s="134"/>
      <c r="N930" s="143"/>
      <c r="O930" s="136"/>
      <c r="P930" s="136"/>
      <c r="Q930" s="137"/>
      <c r="R930" s="138"/>
      <c r="S930" s="138"/>
      <c r="T930" s="139"/>
      <c r="U930" s="139"/>
      <c r="V930" s="139"/>
      <c r="W930" s="140"/>
      <c r="X930" s="141"/>
      <c r="Y930" s="140"/>
      <c r="Z930" s="142"/>
      <c r="AA930" s="139"/>
      <c r="AB930" s="139"/>
      <c r="AC930" s="140"/>
      <c r="AD930" s="140"/>
      <c r="AE930" s="140"/>
    </row>
    <row r="931">
      <c r="A931" s="130"/>
      <c r="B931" s="131"/>
      <c r="C931" s="131"/>
      <c r="D931" s="130"/>
      <c r="E931" s="132"/>
      <c r="F931" s="132"/>
      <c r="G931" s="133"/>
      <c r="H931" s="134"/>
      <c r="I931" s="134"/>
      <c r="J931" s="134"/>
      <c r="K931" s="134"/>
      <c r="L931" s="134"/>
      <c r="M931" s="134"/>
      <c r="N931" s="143"/>
      <c r="O931" s="136"/>
      <c r="P931" s="136"/>
      <c r="Q931" s="137"/>
      <c r="R931" s="138"/>
      <c r="S931" s="138"/>
      <c r="T931" s="139"/>
      <c r="U931" s="139"/>
      <c r="V931" s="139"/>
      <c r="W931" s="140"/>
      <c r="X931" s="141"/>
      <c r="Y931" s="140"/>
      <c r="Z931" s="142"/>
      <c r="AA931" s="139"/>
      <c r="AB931" s="139"/>
      <c r="AC931" s="140"/>
      <c r="AD931" s="140"/>
      <c r="AE931" s="140"/>
    </row>
    <row r="932">
      <c r="A932" s="130"/>
      <c r="B932" s="131"/>
      <c r="C932" s="131"/>
      <c r="D932" s="130"/>
      <c r="E932" s="132"/>
      <c r="F932" s="132"/>
      <c r="G932" s="133"/>
      <c r="H932" s="134"/>
      <c r="I932" s="134"/>
      <c r="J932" s="134"/>
      <c r="K932" s="134"/>
      <c r="L932" s="134"/>
      <c r="M932" s="134"/>
      <c r="N932" s="143"/>
      <c r="O932" s="136"/>
      <c r="P932" s="136"/>
      <c r="Q932" s="137"/>
      <c r="R932" s="138"/>
      <c r="S932" s="138"/>
      <c r="T932" s="139"/>
      <c r="U932" s="139"/>
      <c r="V932" s="139"/>
      <c r="W932" s="140"/>
      <c r="X932" s="141"/>
      <c r="Y932" s="140"/>
      <c r="Z932" s="142"/>
      <c r="AA932" s="139"/>
      <c r="AB932" s="139"/>
      <c r="AC932" s="140"/>
      <c r="AD932" s="140"/>
      <c r="AE932" s="140"/>
    </row>
    <row r="933">
      <c r="A933" s="130"/>
      <c r="B933" s="131"/>
      <c r="C933" s="131"/>
      <c r="D933" s="130"/>
      <c r="E933" s="132"/>
      <c r="F933" s="132"/>
      <c r="G933" s="133"/>
      <c r="H933" s="134"/>
      <c r="I933" s="134"/>
      <c r="J933" s="134"/>
      <c r="K933" s="134"/>
      <c r="L933" s="134"/>
      <c r="M933" s="134"/>
      <c r="N933" s="143"/>
      <c r="O933" s="136"/>
      <c r="P933" s="136"/>
      <c r="Q933" s="137"/>
      <c r="R933" s="138"/>
      <c r="S933" s="138"/>
      <c r="T933" s="139"/>
      <c r="U933" s="139"/>
      <c r="V933" s="139"/>
      <c r="W933" s="140"/>
      <c r="X933" s="141"/>
      <c r="Y933" s="140"/>
      <c r="Z933" s="142"/>
      <c r="AA933" s="139"/>
      <c r="AB933" s="139"/>
      <c r="AC933" s="140"/>
      <c r="AD933" s="140"/>
      <c r="AE933" s="140"/>
    </row>
    <row r="934">
      <c r="A934" s="130"/>
      <c r="B934" s="131"/>
      <c r="C934" s="131"/>
      <c r="D934" s="130"/>
      <c r="E934" s="132"/>
      <c r="F934" s="132"/>
      <c r="G934" s="133"/>
      <c r="H934" s="134"/>
      <c r="I934" s="134"/>
      <c r="J934" s="134"/>
      <c r="K934" s="134"/>
      <c r="L934" s="134"/>
      <c r="M934" s="134"/>
      <c r="N934" s="143"/>
      <c r="O934" s="136"/>
      <c r="P934" s="136"/>
      <c r="Q934" s="137"/>
      <c r="R934" s="138"/>
      <c r="S934" s="138"/>
      <c r="T934" s="139"/>
      <c r="U934" s="139"/>
      <c r="V934" s="139"/>
      <c r="W934" s="140"/>
      <c r="X934" s="141"/>
      <c r="Y934" s="140"/>
      <c r="Z934" s="142"/>
      <c r="AA934" s="139"/>
      <c r="AB934" s="139"/>
      <c r="AC934" s="140"/>
      <c r="AD934" s="140"/>
      <c r="AE934" s="140"/>
    </row>
    <row r="935">
      <c r="A935" s="130"/>
      <c r="B935" s="131"/>
      <c r="C935" s="131"/>
      <c r="D935" s="130"/>
      <c r="E935" s="132"/>
      <c r="F935" s="132"/>
      <c r="G935" s="133"/>
      <c r="H935" s="134"/>
      <c r="I935" s="134"/>
      <c r="J935" s="134"/>
      <c r="K935" s="134"/>
      <c r="L935" s="134"/>
      <c r="M935" s="134"/>
      <c r="N935" s="143"/>
      <c r="O935" s="136"/>
      <c r="P935" s="136"/>
      <c r="Q935" s="137"/>
      <c r="R935" s="138"/>
      <c r="S935" s="138"/>
      <c r="T935" s="139"/>
      <c r="U935" s="139"/>
      <c r="V935" s="139"/>
      <c r="W935" s="140"/>
      <c r="X935" s="141"/>
      <c r="Y935" s="140"/>
      <c r="Z935" s="142"/>
      <c r="AA935" s="139"/>
      <c r="AB935" s="139"/>
      <c r="AC935" s="140"/>
      <c r="AD935" s="140"/>
      <c r="AE935" s="140"/>
    </row>
    <row r="936">
      <c r="A936" s="130"/>
      <c r="B936" s="131"/>
      <c r="C936" s="131"/>
      <c r="D936" s="130"/>
      <c r="E936" s="132"/>
      <c r="F936" s="132"/>
      <c r="G936" s="133"/>
      <c r="H936" s="134"/>
      <c r="I936" s="134"/>
      <c r="J936" s="134"/>
      <c r="K936" s="134"/>
      <c r="L936" s="134"/>
      <c r="M936" s="134"/>
      <c r="N936" s="143"/>
      <c r="O936" s="136"/>
      <c r="P936" s="136"/>
      <c r="Q936" s="137"/>
      <c r="R936" s="138"/>
      <c r="S936" s="138"/>
      <c r="T936" s="139"/>
      <c r="U936" s="139"/>
      <c r="V936" s="139"/>
      <c r="W936" s="140"/>
      <c r="X936" s="141"/>
      <c r="Y936" s="140"/>
      <c r="Z936" s="142"/>
      <c r="AA936" s="139"/>
      <c r="AB936" s="139"/>
      <c r="AC936" s="140"/>
      <c r="AD936" s="140"/>
      <c r="AE936" s="140"/>
    </row>
    <row r="937">
      <c r="A937" s="130"/>
      <c r="B937" s="131"/>
      <c r="C937" s="131"/>
      <c r="D937" s="130"/>
      <c r="E937" s="132"/>
      <c r="F937" s="132"/>
      <c r="G937" s="133"/>
      <c r="H937" s="134"/>
      <c r="I937" s="134"/>
      <c r="J937" s="134"/>
      <c r="K937" s="134"/>
      <c r="L937" s="134"/>
      <c r="M937" s="134"/>
      <c r="N937" s="143"/>
      <c r="O937" s="136"/>
      <c r="P937" s="136"/>
      <c r="Q937" s="137"/>
      <c r="R937" s="138"/>
      <c r="S937" s="138"/>
      <c r="T937" s="139"/>
      <c r="U937" s="139"/>
      <c r="V937" s="139"/>
      <c r="W937" s="140"/>
      <c r="X937" s="141"/>
      <c r="Y937" s="140"/>
      <c r="Z937" s="142"/>
      <c r="AA937" s="139"/>
      <c r="AB937" s="139"/>
      <c r="AC937" s="140"/>
      <c r="AD937" s="140"/>
      <c r="AE937" s="140"/>
    </row>
    <row r="938">
      <c r="A938" s="130"/>
      <c r="B938" s="131"/>
      <c r="C938" s="131"/>
      <c r="D938" s="130"/>
      <c r="E938" s="132"/>
      <c r="F938" s="132"/>
      <c r="G938" s="133"/>
      <c r="H938" s="134"/>
      <c r="I938" s="134"/>
      <c r="J938" s="134"/>
      <c r="K938" s="134"/>
      <c r="L938" s="134"/>
      <c r="M938" s="134"/>
      <c r="N938" s="143"/>
      <c r="O938" s="136"/>
      <c r="P938" s="136"/>
      <c r="Q938" s="137"/>
      <c r="R938" s="138"/>
      <c r="S938" s="138"/>
      <c r="T938" s="139"/>
      <c r="U938" s="139"/>
      <c r="V938" s="139"/>
      <c r="W938" s="140"/>
      <c r="X938" s="141"/>
      <c r="Y938" s="140"/>
      <c r="Z938" s="142"/>
      <c r="AA938" s="139"/>
      <c r="AB938" s="139"/>
      <c r="AC938" s="140"/>
      <c r="AD938" s="140"/>
      <c r="AE938" s="140"/>
    </row>
    <row r="939">
      <c r="A939" s="130"/>
      <c r="B939" s="131"/>
      <c r="C939" s="131"/>
      <c r="D939" s="130"/>
      <c r="E939" s="132"/>
      <c r="F939" s="132"/>
      <c r="G939" s="133"/>
      <c r="H939" s="134"/>
      <c r="I939" s="134"/>
      <c r="J939" s="134"/>
      <c r="K939" s="134"/>
      <c r="L939" s="134"/>
      <c r="M939" s="134"/>
      <c r="N939" s="143"/>
      <c r="O939" s="136"/>
      <c r="P939" s="136"/>
      <c r="Q939" s="137"/>
      <c r="R939" s="138"/>
      <c r="S939" s="138"/>
      <c r="T939" s="139"/>
      <c r="U939" s="139"/>
      <c r="V939" s="139"/>
      <c r="W939" s="140"/>
      <c r="X939" s="141"/>
      <c r="Y939" s="140"/>
      <c r="Z939" s="142"/>
      <c r="AA939" s="139"/>
      <c r="AB939" s="139"/>
      <c r="AC939" s="140"/>
      <c r="AD939" s="140"/>
      <c r="AE939" s="140"/>
    </row>
    <row r="940">
      <c r="A940" s="130"/>
      <c r="B940" s="131"/>
      <c r="C940" s="131"/>
      <c r="D940" s="130"/>
      <c r="E940" s="132"/>
      <c r="F940" s="132"/>
      <c r="G940" s="133"/>
      <c r="H940" s="134"/>
      <c r="I940" s="134"/>
      <c r="J940" s="134"/>
      <c r="K940" s="134"/>
      <c r="L940" s="134"/>
      <c r="M940" s="134"/>
      <c r="N940" s="143"/>
      <c r="O940" s="136"/>
      <c r="P940" s="136"/>
      <c r="Q940" s="137"/>
      <c r="R940" s="138"/>
      <c r="S940" s="138"/>
      <c r="T940" s="139"/>
      <c r="U940" s="139"/>
      <c r="V940" s="139"/>
      <c r="W940" s="140"/>
      <c r="X940" s="141"/>
      <c r="Y940" s="140"/>
      <c r="Z940" s="142"/>
      <c r="AA940" s="139"/>
      <c r="AB940" s="139"/>
      <c r="AC940" s="140"/>
      <c r="AD940" s="140"/>
      <c r="AE940" s="140"/>
    </row>
    <row r="941">
      <c r="A941" s="130"/>
      <c r="B941" s="131"/>
      <c r="C941" s="131"/>
      <c r="D941" s="130"/>
      <c r="E941" s="132"/>
      <c r="F941" s="132"/>
      <c r="G941" s="133"/>
      <c r="H941" s="134"/>
      <c r="I941" s="134"/>
      <c r="J941" s="134"/>
      <c r="K941" s="134"/>
      <c r="L941" s="134"/>
      <c r="M941" s="134"/>
      <c r="N941" s="143"/>
      <c r="O941" s="136"/>
      <c r="P941" s="136"/>
      <c r="Q941" s="137"/>
      <c r="R941" s="138"/>
      <c r="S941" s="138"/>
      <c r="T941" s="139"/>
      <c r="U941" s="139"/>
      <c r="V941" s="139"/>
      <c r="W941" s="140"/>
      <c r="X941" s="141"/>
      <c r="Y941" s="140"/>
      <c r="Z941" s="142"/>
      <c r="AA941" s="139"/>
      <c r="AB941" s="139"/>
      <c r="AC941" s="140"/>
      <c r="AD941" s="140"/>
      <c r="AE941" s="140"/>
    </row>
    <row r="942">
      <c r="A942" s="130"/>
      <c r="B942" s="131"/>
      <c r="C942" s="131"/>
      <c r="D942" s="130"/>
      <c r="E942" s="132"/>
      <c r="F942" s="132"/>
      <c r="G942" s="133"/>
      <c r="H942" s="134"/>
      <c r="I942" s="134"/>
      <c r="J942" s="134"/>
      <c r="K942" s="134"/>
      <c r="L942" s="134"/>
      <c r="M942" s="134"/>
      <c r="N942" s="143"/>
      <c r="O942" s="136"/>
      <c r="P942" s="136"/>
      <c r="Q942" s="137"/>
      <c r="R942" s="138"/>
      <c r="S942" s="138"/>
      <c r="T942" s="139"/>
      <c r="U942" s="139"/>
      <c r="V942" s="139"/>
      <c r="W942" s="140"/>
      <c r="X942" s="141"/>
      <c r="Y942" s="140"/>
      <c r="Z942" s="142"/>
      <c r="AA942" s="139"/>
      <c r="AB942" s="139"/>
      <c r="AC942" s="140"/>
      <c r="AD942" s="140"/>
      <c r="AE942" s="140"/>
    </row>
    <row r="943">
      <c r="A943" s="130"/>
      <c r="B943" s="131"/>
      <c r="C943" s="131"/>
      <c r="D943" s="130"/>
      <c r="E943" s="132"/>
      <c r="F943" s="132"/>
      <c r="G943" s="133"/>
      <c r="H943" s="134"/>
      <c r="I943" s="134"/>
      <c r="J943" s="134"/>
      <c r="K943" s="134"/>
      <c r="L943" s="134"/>
      <c r="M943" s="134"/>
      <c r="N943" s="143"/>
      <c r="O943" s="136"/>
      <c r="P943" s="136"/>
      <c r="Q943" s="137"/>
      <c r="R943" s="138"/>
      <c r="S943" s="138"/>
      <c r="T943" s="139"/>
      <c r="U943" s="139"/>
      <c r="V943" s="139"/>
      <c r="W943" s="140"/>
      <c r="X943" s="141"/>
      <c r="Y943" s="140"/>
      <c r="Z943" s="142"/>
      <c r="AA943" s="139"/>
      <c r="AB943" s="139"/>
      <c r="AC943" s="140"/>
      <c r="AD943" s="140"/>
      <c r="AE943" s="140"/>
    </row>
    <row r="944">
      <c r="A944" s="130"/>
      <c r="B944" s="131"/>
      <c r="C944" s="131"/>
      <c r="D944" s="130"/>
      <c r="E944" s="132"/>
      <c r="F944" s="132"/>
      <c r="G944" s="133"/>
      <c r="H944" s="134"/>
      <c r="I944" s="134"/>
      <c r="J944" s="134"/>
      <c r="K944" s="134"/>
      <c r="L944" s="134"/>
      <c r="M944" s="134"/>
      <c r="N944" s="143"/>
      <c r="O944" s="136"/>
      <c r="P944" s="136"/>
      <c r="Q944" s="137"/>
      <c r="R944" s="138"/>
      <c r="S944" s="138"/>
      <c r="T944" s="139"/>
      <c r="U944" s="139"/>
      <c r="V944" s="139"/>
      <c r="W944" s="140"/>
      <c r="X944" s="141"/>
      <c r="Y944" s="140"/>
      <c r="Z944" s="142"/>
      <c r="AA944" s="139"/>
      <c r="AB944" s="139"/>
      <c r="AC944" s="140"/>
      <c r="AD944" s="140"/>
      <c r="AE944" s="140"/>
    </row>
    <row r="945">
      <c r="A945" s="130"/>
      <c r="B945" s="131"/>
      <c r="C945" s="131"/>
      <c r="D945" s="130"/>
      <c r="E945" s="132"/>
      <c r="F945" s="132"/>
      <c r="G945" s="133"/>
      <c r="H945" s="134"/>
      <c r="I945" s="134"/>
      <c r="J945" s="134"/>
      <c r="K945" s="134"/>
      <c r="L945" s="134"/>
      <c r="M945" s="134"/>
      <c r="N945" s="143"/>
      <c r="O945" s="136"/>
      <c r="P945" s="136"/>
      <c r="Q945" s="137"/>
      <c r="R945" s="138"/>
      <c r="S945" s="138"/>
      <c r="T945" s="139"/>
      <c r="U945" s="139"/>
      <c r="V945" s="139"/>
      <c r="W945" s="140"/>
      <c r="X945" s="141"/>
      <c r="Y945" s="140"/>
      <c r="Z945" s="142"/>
      <c r="AA945" s="139"/>
      <c r="AB945" s="139"/>
      <c r="AC945" s="140"/>
      <c r="AD945" s="140"/>
      <c r="AE945" s="140"/>
    </row>
    <row r="946">
      <c r="A946" s="130"/>
      <c r="B946" s="131"/>
      <c r="C946" s="131"/>
      <c r="D946" s="130"/>
      <c r="E946" s="132"/>
      <c r="F946" s="132"/>
      <c r="G946" s="133"/>
      <c r="H946" s="134"/>
      <c r="I946" s="134"/>
      <c r="J946" s="134"/>
      <c r="K946" s="134"/>
      <c r="L946" s="134"/>
      <c r="M946" s="134"/>
      <c r="N946" s="143"/>
      <c r="O946" s="136"/>
      <c r="P946" s="136"/>
      <c r="Q946" s="137"/>
      <c r="R946" s="138"/>
      <c r="S946" s="138"/>
      <c r="T946" s="139"/>
      <c r="U946" s="139"/>
      <c r="V946" s="139"/>
      <c r="W946" s="140"/>
      <c r="X946" s="141"/>
      <c r="Y946" s="140"/>
      <c r="Z946" s="142"/>
      <c r="AA946" s="139"/>
      <c r="AB946" s="139"/>
      <c r="AC946" s="140"/>
      <c r="AD946" s="140"/>
      <c r="AE946" s="140"/>
    </row>
    <row r="947">
      <c r="A947" s="130"/>
      <c r="B947" s="131"/>
      <c r="C947" s="131"/>
      <c r="D947" s="130"/>
      <c r="E947" s="132"/>
      <c r="F947" s="132"/>
      <c r="G947" s="133"/>
      <c r="H947" s="134"/>
      <c r="I947" s="134"/>
      <c r="J947" s="134"/>
      <c r="K947" s="134"/>
      <c r="L947" s="134"/>
      <c r="M947" s="134"/>
      <c r="N947" s="143"/>
      <c r="O947" s="136"/>
      <c r="P947" s="136"/>
      <c r="Q947" s="137"/>
      <c r="R947" s="138"/>
      <c r="S947" s="138"/>
      <c r="T947" s="139"/>
      <c r="U947" s="139"/>
      <c r="V947" s="139"/>
      <c r="W947" s="140"/>
      <c r="X947" s="141"/>
      <c r="Y947" s="140"/>
      <c r="Z947" s="142"/>
      <c r="AA947" s="139"/>
      <c r="AB947" s="139"/>
      <c r="AC947" s="140"/>
      <c r="AD947" s="140"/>
      <c r="AE947" s="140"/>
    </row>
    <row r="948">
      <c r="A948" s="130"/>
      <c r="B948" s="131"/>
      <c r="C948" s="131"/>
      <c r="D948" s="130"/>
      <c r="E948" s="132"/>
      <c r="F948" s="132"/>
      <c r="G948" s="133"/>
      <c r="H948" s="134"/>
      <c r="I948" s="134"/>
      <c r="J948" s="134"/>
      <c r="K948" s="134"/>
      <c r="L948" s="134"/>
      <c r="M948" s="134"/>
      <c r="N948" s="143"/>
      <c r="O948" s="136"/>
      <c r="P948" s="136"/>
      <c r="Q948" s="137"/>
      <c r="R948" s="138"/>
      <c r="S948" s="138"/>
      <c r="T948" s="139"/>
      <c r="U948" s="139"/>
      <c r="V948" s="139"/>
      <c r="W948" s="140"/>
      <c r="X948" s="141"/>
      <c r="Y948" s="140"/>
      <c r="Z948" s="142"/>
      <c r="AA948" s="139"/>
      <c r="AB948" s="139"/>
      <c r="AC948" s="140"/>
      <c r="AD948" s="140"/>
      <c r="AE948" s="140"/>
    </row>
    <row r="949">
      <c r="A949" s="130"/>
      <c r="B949" s="131"/>
      <c r="C949" s="131"/>
      <c r="D949" s="130"/>
      <c r="E949" s="132"/>
      <c r="F949" s="132"/>
      <c r="G949" s="133"/>
      <c r="H949" s="134"/>
      <c r="I949" s="134"/>
      <c r="J949" s="134"/>
      <c r="K949" s="134"/>
      <c r="L949" s="134"/>
      <c r="M949" s="134"/>
      <c r="N949" s="143"/>
      <c r="O949" s="136"/>
      <c r="P949" s="136"/>
      <c r="Q949" s="137"/>
      <c r="R949" s="138"/>
      <c r="S949" s="138"/>
      <c r="T949" s="139"/>
      <c r="U949" s="139"/>
      <c r="V949" s="139"/>
      <c r="W949" s="140"/>
      <c r="X949" s="141"/>
      <c r="Y949" s="140"/>
      <c r="Z949" s="142"/>
      <c r="AA949" s="139"/>
      <c r="AB949" s="139"/>
      <c r="AC949" s="140"/>
      <c r="AD949" s="140"/>
      <c r="AE949" s="140"/>
    </row>
    <row r="950">
      <c r="A950" s="130"/>
      <c r="B950" s="131"/>
      <c r="C950" s="131"/>
      <c r="D950" s="130"/>
      <c r="E950" s="132"/>
      <c r="F950" s="132"/>
      <c r="G950" s="133"/>
      <c r="H950" s="134"/>
      <c r="I950" s="134"/>
      <c r="J950" s="134"/>
      <c r="K950" s="134"/>
      <c r="L950" s="134"/>
      <c r="M950" s="134"/>
      <c r="N950" s="143"/>
      <c r="O950" s="136"/>
      <c r="P950" s="136"/>
      <c r="Q950" s="137"/>
      <c r="R950" s="138"/>
      <c r="S950" s="138"/>
      <c r="T950" s="139"/>
      <c r="U950" s="139"/>
      <c r="V950" s="139"/>
      <c r="W950" s="140"/>
      <c r="X950" s="141"/>
      <c r="Y950" s="140"/>
      <c r="Z950" s="142"/>
      <c r="AA950" s="139"/>
      <c r="AB950" s="139"/>
      <c r="AC950" s="140"/>
      <c r="AD950" s="140"/>
      <c r="AE950" s="140"/>
    </row>
    <row r="951">
      <c r="A951" s="130"/>
      <c r="B951" s="131"/>
      <c r="C951" s="131"/>
      <c r="D951" s="130"/>
      <c r="E951" s="132"/>
      <c r="F951" s="132"/>
      <c r="G951" s="133"/>
      <c r="H951" s="134"/>
      <c r="I951" s="134"/>
      <c r="J951" s="134"/>
      <c r="K951" s="134"/>
      <c r="L951" s="134"/>
      <c r="M951" s="134"/>
      <c r="N951" s="143"/>
      <c r="O951" s="136"/>
      <c r="P951" s="136"/>
      <c r="Q951" s="137"/>
      <c r="R951" s="138"/>
      <c r="S951" s="138"/>
      <c r="T951" s="139"/>
      <c r="U951" s="139"/>
      <c r="V951" s="139"/>
      <c r="W951" s="140"/>
      <c r="X951" s="141"/>
      <c r="Y951" s="140"/>
      <c r="Z951" s="142"/>
      <c r="AA951" s="139"/>
      <c r="AB951" s="139"/>
      <c r="AC951" s="140"/>
      <c r="AD951" s="140"/>
      <c r="AE951" s="140"/>
    </row>
    <row r="952">
      <c r="A952" s="130"/>
      <c r="B952" s="131"/>
      <c r="C952" s="131"/>
      <c r="D952" s="130"/>
      <c r="E952" s="132"/>
      <c r="F952" s="132"/>
      <c r="G952" s="133"/>
      <c r="H952" s="134"/>
      <c r="I952" s="134"/>
      <c r="J952" s="134"/>
      <c r="K952" s="134"/>
      <c r="L952" s="134"/>
      <c r="M952" s="134"/>
      <c r="N952" s="143"/>
      <c r="O952" s="136"/>
      <c r="P952" s="136"/>
      <c r="Q952" s="137"/>
      <c r="R952" s="138"/>
      <c r="S952" s="138"/>
      <c r="T952" s="139"/>
      <c r="U952" s="139"/>
      <c r="V952" s="139"/>
      <c r="W952" s="140"/>
      <c r="X952" s="141"/>
      <c r="Y952" s="140"/>
      <c r="Z952" s="142"/>
      <c r="AA952" s="139"/>
      <c r="AB952" s="139"/>
      <c r="AC952" s="140"/>
      <c r="AD952" s="140"/>
      <c r="AE952" s="140"/>
    </row>
    <row r="953">
      <c r="A953" s="130"/>
      <c r="B953" s="131"/>
      <c r="C953" s="131"/>
      <c r="D953" s="130"/>
      <c r="E953" s="132"/>
      <c r="F953" s="132"/>
      <c r="G953" s="133"/>
      <c r="H953" s="134"/>
      <c r="I953" s="134"/>
      <c r="J953" s="134"/>
      <c r="K953" s="134"/>
      <c r="L953" s="134"/>
      <c r="M953" s="134"/>
      <c r="N953" s="143"/>
      <c r="O953" s="136"/>
      <c r="P953" s="136"/>
      <c r="Q953" s="137"/>
      <c r="R953" s="138"/>
      <c r="S953" s="138"/>
      <c r="T953" s="139"/>
      <c r="U953" s="139"/>
      <c r="V953" s="139"/>
      <c r="W953" s="140"/>
      <c r="X953" s="141"/>
      <c r="Y953" s="140"/>
      <c r="Z953" s="142"/>
      <c r="AA953" s="139"/>
      <c r="AB953" s="139"/>
      <c r="AC953" s="140"/>
      <c r="AD953" s="140"/>
      <c r="AE953" s="140"/>
    </row>
    <row r="954">
      <c r="A954" s="130"/>
      <c r="B954" s="131"/>
      <c r="C954" s="131"/>
      <c r="D954" s="130"/>
      <c r="E954" s="132"/>
      <c r="F954" s="132"/>
      <c r="G954" s="133"/>
      <c r="H954" s="134"/>
      <c r="I954" s="134"/>
      <c r="J954" s="134"/>
      <c r="K954" s="134"/>
      <c r="L954" s="134"/>
      <c r="M954" s="134"/>
      <c r="N954" s="143"/>
      <c r="O954" s="136"/>
      <c r="P954" s="136"/>
      <c r="Q954" s="137"/>
      <c r="R954" s="138"/>
      <c r="S954" s="138"/>
      <c r="T954" s="139"/>
      <c r="U954" s="139"/>
      <c r="V954" s="139"/>
      <c r="W954" s="140"/>
      <c r="X954" s="141"/>
      <c r="Y954" s="140"/>
      <c r="Z954" s="142"/>
      <c r="AA954" s="139"/>
      <c r="AB954" s="139"/>
      <c r="AC954" s="140"/>
      <c r="AD954" s="140"/>
      <c r="AE954" s="140"/>
    </row>
    <row r="955">
      <c r="A955" s="130"/>
      <c r="B955" s="131"/>
      <c r="C955" s="131"/>
      <c r="D955" s="130"/>
      <c r="E955" s="132"/>
      <c r="F955" s="132"/>
      <c r="G955" s="133"/>
      <c r="H955" s="134"/>
      <c r="I955" s="134"/>
      <c r="J955" s="134"/>
      <c r="K955" s="134"/>
      <c r="L955" s="134"/>
      <c r="M955" s="134"/>
      <c r="N955" s="143"/>
      <c r="O955" s="136"/>
      <c r="P955" s="136"/>
      <c r="Q955" s="137"/>
      <c r="R955" s="138"/>
      <c r="S955" s="138"/>
      <c r="T955" s="139"/>
      <c r="U955" s="139"/>
      <c r="V955" s="139"/>
      <c r="W955" s="140"/>
      <c r="X955" s="141"/>
      <c r="Y955" s="140"/>
      <c r="Z955" s="142"/>
      <c r="AA955" s="139"/>
      <c r="AB955" s="139"/>
      <c r="AC955" s="140"/>
      <c r="AD955" s="140"/>
      <c r="AE955" s="140"/>
    </row>
    <row r="956">
      <c r="A956" s="130"/>
      <c r="B956" s="131"/>
      <c r="C956" s="131"/>
      <c r="D956" s="130"/>
      <c r="E956" s="132"/>
      <c r="F956" s="132"/>
      <c r="G956" s="133"/>
      <c r="H956" s="134"/>
      <c r="I956" s="134"/>
      <c r="J956" s="134"/>
      <c r="K956" s="134"/>
      <c r="L956" s="134"/>
      <c r="M956" s="134"/>
      <c r="N956" s="143"/>
      <c r="O956" s="136"/>
      <c r="P956" s="136"/>
      <c r="Q956" s="137"/>
      <c r="R956" s="138"/>
      <c r="S956" s="138"/>
      <c r="T956" s="139"/>
      <c r="U956" s="139"/>
      <c r="V956" s="139"/>
      <c r="W956" s="140"/>
      <c r="X956" s="141"/>
      <c r="Y956" s="140"/>
      <c r="Z956" s="142"/>
      <c r="AA956" s="139"/>
      <c r="AB956" s="139"/>
      <c r="AC956" s="140"/>
      <c r="AD956" s="140"/>
      <c r="AE956" s="140"/>
    </row>
    <row r="957">
      <c r="A957" s="130"/>
      <c r="B957" s="131"/>
      <c r="C957" s="131"/>
      <c r="D957" s="130"/>
      <c r="E957" s="132"/>
      <c r="F957" s="132"/>
      <c r="G957" s="133"/>
      <c r="H957" s="134"/>
      <c r="I957" s="134"/>
      <c r="J957" s="134"/>
      <c r="K957" s="134"/>
      <c r="L957" s="134"/>
      <c r="M957" s="134"/>
      <c r="N957" s="143"/>
      <c r="O957" s="136"/>
      <c r="P957" s="136"/>
      <c r="Q957" s="137"/>
      <c r="R957" s="138"/>
      <c r="S957" s="138"/>
      <c r="T957" s="139"/>
      <c r="U957" s="139"/>
      <c r="V957" s="139"/>
      <c r="W957" s="140"/>
      <c r="X957" s="141"/>
      <c r="Y957" s="140"/>
      <c r="Z957" s="142"/>
      <c r="AA957" s="139"/>
      <c r="AB957" s="139"/>
      <c r="AC957" s="140"/>
      <c r="AD957" s="140"/>
      <c r="AE957" s="140"/>
    </row>
    <row r="958">
      <c r="A958" s="130"/>
      <c r="B958" s="131"/>
      <c r="C958" s="131"/>
      <c r="D958" s="130"/>
      <c r="E958" s="132"/>
      <c r="F958" s="132"/>
      <c r="G958" s="133"/>
      <c r="H958" s="134"/>
      <c r="I958" s="134"/>
      <c r="J958" s="134"/>
      <c r="K958" s="134"/>
      <c r="L958" s="134"/>
      <c r="M958" s="134"/>
      <c r="N958" s="143"/>
      <c r="O958" s="136"/>
      <c r="P958" s="136"/>
      <c r="Q958" s="137"/>
      <c r="R958" s="138"/>
      <c r="S958" s="138"/>
      <c r="T958" s="139"/>
      <c r="U958" s="139"/>
      <c r="V958" s="139"/>
      <c r="W958" s="140"/>
      <c r="X958" s="141"/>
      <c r="Y958" s="140"/>
      <c r="Z958" s="142"/>
      <c r="AA958" s="139"/>
      <c r="AB958" s="139"/>
      <c r="AC958" s="140"/>
      <c r="AD958" s="140"/>
      <c r="AE958" s="140"/>
    </row>
    <row r="959">
      <c r="A959" s="130"/>
      <c r="B959" s="131"/>
      <c r="C959" s="131"/>
      <c r="D959" s="130"/>
      <c r="E959" s="132"/>
      <c r="F959" s="132"/>
      <c r="G959" s="133"/>
      <c r="H959" s="134"/>
      <c r="I959" s="134"/>
      <c r="J959" s="134"/>
      <c r="K959" s="134"/>
      <c r="L959" s="134"/>
      <c r="M959" s="134"/>
      <c r="N959" s="143"/>
      <c r="O959" s="136"/>
      <c r="P959" s="136"/>
      <c r="Q959" s="137"/>
      <c r="R959" s="138"/>
      <c r="S959" s="138"/>
      <c r="T959" s="139"/>
      <c r="U959" s="139"/>
      <c r="V959" s="139"/>
      <c r="W959" s="140"/>
      <c r="X959" s="141"/>
      <c r="Y959" s="140"/>
      <c r="Z959" s="142"/>
      <c r="AA959" s="139"/>
      <c r="AB959" s="139"/>
      <c r="AC959" s="140"/>
      <c r="AD959" s="140"/>
      <c r="AE959" s="140"/>
    </row>
    <row r="960">
      <c r="A960" s="130"/>
      <c r="B960" s="131"/>
      <c r="C960" s="131"/>
      <c r="D960" s="130"/>
      <c r="E960" s="132"/>
      <c r="F960" s="132"/>
      <c r="G960" s="133"/>
      <c r="H960" s="134"/>
      <c r="I960" s="134"/>
      <c r="J960" s="134"/>
      <c r="K960" s="134"/>
      <c r="L960" s="134"/>
      <c r="M960" s="134"/>
      <c r="N960" s="143"/>
      <c r="O960" s="136"/>
      <c r="P960" s="136"/>
      <c r="Q960" s="137"/>
      <c r="R960" s="138"/>
      <c r="S960" s="138"/>
      <c r="T960" s="139"/>
      <c r="U960" s="139"/>
      <c r="V960" s="139"/>
      <c r="W960" s="140"/>
      <c r="X960" s="141"/>
      <c r="Y960" s="140"/>
      <c r="Z960" s="142"/>
      <c r="AA960" s="139"/>
      <c r="AB960" s="139"/>
      <c r="AC960" s="140"/>
      <c r="AD960" s="140"/>
      <c r="AE960" s="140"/>
    </row>
    <row r="961">
      <c r="A961" s="130"/>
      <c r="B961" s="131"/>
      <c r="C961" s="131"/>
      <c r="D961" s="130"/>
      <c r="E961" s="132"/>
      <c r="F961" s="132"/>
      <c r="G961" s="133"/>
      <c r="H961" s="134"/>
      <c r="I961" s="134"/>
      <c r="J961" s="134"/>
      <c r="K961" s="134"/>
      <c r="L961" s="134"/>
      <c r="M961" s="134"/>
      <c r="N961" s="143"/>
      <c r="O961" s="136"/>
      <c r="P961" s="136"/>
      <c r="Q961" s="137"/>
      <c r="R961" s="138"/>
      <c r="S961" s="138"/>
      <c r="T961" s="139"/>
      <c r="U961" s="139"/>
      <c r="V961" s="139"/>
      <c r="W961" s="140"/>
      <c r="X961" s="141"/>
      <c r="Y961" s="140"/>
      <c r="Z961" s="142"/>
      <c r="AA961" s="139"/>
      <c r="AB961" s="139"/>
      <c r="AC961" s="140"/>
      <c r="AD961" s="140"/>
      <c r="AE961" s="140"/>
    </row>
    <row r="962">
      <c r="A962" s="130"/>
      <c r="B962" s="131"/>
      <c r="C962" s="131"/>
      <c r="D962" s="130"/>
      <c r="E962" s="132"/>
      <c r="F962" s="132"/>
      <c r="G962" s="133"/>
      <c r="H962" s="134"/>
      <c r="I962" s="134"/>
      <c r="J962" s="134"/>
      <c r="K962" s="134"/>
      <c r="L962" s="134"/>
      <c r="M962" s="134"/>
      <c r="N962" s="143"/>
      <c r="O962" s="136"/>
      <c r="P962" s="136"/>
      <c r="Q962" s="137"/>
      <c r="R962" s="138"/>
      <c r="S962" s="138"/>
      <c r="T962" s="139"/>
      <c r="U962" s="139"/>
      <c r="V962" s="139"/>
      <c r="W962" s="140"/>
      <c r="X962" s="141"/>
      <c r="Y962" s="140"/>
      <c r="Z962" s="142"/>
      <c r="AA962" s="139"/>
      <c r="AB962" s="139"/>
      <c r="AC962" s="140"/>
      <c r="AD962" s="140"/>
      <c r="AE962" s="140"/>
    </row>
    <row r="963">
      <c r="A963" s="130"/>
      <c r="B963" s="131"/>
      <c r="C963" s="131"/>
      <c r="D963" s="130"/>
      <c r="E963" s="132"/>
      <c r="F963" s="132"/>
      <c r="G963" s="133"/>
      <c r="H963" s="134"/>
      <c r="I963" s="134"/>
      <c r="J963" s="134"/>
      <c r="K963" s="134"/>
      <c r="L963" s="134"/>
      <c r="M963" s="134"/>
      <c r="N963" s="143"/>
      <c r="O963" s="136"/>
      <c r="P963" s="136"/>
      <c r="Q963" s="137"/>
      <c r="R963" s="138"/>
      <c r="S963" s="138"/>
      <c r="T963" s="139"/>
      <c r="U963" s="139"/>
      <c r="V963" s="139"/>
      <c r="W963" s="140"/>
      <c r="X963" s="141"/>
      <c r="Y963" s="140"/>
      <c r="Z963" s="142"/>
      <c r="AA963" s="139"/>
      <c r="AB963" s="139"/>
      <c r="AC963" s="140"/>
      <c r="AD963" s="140"/>
      <c r="AE963" s="140"/>
    </row>
    <row r="964">
      <c r="A964" s="130"/>
      <c r="B964" s="131"/>
      <c r="C964" s="131"/>
      <c r="D964" s="130"/>
      <c r="E964" s="132"/>
      <c r="F964" s="132"/>
      <c r="G964" s="133"/>
      <c r="H964" s="134"/>
      <c r="I964" s="134"/>
      <c r="J964" s="134"/>
      <c r="K964" s="134"/>
      <c r="L964" s="134"/>
      <c r="M964" s="134"/>
      <c r="N964" s="143"/>
      <c r="O964" s="136"/>
      <c r="P964" s="136"/>
      <c r="Q964" s="137"/>
      <c r="R964" s="138"/>
      <c r="S964" s="138"/>
      <c r="T964" s="139"/>
      <c r="U964" s="139"/>
      <c r="V964" s="139"/>
      <c r="W964" s="140"/>
      <c r="X964" s="141"/>
      <c r="Y964" s="140"/>
      <c r="Z964" s="142"/>
      <c r="AA964" s="139"/>
      <c r="AB964" s="139"/>
      <c r="AC964" s="140"/>
      <c r="AD964" s="140"/>
      <c r="AE964" s="140"/>
    </row>
    <row r="965">
      <c r="A965" s="130"/>
      <c r="B965" s="131"/>
      <c r="C965" s="131"/>
      <c r="D965" s="130"/>
      <c r="E965" s="132"/>
      <c r="F965" s="132"/>
      <c r="G965" s="133"/>
      <c r="H965" s="134"/>
      <c r="I965" s="134"/>
      <c r="J965" s="134"/>
      <c r="K965" s="134"/>
      <c r="L965" s="134"/>
      <c r="M965" s="134"/>
      <c r="N965" s="143"/>
      <c r="O965" s="136"/>
      <c r="P965" s="136"/>
      <c r="Q965" s="137"/>
      <c r="R965" s="138"/>
      <c r="S965" s="138"/>
      <c r="T965" s="139"/>
      <c r="U965" s="139"/>
      <c r="V965" s="139"/>
      <c r="W965" s="140"/>
      <c r="X965" s="141"/>
      <c r="Y965" s="140"/>
      <c r="Z965" s="142"/>
      <c r="AA965" s="139"/>
      <c r="AB965" s="139"/>
      <c r="AC965" s="140"/>
      <c r="AD965" s="140"/>
      <c r="AE965" s="140"/>
    </row>
    <row r="966">
      <c r="A966" s="130"/>
      <c r="B966" s="131"/>
      <c r="C966" s="131"/>
      <c r="D966" s="130"/>
      <c r="E966" s="132"/>
      <c r="F966" s="132"/>
      <c r="G966" s="133"/>
      <c r="H966" s="134"/>
      <c r="I966" s="134"/>
      <c r="J966" s="134"/>
      <c r="K966" s="134"/>
      <c r="L966" s="134"/>
      <c r="M966" s="134"/>
      <c r="N966" s="143"/>
      <c r="O966" s="136"/>
      <c r="P966" s="136"/>
      <c r="Q966" s="137"/>
      <c r="R966" s="138"/>
      <c r="S966" s="138"/>
      <c r="T966" s="139"/>
      <c r="U966" s="139"/>
      <c r="V966" s="139"/>
      <c r="W966" s="140"/>
      <c r="X966" s="141"/>
      <c r="Y966" s="140"/>
      <c r="Z966" s="142"/>
      <c r="AA966" s="139"/>
      <c r="AB966" s="139"/>
      <c r="AC966" s="140"/>
      <c r="AD966" s="140"/>
      <c r="AE966" s="140"/>
    </row>
    <row r="967">
      <c r="A967" s="130"/>
      <c r="B967" s="131"/>
      <c r="C967" s="131"/>
      <c r="D967" s="130"/>
      <c r="E967" s="132"/>
      <c r="F967" s="132"/>
      <c r="G967" s="133"/>
      <c r="H967" s="134"/>
      <c r="I967" s="134"/>
      <c r="J967" s="134"/>
      <c r="K967" s="134"/>
      <c r="L967" s="134"/>
      <c r="M967" s="134"/>
      <c r="N967" s="143"/>
      <c r="O967" s="136"/>
      <c r="P967" s="136"/>
      <c r="Q967" s="137"/>
      <c r="R967" s="138"/>
      <c r="S967" s="138"/>
      <c r="T967" s="139"/>
      <c r="U967" s="139"/>
      <c r="V967" s="139"/>
      <c r="W967" s="140"/>
      <c r="X967" s="141"/>
      <c r="Y967" s="140"/>
      <c r="Z967" s="142"/>
      <c r="AA967" s="139"/>
      <c r="AB967" s="139"/>
      <c r="AC967" s="140"/>
      <c r="AD967" s="140"/>
      <c r="AE967" s="140"/>
    </row>
    <row r="968">
      <c r="A968" s="130"/>
      <c r="B968" s="131"/>
      <c r="C968" s="131"/>
      <c r="D968" s="130"/>
      <c r="E968" s="132"/>
      <c r="F968" s="132"/>
      <c r="G968" s="133"/>
      <c r="H968" s="134"/>
      <c r="I968" s="134"/>
      <c r="J968" s="134"/>
      <c r="K968" s="134"/>
      <c r="L968" s="134"/>
      <c r="M968" s="134"/>
      <c r="N968" s="143"/>
      <c r="O968" s="136"/>
      <c r="P968" s="136"/>
      <c r="Q968" s="137"/>
      <c r="R968" s="138"/>
      <c r="S968" s="138"/>
      <c r="T968" s="139"/>
      <c r="U968" s="139"/>
      <c r="V968" s="139"/>
      <c r="W968" s="140"/>
      <c r="X968" s="141"/>
      <c r="Y968" s="140"/>
      <c r="Z968" s="142"/>
      <c r="AA968" s="139"/>
      <c r="AB968" s="139"/>
      <c r="AC968" s="140"/>
      <c r="AD968" s="140"/>
      <c r="AE968" s="140"/>
    </row>
    <row r="969">
      <c r="A969" s="130"/>
      <c r="B969" s="131"/>
      <c r="C969" s="131"/>
      <c r="D969" s="130"/>
      <c r="E969" s="132"/>
      <c r="F969" s="132"/>
      <c r="G969" s="133"/>
      <c r="H969" s="134"/>
      <c r="I969" s="134"/>
      <c r="J969" s="134"/>
      <c r="K969" s="134"/>
      <c r="L969" s="134"/>
      <c r="M969" s="134"/>
      <c r="N969" s="143"/>
      <c r="O969" s="136"/>
      <c r="P969" s="136"/>
      <c r="Q969" s="137"/>
      <c r="R969" s="138"/>
      <c r="S969" s="138"/>
      <c r="T969" s="139"/>
      <c r="U969" s="139"/>
      <c r="V969" s="139"/>
      <c r="W969" s="140"/>
      <c r="X969" s="141"/>
      <c r="Y969" s="140"/>
      <c r="Z969" s="142"/>
      <c r="AA969" s="139"/>
      <c r="AB969" s="139"/>
      <c r="AC969" s="140"/>
      <c r="AD969" s="140"/>
      <c r="AE969" s="140"/>
    </row>
    <row r="970">
      <c r="A970" s="130"/>
      <c r="B970" s="131"/>
      <c r="C970" s="131"/>
      <c r="D970" s="130"/>
      <c r="E970" s="132"/>
      <c r="F970" s="132"/>
      <c r="G970" s="133"/>
      <c r="H970" s="134"/>
      <c r="I970" s="134"/>
      <c r="J970" s="134"/>
      <c r="K970" s="134"/>
      <c r="L970" s="134"/>
      <c r="M970" s="134"/>
      <c r="N970" s="143"/>
      <c r="O970" s="136"/>
      <c r="P970" s="136"/>
      <c r="Q970" s="137"/>
      <c r="R970" s="138"/>
      <c r="S970" s="138"/>
      <c r="T970" s="139"/>
      <c r="U970" s="139"/>
      <c r="V970" s="139"/>
      <c r="W970" s="140"/>
      <c r="X970" s="141"/>
      <c r="Y970" s="140"/>
      <c r="Z970" s="142"/>
      <c r="AA970" s="139"/>
      <c r="AB970" s="139"/>
      <c r="AC970" s="140"/>
      <c r="AD970" s="140"/>
      <c r="AE970" s="140"/>
    </row>
    <row r="971">
      <c r="A971" s="130"/>
      <c r="B971" s="131"/>
      <c r="C971" s="131"/>
      <c r="D971" s="130"/>
      <c r="E971" s="132"/>
      <c r="F971" s="132"/>
      <c r="G971" s="133"/>
      <c r="H971" s="134"/>
      <c r="I971" s="134"/>
      <c r="J971" s="134"/>
      <c r="K971" s="134"/>
      <c r="L971" s="134"/>
      <c r="M971" s="134"/>
      <c r="N971" s="143"/>
      <c r="O971" s="136"/>
      <c r="P971" s="136"/>
      <c r="Q971" s="137"/>
      <c r="R971" s="138"/>
      <c r="S971" s="138"/>
      <c r="T971" s="139"/>
      <c r="U971" s="139"/>
      <c r="V971" s="139"/>
      <c r="W971" s="140"/>
      <c r="X971" s="141"/>
      <c r="Y971" s="140"/>
      <c r="Z971" s="142"/>
      <c r="AA971" s="139"/>
      <c r="AB971" s="139"/>
      <c r="AC971" s="140"/>
      <c r="AD971" s="140"/>
      <c r="AE971" s="140"/>
    </row>
    <row r="972">
      <c r="A972" s="130"/>
      <c r="B972" s="131"/>
      <c r="C972" s="131"/>
      <c r="D972" s="130"/>
      <c r="E972" s="132"/>
      <c r="F972" s="132"/>
      <c r="G972" s="133"/>
      <c r="H972" s="134"/>
      <c r="I972" s="134"/>
      <c r="J972" s="134"/>
      <c r="K972" s="134"/>
      <c r="L972" s="134"/>
      <c r="M972" s="134"/>
      <c r="N972" s="143"/>
      <c r="O972" s="136"/>
      <c r="P972" s="136"/>
      <c r="Q972" s="137"/>
      <c r="R972" s="138"/>
      <c r="S972" s="138"/>
      <c r="T972" s="139"/>
      <c r="U972" s="139"/>
      <c r="V972" s="139"/>
      <c r="W972" s="140"/>
      <c r="X972" s="141"/>
      <c r="Y972" s="140"/>
      <c r="Z972" s="142"/>
      <c r="AA972" s="139"/>
      <c r="AB972" s="139"/>
      <c r="AC972" s="140"/>
      <c r="AD972" s="140"/>
      <c r="AE972" s="140"/>
    </row>
    <row r="973">
      <c r="A973" s="130"/>
      <c r="B973" s="131"/>
      <c r="C973" s="131"/>
      <c r="D973" s="130"/>
      <c r="E973" s="132"/>
      <c r="F973" s="132"/>
      <c r="G973" s="133"/>
      <c r="H973" s="134"/>
      <c r="I973" s="134"/>
      <c r="J973" s="134"/>
      <c r="K973" s="134"/>
      <c r="L973" s="134"/>
      <c r="M973" s="134"/>
      <c r="N973" s="143"/>
      <c r="O973" s="136"/>
      <c r="P973" s="136"/>
      <c r="Q973" s="137"/>
      <c r="R973" s="138"/>
      <c r="S973" s="138"/>
      <c r="T973" s="139"/>
      <c r="U973" s="139"/>
      <c r="V973" s="139"/>
      <c r="W973" s="140"/>
      <c r="X973" s="141"/>
      <c r="Y973" s="140"/>
      <c r="Z973" s="142"/>
      <c r="AA973" s="139"/>
      <c r="AB973" s="139"/>
      <c r="AC973" s="140"/>
      <c r="AD973" s="140"/>
      <c r="AE973" s="140"/>
    </row>
    <row r="974">
      <c r="A974" s="130"/>
      <c r="B974" s="131"/>
      <c r="C974" s="131"/>
      <c r="D974" s="130"/>
      <c r="E974" s="132"/>
      <c r="F974" s="132"/>
      <c r="G974" s="133"/>
      <c r="H974" s="134"/>
      <c r="I974" s="134"/>
      <c r="J974" s="134"/>
      <c r="K974" s="134"/>
      <c r="L974" s="134"/>
      <c r="M974" s="134"/>
      <c r="N974" s="143"/>
      <c r="O974" s="136"/>
      <c r="P974" s="136"/>
      <c r="Q974" s="137"/>
      <c r="R974" s="138"/>
      <c r="S974" s="138"/>
      <c r="T974" s="139"/>
      <c r="U974" s="139"/>
      <c r="V974" s="139"/>
      <c r="W974" s="140"/>
      <c r="X974" s="141"/>
      <c r="Y974" s="140"/>
      <c r="Z974" s="142"/>
      <c r="AA974" s="139"/>
      <c r="AB974" s="139"/>
      <c r="AC974" s="140"/>
      <c r="AD974" s="140"/>
      <c r="AE974" s="140"/>
    </row>
    <row r="975">
      <c r="A975" s="130"/>
      <c r="B975" s="131"/>
      <c r="C975" s="131"/>
      <c r="D975" s="130"/>
      <c r="E975" s="132"/>
      <c r="F975" s="132"/>
      <c r="G975" s="133"/>
      <c r="H975" s="134"/>
      <c r="I975" s="134"/>
      <c r="J975" s="134"/>
      <c r="K975" s="134"/>
      <c r="L975" s="134"/>
      <c r="M975" s="134"/>
      <c r="N975" s="143"/>
      <c r="O975" s="136"/>
      <c r="P975" s="136"/>
      <c r="Q975" s="137"/>
      <c r="R975" s="138"/>
      <c r="S975" s="138"/>
      <c r="T975" s="139"/>
      <c r="U975" s="139"/>
      <c r="V975" s="139"/>
      <c r="W975" s="140"/>
      <c r="X975" s="141"/>
      <c r="Y975" s="140"/>
      <c r="Z975" s="142"/>
      <c r="AA975" s="139"/>
      <c r="AB975" s="139"/>
      <c r="AC975" s="140"/>
      <c r="AD975" s="140"/>
      <c r="AE975" s="140"/>
    </row>
    <row r="976">
      <c r="A976" s="130"/>
      <c r="B976" s="131"/>
      <c r="C976" s="131"/>
      <c r="D976" s="130"/>
      <c r="E976" s="132"/>
      <c r="F976" s="132"/>
      <c r="G976" s="133"/>
      <c r="H976" s="134"/>
      <c r="I976" s="134"/>
      <c r="J976" s="134"/>
      <c r="K976" s="134"/>
      <c r="L976" s="134"/>
      <c r="M976" s="134"/>
      <c r="N976" s="143"/>
      <c r="O976" s="136"/>
      <c r="P976" s="136"/>
      <c r="Q976" s="137"/>
      <c r="R976" s="138"/>
      <c r="S976" s="138"/>
      <c r="T976" s="139"/>
      <c r="U976" s="139"/>
      <c r="V976" s="139"/>
      <c r="W976" s="140"/>
      <c r="X976" s="141"/>
      <c r="Y976" s="140"/>
      <c r="Z976" s="142"/>
      <c r="AA976" s="139"/>
      <c r="AB976" s="139"/>
      <c r="AC976" s="140"/>
      <c r="AD976" s="140"/>
      <c r="AE976" s="140"/>
    </row>
    <row r="977">
      <c r="A977" s="130"/>
      <c r="B977" s="131"/>
      <c r="C977" s="131"/>
      <c r="D977" s="130"/>
      <c r="E977" s="132"/>
      <c r="F977" s="132"/>
      <c r="G977" s="133"/>
      <c r="H977" s="134"/>
      <c r="I977" s="134"/>
      <c r="J977" s="134"/>
      <c r="K977" s="134"/>
      <c r="L977" s="134"/>
      <c r="M977" s="134"/>
      <c r="N977" s="143"/>
      <c r="O977" s="136"/>
      <c r="P977" s="136"/>
      <c r="Q977" s="137"/>
      <c r="R977" s="138"/>
      <c r="S977" s="138"/>
      <c r="T977" s="139"/>
      <c r="U977" s="139"/>
      <c r="V977" s="139"/>
      <c r="W977" s="140"/>
      <c r="X977" s="141"/>
      <c r="Y977" s="140"/>
      <c r="Z977" s="142"/>
      <c r="AA977" s="139"/>
      <c r="AB977" s="139"/>
      <c r="AC977" s="140"/>
      <c r="AD977" s="140"/>
      <c r="AE977" s="140"/>
    </row>
    <row r="978">
      <c r="A978" s="130"/>
      <c r="B978" s="131"/>
      <c r="C978" s="131"/>
      <c r="D978" s="130"/>
      <c r="E978" s="132"/>
      <c r="F978" s="132"/>
      <c r="G978" s="133"/>
      <c r="H978" s="134"/>
      <c r="I978" s="134"/>
      <c r="J978" s="134"/>
      <c r="K978" s="134"/>
      <c r="L978" s="134"/>
      <c r="M978" s="134"/>
      <c r="N978" s="143"/>
      <c r="O978" s="136"/>
      <c r="P978" s="136"/>
      <c r="Q978" s="137"/>
      <c r="R978" s="138"/>
      <c r="S978" s="138"/>
      <c r="T978" s="139"/>
      <c r="U978" s="139"/>
      <c r="V978" s="139"/>
      <c r="W978" s="140"/>
      <c r="X978" s="141"/>
      <c r="Y978" s="140"/>
      <c r="Z978" s="142"/>
      <c r="AA978" s="139"/>
      <c r="AB978" s="139"/>
      <c r="AC978" s="140"/>
      <c r="AD978" s="140"/>
      <c r="AE978" s="140"/>
    </row>
    <row r="979">
      <c r="A979" s="130"/>
      <c r="B979" s="131"/>
      <c r="C979" s="131"/>
      <c r="D979" s="130"/>
      <c r="E979" s="132"/>
      <c r="F979" s="132"/>
      <c r="G979" s="133"/>
      <c r="H979" s="134"/>
      <c r="I979" s="134"/>
      <c r="J979" s="134"/>
      <c r="K979" s="134"/>
      <c r="L979" s="134"/>
      <c r="M979" s="134"/>
      <c r="N979" s="143"/>
      <c r="O979" s="136"/>
      <c r="P979" s="136"/>
      <c r="Q979" s="137"/>
      <c r="R979" s="138"/>
      <c r="S979" s="138"/>
      <c r="T979" s="139"/>
      <c r="U979" s="139"/>
      <c r="V979" s="139"/>
      <c r="W979" s="140"/>
      <c r="X979" s="141"/>
      <c r="Y979" s="140"/>
      <c r="Z979" s="142"/>
      <c r="AA979" s="139"/>
      <c r="AB979" s="139"/>
      <c r="AC979" s="140"/>
      <c r="AD979" s="140"/>
      <c r="AE979" s="140"/>
    </row>
    <row r="980">
      <c r="A980" s="130"/>
      <c r="B980" s="131"/>
      <c r="C980" s="131"/>
      <c r="D980" s="130"/>
      <c r="E980" s="132"/>
      <c r="F980" s="132"/>
      <c r="G980" s="133"/>
      <c r="H980" s="134"/>
      <c r="I980" s="134"/>
      <c r="J980" s="134"/>
      <c r="K980" s="134"/>
      <c r="L980" s="134"/>
      <c r="M980" s="134"/>
      <c r="N980" s="143"/>
      <c r="O980" s="136"/>
      <c r="P980" s="136"/>
      <c r="Q980" s="137"/>
      <c r="R980" s="138"/>
      <c r="S980" s="138"/>
      <c r="T980" s="139"/>
      <c r="U980" s="139"/>
      <c r="V980" s="139"/>
      <c r="W980" s="140"/>
      <c r="X980" s="141"/>
      <c r="Y980" s="140"/>
      <c r="Z980" s="142"/>
      <c r="AA980" s="139"/>
      <c r="AB980" s="139"/>
      <c r="AC980" s="140"/>
      <c r="AD980" s="140"/>
      <c r="AE980" s="140"/>
    </row>
    <row r="981">
      <c r="A981" s="130"/>
      <c r="B981" s="131"/>
      <c r="C981" s="131"/>
      <c r="D981" s="130"/>
      <c r="E981" s="132"/>
      <c r="F981" s="132"/>
      <c r="G981" s="133"/>
      <c r="H981" s="134"/>
      <c r="I981" s="134"/>
      <c r="J981" s="134"/>
      <c r="K981" s="134"/>
      <c r="L981" s="134"/>
      <c r="M981" s="134"/>
      <c r="N981" s="143"/>
      <c r="O981" s="136"/>
      <c r="P981" s="136"/>
      <c r="Q981" s="137"/>
      <c r="R981" s="138"/>
      <c r="S981" s="138"/>
      <c r="T981" s="139"/>
      <c r="U981" s="139"/>
      <c r="V981" s="139"/>
      <c r="W981" s="140"/>
      <c r="X981" s="141"/>
      <c r="Y981" s="140"/>
      <c r="Z981" s="142"/>
      <c r="AA981" s="139"/>
      <c r="AB981" s="139"/>
      <c r="AC981" s="140"/>
      <c r="AD981" s="140"/>
      <c r="AE981" s="140"/>
    </row>
    <row r="982">
      <c r="A982" s="130"/>
      <c r="B982" s="131"/>
      <c r="C982" s="131"/>
      <c r="D982" s="130"/>
      <c r="E982" s="132"/>
      <c r="F982" s="132"/>
      <c r="G982" s="133"/>
      <c r="H982" s="134"/>
      <c r="I982" s="134"/>
      <c r="J982" s="134"/>
      <c r="K982" s="134"/>
      <c r="L982" s="134"/>
      <c r="M982" s="134"/>
      <c r="N982" s="143"/>
      <c r="O982" s="136"/>
      <c r="P982" s="136"/>
      <c r="Q982" s="137"/>
      <c r="R982" s="138"/>
      <c r="S982" s="138"/>
      <c r="T982" s="139"/>
      <c r="U982" s="139"/>
      <c r="V982" s="139"/>
      <c r="W982" s="140"/>
      <c r="X982" s="141"/>
      <c r="Y982" s="140"/>
      <c r="Z982" s="142"/>
      <c r="AA982" s="139"/>
      <c r="AB982" s="139"/>
      <c r="AC982" s="140"/>
      <c r="AD982" s="140"/>
      <c r="AE982" s="140"/>
    </row>
    <row r="983">
      <c r="A983" s="130"/>
      <c r="B983" s="131"/>
      <c r="C983" s="131"/>
      <c r="D983" s="130"/>
      <c r="E983" s="132"/>
      <c r="F983" s="132"/>
      <c r="G983" s="133"/>
      <c r="H983" s="134"/>
      <c r="I983" s="134"/>
      <c r="J983" s="134"/>
      <c r="K983" s="134"/>
      <c r="L983" s="134"/>
      <c r="M983" s="134"/>
      <c r="N983" s="143"/>
      <c r="O983" s="136"/>
      <c r="P983" s="136"/>
      <c r="Q983" s="137"/>
      <c r="R983" s="138"/>
      <c r="S983" s="138"/>
      <c r="T983" s="139"/>
      <c r="U983" s="139"/>
      <c r="V983" s="139"/>
      <c r="W983" s="140"/>
      <c r="X983" s="141"/>
      <c r="Y983" s="140"/>
      <c r="Z983" s="142"/>
      <c r="AA983" s="139"/>
      <c r="AB983" s="139"/>
      <c r="AC983" s="140"/>
      <c r="AD983" s="140"/>
      <c r="AE983" s="140"/>
    </row>
    <row r="984">
      <c r="A984" s="130"/>
      <c r="B984" s="131"/>
      <c r="C984" s="131"/>
      <c r="D984" s="130"/>
      <c r="E984" s="132"/>
      <c r="F984" s="132"/>
      <c r="G984" s="133"/>
      <c r="H984" s="134"/>
      <c r="I984" s="134"/>
      <c r="J984" s="134"/>
      <c r="K984" s="134"/>
      <c r="L984" s="134"/>
      <c r="M984" s="134"/>
      <c r="N984" s="143"/>
      <c r="O984" s="136"/>
      <c r="P984" s="136"/>
      <c r="Q984" s="137"/>
      <c r="R984" s="138"/>
      <c r="S984" s="138"/>
      <c r="T984" s="139"/>
      <c r="U984" s="139"/>
      <c r="V984" s="139"/>
      <c r="W984" s="140"/>
      <c r="X984" s="141"/>
      <c r="Y984" s="140"/>
      <c r="Z984" s="142"/>
      <c r="AA984" s="139"/>
      <c r="AB984" s="139"/>
      <c r="AC984" s="140"/>
      <c r="AD984" s="140"/>
      <c r="AE984" s="140"/>
    </row>
    <row r="985">
      <c r="A985" s="130"/>
      <c r="B985" s="131"/>
      <c r="C985" s="131"/>
      <c r="D985" s="130"/>
      <c r="E985" s="132"/>
      <c r="F985" s="132"/>
      <c r="G985" s="133"/>
      <c r="H985" s="134"/>
      <c r="I985" s="134"/>
      <c r="J985" s="134"/>
      <c r="K985" s="134"/>
      <c r="L985" s="134"/>
      <c r="M985" s="134"/>
      <c r="N985" s="143"/>
      <c r="O985" s="136"/>
      <c r="P985" s="136"/>
      <c r="Q985" s="137"/>
      <c r="R985" s="138"/>
      <c r="S985" s="138"/>
      <c r="T985" s="139"/>
      <c r="U985" s="139"/>
      <c r="V985" s="139"/>
      <c r="W985" s="140"/>
      <c r="X985" s="141"/>
      <c r="Y985" s="140"/>
      <c r="Z985" s="142"/>
      <c r="AA985" s="139"/>
      <c r="AB985" s="139"/>
      <c r="AC985" s="140"/>
      <c r="AD985" s="140"/>
      <c r="AE985" s="140"/>
    </row>
    <row r="986">
      <c r="A986" s="130"/>
      <c r="B986" s="131"/>
      <c r="C986" s="131"/>
      <c r="D986" s="130"/>
      <c r="E986" s="132"/>
      <c r="F986" s="132"/>
      <c r="G986" s="133"/>
      <c r="H986" s="134"/>
      <c r="I986" s="134"/>
      <c r="J986" s="134"/>
      <c r="K986" s="134"/>
      <c r="L986" s="134"/>
      <c r="M986" s="134"/>
      <c r="N986" s="143"/>
      <c r="O986" s="136"/>
      <c r="P986" s="136"/>
      <c r="Q986" s="137"/>
      <c r="R986" s="138"/>
      <c r="S986" s="138"/>
      <c r="T986" s="139"/>
      <c r="U986" s="139"/>
      <c r="V986" s="139"/>
      <c r="W986" s="140"/>
      <c r="X986" s="141"/>
      <c r="Y986" s="140"/>
      <c r="Z986" s="142"/>
      <c r="AA986" s="139"/>
      <c r="AB986" s="139"/>
      <c r="AC986" s="140"/>
      <c r="AD986" s="140"/>
      <c r="AE986" s="140"/>
    </row>
    <row r="987">
      <c r="A987" s="130"/>
      <c r="B987" s="131"/>
      <c r="C987" s="131"/>
      <c r="D987" s="130"/>
      <c r="E987" s="132"/>
      <c r="F987" s="132"/>
      <c r="G987" s="133"/>
      <c r="H987" s="134"/>
      <c r="I987" s="134"/>
      <c r="J987" s="134"/>
      <c r="K987" s="134"/>
      <c r="L987" s="134"/>
      <c r="M987" s="134"/>
      <c r="N987" s="143"/>
      <c r="O987" s="136"/>
      <c r="P987" s="136"/>
      <c r="Q987" s="137"/>
      <c r="R987" s="138"/>
      <c r="S987" s="138"/>
      <c r="T987" s="139"/>
      <c r="U987" s="139"/>
      <c r="V987" s="139"/>
      <c r="W987" s="140"/>
      <c r="X987" s="141"/>
      <c r="Y987" s="140"/>
      <c r="Z987" s="142"/>
      <c r="AA987" s="139"/>
      <c r="AB987" s="139"/>
      <c r="AC987" s="140"/>
      <c r="AD987" s="140"/>
      <c r="AE987" s="140"/>
    </row>
    <row r="988">
      <c r="A988" s="130"/>
      <c r="B988" s="131"/>
      <c r="C988" s="131"/>
      <c r="D988" s="130"/>
      <c r="E988" s="132"/>
      <c r="F988" s="132"/>
      <c r="G988" s="133"/>
      <c r="H988" s="134"/>
      <c r="I988" s="134"/>
      <c r="J988" s="134"/>
      <c r="K988" s="134"/>
      <c r="L988" s="134"/>
      <c r="M988" s="134"/>
      <c r="N988" s="143"/>
      <c r="O988" s="136"/>
      <c r="P988" s="136"/>
      <c r="Q988" s="137"/>
      <c r="R988" s="138"/>
      <c r="S988" s="138"/>
      <c r="T988" s="139"/>
      <c r="U988" s="139"/>
      <c r="V988" s="139"/>
      <c r="W988" s="140"/>
      <c r="X988" s="141"/>
      <c r="Y988" s="140"/>
      <c r="Z988" s="142"/>
      <c r="AA988" s="139"/>
      <c r="AB988" s="139"/>
      <c r="AC988" s="140"/>
      <c r="AD988" s="140"/>
      <c r="AE988" s="140"/>
    </row>
    <row r="989">
      <c r="A989" s="130"/>
      <c r="B989" s="131"/>
      <c r="C989" s="131"/>
      <c r="D989" s="130"/>
      <c r="E989" s="132"/>
      <c r="F989" s="132"/>
      <c r="G989" s="133"/>
      <c r="H989" s="134"/>
      <c r="I989" s="134"/>
      <c r="J989" s="134"/>
      <c r="K989" s="134"/>
      <c r="L989" s="134"/>
      <c r="M989" s="134"/>
      <c r="N989" s="143"/>
      <c r="O989" s="136"/>
      <c r="P989" s="136"/>
      <c r="Q989" s="137"/>
      <c r="R989" s="138"/>
      <c r="S989" s="138"/>
      <c r="T989" s="139"/>
      <c r="U989" s="139"/>
      <c r="V989" s="139"/>
      <c r="W989" s="140"/>
      <c r="X989" s="141"/>
      <c r="Y989" s="140"/>
      <c r="Z989" s="142"/>
      <c r="AA989" s="139"/>
      <c r="AB989" s="139"/>
      <c r="AC989" s="140"/>
      <c r="AD989" s="140"/>
      <c r="AE989" s="140"/>
    </row>
    <row r="990">
      <c r="A990" s="130"/>
      <c r="B990" s="131"/>
      <c r="C990" s="131"/>
      <c r="D990" s="130"/>
      <c r="E990" s="132"/>
      <c r="F990" s="132"/>
      <c r="G990" s="133"/>
      <c r="H990" s="134"/>
      <c r="I990" s="134"/>
      <c r="J990" s="134"/>
      <c r="K990" s="134"/>
      <c r="L990" s="134"/>
      <c r="M990" s="134"/>
      <c r="N990" s="143"/>
      <c r="O990" s="136"/>
      <c r="P990" s="136"/>
      <c r="Q990" s="137"/>
      <c r="R990" s="138"/>
      <c r="S990" s="138"/>
      <c r="T990" s="139"/>
      <c r="U990" s="139"/>
      <c r="V990" s="139"/>
      <c r="W990" s="140"/>
      <c r="X990" s="141"/>
      <c r="Y990" s="140"/>
      <c r="Z990" s="142"/>
      <c r="AA990" s="139"/>
      <c r="AB990" s="139"/>
      <c r="AC990" s="140"/>
      <c r="AD990" s="140"/>
      <c r="AE990" s="140"/>
    </row>
    <row r="991">
      <c r="A991" s="130"/>
      <c r="B991" s="131"/>
      <c r="C991" s="131"/>
      <c r="D991" s="130"/>
      <c r="E991" s="132"/>
      <c r="F991" s="132"/>
      <c r="G991" s="133"/>
      <c r="H991" s="134"/>
      <c r="I991" s="134"/>
      <c r="J991" s="134"/>
      <c r="K991" s="134"/>
      <c r="L991" s="134"/>
      <c r="M991" s="134"/>
      <c r="N991" s="143"/>
      <c r="O991" s="136"/>
      <c r="P991" s="136"/>
      <c r="Q991" s="137"/>
      <c r="R991" s="138"/>
      <c r="S991" s="138"/>
      <c r="T991" s="139"/>
      <c r="U991" s="139"/>
      <c r="V991" s="139"/>
      <c r="W991" s="140"/>
      <c r="X991" s="141"/>
      <c r="Y991" s="140"/>
      <c r="Z991" s="142"/>
      <c r="AA991" s="139"/>
      <c r="AB991" s="139"/>
      <c r="AC991" s="140"/>
      <c r="AD991" s="140"/>
      <c r="AE991" s="140"/>
    </row>
    <row r="992">
      <c r="A992" s="130"/>
      <c r="B992" s="131"/>
      <c r="C992" s="131"/>
      <c r="D992" s="130"/>
      <c r="E992" s="132"/>
      <c r="F992" s="132"/>
      <c r="G992" s="133"/>
      <c r="H992" s="134"/>
      <c r="I992" s="134"/>
      <c r="J992" s="134"/>
      <c r="K992" s="134"/>
      <c r="L992" s="134"/>
      <c r="M992" s="134"/>
      <c r="N992" s="143"/>
      <c r="O992" s="136"/>
      <c r="P992" s="136"/>
      <c r="Q992" s="137"/>
      <c r="R992" s="138"/>
      <c r="S992" s="138"/>
      <c r="T992" s="139"/>
      <c r="U992" s="139"/>
      <c r="V992" s="139"/>
      <c r="W992" s="140"/>
      <c r="X992" s="141"/>
      <c r="Y992" s="140"/>
      <c r="Z992" s="142"/>
      <c r="AA992" s="139"/>
      <c r="AB992" s="139"/>
      <c r="AC992" s="140"/>
      <c r="AD992" s="140"/>
      <c r="AE992" s="140"/>
    </row>
    <row r="993">
      <c r="A993" s="130"/>
      <c r="B993" s="131"/>
      <c r="C993" s="131"/>
      <c r="D993" s="130"/>
      <c r="E993" s="132"/>
      <c r="F993" s="132"/>
      <c r="G993" s="133"/>
      <c r="H993" s="134"/>
      <c r="I993" s="134"/>
      <c r="J993" s="134"/>
      <c r="K993" s="134"/>
      <c r="L993" s="134"/>
      <c r="M993" s="134"/>
      <c r="N993" s="143"/>
      <c r="O993" s="136"/>
      <c r="P993" s="136"/>
      <c r="Q993" s="137"/>
      <c r="R993" s="138"/>
      <c r="S993" s="138"/>
      <c r="T993" s="139"/>
      <c r="U993" s="139"/>
      <c r="V993" s="139"/>
      <c r="W993" s="140"/>
      <c r="X993" s="141"/>
      <c r="Y993" s="140"/>
      <c r="Z993" s="142"/>
      <c r="AA993" s="139"/>
      <c r="AB993" s="139"/>
      <c r="AC993" s="140"/>
      <c r="AD993" s="140"/>
      <c r="AE993" s="140"/>
    </row>
    <row r="994">
      <c r="A994" s="130"/>
      <c r="B994" s="131"/>
      <c r="C994" s="131"/>
      <c r="D994" s="130"/>
      <c r="E994" s="132"/>
      <c r="F994" s="132"/>
      <c r="G994" s="133"/>
      <c r="H994" s="134"/>
      <c r="I994" s="134"/>
      <c r="J994" s="134"/>
      <c r="K994" s="134"/>
      <c r="L994" s="134"/>
      <c r="M994" s="134"/>
      <c r="N994" s="143"/>
      <c r="O994" s="136"/>
      <c r="P994" s="136"/>
      <c r="Q994" s="137"/>
      <c r="R994" s="138"/>
      <c r="S994" s="138"/>
      <c r="T994" s="139"/>
      <c r="U994" s="139"/>
      <c r="V994" s="139"/>
      <c r="W994" s="140"/>
      <c r="X994" s="141"/>
      <c r="Y994" s="140"/>
      <c r="Z994" s="142"/>
      <c r="AA994" s="139"/>
      <c r="AB994" s="139"/>
      <c r="AC994" s="140"/>
      <c r="AD994" s="140"/>
      <c r="AE994" s="140"/>
    </row>
    <row r="995">
      <c r="A995" s="130"/>
      <c r="B995" s="131"/>
      <c r="C995" s="131"/>
      <c r="D995" s="130"/>
      <c r="E995" s="132"/>
      <c r="F995" s="132"/>
      <c r="G995" s="133"/>
      <c r="H995" s="134"/>
      <c r="I995" s="134"/>
      <c r="J995" s="134"/>
      <c r="K995" s="134"/>
      <c r="L995" s="134"/>
      <c r="M995" s="134"/>
      <c r="N995" s="143"/>
      <c r="O995" s="136"/>
      <c r="P995" s="136"/>
      <c r="Q995" s="137"/>
      <c r="R995" s="138"/>
      <c r="S995" s="138"/>
      <c r="T995" s="139"/>
      <c r="U995" s="139"/>
      <c r="V995" s="139"/>
      <c r="W995" s="140"/>
      <c r="X995" s="141"/>
      <c r="Y995" s="140"/>
      <c r="Z995" s="142"/>
      <c r="AA995" s="139"/>
      <c r="AB995" s="139"/>
      <c r="AC995" s="140"/>
      <c r="AD995" s="140"/>
      <c r="AE995" s="140"/>
    </row>
    <row r="996">
      <c r="A996" s="130"/>
      <c r="B996" s="131"/>
      <c r="C996" s="131"/>
      <c r="D996" s="130"/>
      <c r="E996" s="132"/>
      <c r="F996" s="132"/>
      <c r="G996" s="133"/>
      <c r="H996" s="134"/>
      <c r="I996" s="134"/>
      <c r="J996" s="134"/>
      <c r="K996" s="134"/>
      <c r="L996" s="134"/>
      <c r="M996" s="134"/>
      <c r="N996" s="143"/>
      <c r="O996" s="136"/>
      <c r="P996" s="136"/>
      <c r="Q996" s="137"/>
      <c r="R996" s="138"/>
      <c r="S996" s="138"/>
      <c r="T996" s="139"/>
      <c r="U996" s="139"/>
      <c r="V996" s="139"/>
      <c r="W996" s="140"/>
      <c r="X996" s="141"/>
      <c r="Y996" s="140"/>
      <c r="Z996" s="142"/>
      <c r="AA996" s="139"/>
      <c r="AB996" s="139"/>
      <c r="AC996" s="140"/>
      <c r="AD996" s="140"/>
      <c r="AE996" s="140"/>
    </row>
    <row r="997">
      <c r="A997" s="130"/>
      <c r="B997" s="131"/>
      <c r="C997" s="131"/>
      <c r="D997" s="130"/>
      <c r="E997" s="132"/>
      <c r="F997" s="132"/>
      <c r="G997" s="133"/>
      <c r="H997" s="134"/>
      <c r="I997" s="134"/>
      <c r="J997" s="134"/>
      <c r="K997" s="134"/>
      <c r="L997" s="134"/>
      <c r="M997" s="134"/>
      <c r="N997" s="143"/>
      <c r="O997" s="136"/>
      <c r="P997" s="136"/>
      <c r="Q997" s="137"/>
      <c r="R997" s="138"/>
      <c r="S997" s="138"/>
      <c r="T997" s="139"/>
      <c r="U997" s="139"/>
      <c r="V997" s="139"/>
      <c r="W997" s="140"/>
      <c r="X997" s="141"/>
      <c r="Y997" s="140"/>
      <c r="Z997" s="142"/>
      <c r="AA997" s="139"/>
      <c r="AB997" s="139"/>
      <c r="AC997" s="140"/>
      <c r="AD997" s="140"/>
      <c r="AE997" s="140"/>
    </row>
    <row r="998">
      <c r="A998" s="130"/>
      <c r="B998" s="131"/>
      <c r="C998" s="131"/>
      <c r="D998" s="130"/>
      <c r="E998" s="132"/>
      <c r="F998" s="132"/>
      <c r="G998" s="133"/>
      <c r="H998" s="134"/>
      <c r="I998" s="134"/>
      <c r="J998" s="134"/>
      <c r="K998" s="134"/>
      <c r="L998" s="134"/>
      <c r="M998" s="134"/>
      <c r="N998" s="143"/>
      <c r="O998" s="136"/>
      <c r="P998" s="136"/>
      <c r="Q998" s="137"/>
      <c r="R998" s="138"/>
      <c r="S998" s="138"/>
      <c r="T998" s="139"/>
      <c r="U998" s="139"/>
      <c r="V998" s="139"/>
      <c r="W998" s="140"/>
      <c r="X998" s="141"/>
      <c r="Y998" s="140"/>
      <c r="Z998" s="142"/>
      <c r="AA998" s="139"/>
      <c r="AB998" s="139"/>
      <c r="AC998" s="140"/>
      <c r="AD998" s="140"/>
      <c r="AE998" s="140"/>
    </row>
    <row r="999">
      <c r="A999" s="130"/>
      <c r="B999" s="131"/>
      <c r="C999" s="131"/>
      <c r="D999" s="130"/>
      <c r="E999" s="132"/>
      <c r="F999" s="132"/>
      <c r="G999" s="133"/>
      <c r="H999" s="134"/>
      <c r="I999" s="134"/>
      <c r="J999" s="134"/>
      <c r="K999" s="134"/>
      <c r="L999" s="134"/>
      <c r="M999" s="134"/>
      <c r="N999" s="143"/>
      <c r="O999" s="136"/>
      <c r="P999" s="136"/>
      <c r="Q999" s="137"/>
      <c r="R999" s="138"/>
      <c r="S999" s="138"/>
      <c r="T999" s="139"/>
      <c r="U999" s="139"/>
      <c r="V999" s="139"/>
      <c r="W999" s="140"/>
      <c r="X999" s="141"/>
      <c r="Y999" s="140"/>
      <c r="Z999" s="142"/>
      <c r="AA999" s="139"/>
      <c r="AB999" s="139"/>
      <c r="AC999" s="140"/>
      <c r="AD999" s="140"/>
      <c r="AE999" s="140"/>
    </row>
    <row r="1000">
      <c r="A1000" s="130"/>
      <c r="B1000" s="131"/>
      <c r="C1000" s="131"/>
      <c r="D1000" s="130"/>
      <c r="E1000" s="132"/>
      <c r="F1000" s="132"/>
      <c r="G1000" s="133"/>
      <c r="H1000" s="134"/>
      <c r="I1000" s="134"/>
      <c r="J1000" s="134"/>
      <c r="K1000" s="134"/>
      <c r="L1000" s="134"/>
      <c r="M1000" s="134"/>
      <c r="N1000" s="143"/>
      <c r="O1000" s="136"/>
      <c r="P1000" s="136"/>
      <c r="Q1000" s="137"/>
      <c r="R1000" s="138"/>
      <c r="S1000" s="138"/>
      <c r="T1000" s="139"/>
      <c r="U1000" s="139"/>
      <c r="V1000" s="139"/>
      <c r="W1000" s="140"/>
      <c r="X1000" s="141"/>
      <c r="Y1000" s="140"/>
      <c r="Z1000" s="142"/>
      <c r="AA1000" s="139"/>
      <c r="AB1000" s="139"/>
      <c r="AC1000" s="140"/>
      <c r="AD1000" s="140"/>
      <c r="AE1000" s="140"/>
    </row>
    <row r="1001">
      <c r="A1001" s="130"/>
      <c r="B1001" s="131"/>
      <c r="C1001" s="131"/>
      <c r="D1001" s="130"/>
      <c r="E1001" s="132"/>
      <c r="F1001" s="132"/>
      <c r="G1001" s="133"/>
      <c r="H1001" s="134"/>
      <c r="I1001" s="134"/>
      <c r="J1001" s="134"/>
      <c r="K1001" s="134"/>
      <c r="L1001" s="134"/>
      <c r="M1001" s="134"/>
      <c r="N1001" s="134"/>
      <c r="O1001" s="136"/>
      <c r="P1001" s="136"/>
      <c r="Q1001" s="137"/>
      <c r="R1001" s="138"/>
      <c r="S1001" s="138"/>
      <c r="T1001" s="139"/>
      <c r="U1001" s="139"/>
      <c r="V1001" s="139"/>
      <c r="W1001" s="140"/>
      <c r="X1001" s="141"/>
      <c r="Y1001" s="140"/>
      <c r="Z1001" s="142"/>
      <c r="AA1001" s="139"/>
      <c r="AB1001" s="139"/>
      <c r="AC1001" s="140"/>
      <c r="AD1001" s="140"/>
      <c r="AE1001" s="140"/>
    </row>
  </sheetData>
  <mergeCells count="10">
    <mergeCell ref="H1:M1"/>
    <mergeCell ref="O1:P1"/>
    <mergeCell ref="R1:Y1"/>
    <mergeCell ref="A1:A2"/>
    <mergeCell ref="B1:B2"/>
    <mergeCell ref="C1:C2"/>
    <mergeCell ref="D1:D2"/>
    <mergeCell ref="E1:E2"/>
    <mergeCell ref="F1:F2"/>
    <mergeCell ref="G1:G2"/>
  </mergeCells>
  <hyperlinks>
    <hyperlink r:id="rId1" ref="R2"/>
    <hyperlink r:id="rId2" ref="S2"/>
    <hyperlink r:id="rId3" ref="T2"/>
    <hyperlink r:id="rId4" ref="U2"/>
    <hyperlink r:id="rId5" ref="V2"/>
    <hyperlink r:id="rId6" ref="W2"/>
    <hyperlink r:id="rId7" ref="Y2"/>
    <hyperlink r:id="rId8" ref="Z2"/>
    <hyperlink r:id="rId9" ref="AD2"/>
    <hyperlink r:id="rId10" ref="AE2"/>
    <hyperlink r:id="rId11" ref="R3"/>
    <hyperlink r:id="rId12" ref="S3"/>
    <hyperlink r:id="rId13" ref="T3"/>
    <hyperlink r:id="rId14" ref="U3"/>
    <hyperlink r:id="rId15" ref="R4"/>
    <hyperlink r:id="rId16" ref="T4"/>
    <hyperlink r:id="rId17" ref="U4"/>
    <hyperlink r:id="rId18" ref="R5"/>
    <hyperlink r:id="rId19" ref="T5"/>
    <hyperlink r:id="rId20" ref="U5"/>
    <hyperlink r:id="rId21" ref="AC5"/>
    <hyperlink r:id="rId22" ref="R6"/>
    <hyperlink r:id="rId23" ref="S6"/>
    <hyperlink r:id="rId24" ref="T6"/>
    <hyperlink r:id="rId25" ref="U6"/>
    <hyperlink r:id="rId26" ref="R7"/>
    <hyperlink r:id="rId27" ref="S7"/>
    <hyperlink r:id="rId28" ref="T7"/>
    <hyperlink r:id="rId29" ref="R8"/>
    <hyperlink r:id="rId30" ref="T8"/>
    <hyperlink r:id="rId31" ref="R9"/>
    <hyperlink r:id="rId32" ref="T9"/>
    <hyperlink r:id="rId33" ref="R10"/>
    <hyperlink r:id="rId34" ref="T10"/>
    <hyperlink r:id="rId35" ref="U10"/>
    <hyperlink r:id="rId36" ref="R11"/>
    <hyperlink r:id="rId37" ref="T11"/>
    <hyperlink r:id="rId38" ref="U11"/>
    <hyperlink r:id="rId39" ref="R12"/>
    <hyperlink r:id="rId40" ref="T12"/>
    <hyperlink r:id="rId41" ref="U12"/>
    <hyperlink r:id="rId42" ref="AC12"/>
    <hyperlink r:id="rId43" ref="R13"/>
    <hyperlink r:id="rId44" ref="S13"/>
    <hyperlink r:id="rId45" ref="T13"/>
    <hyperlink r:id="rId46" ref="U13"/>
    <hyperlink r:id="rId47" ref="S14"/>
    <hyperlink r:id="rId48" ref="U14"/>
    <hyperlink r:id="rId49" ref="R15"/>
    <hyperlink r:id="rId50" ref="S15"/>
    <hyperlink r:id="rId51" ref="U15"/>
    <hyperlink r:id="rId52" ref="R16"/>
    <hyperlink r:id="rId53" ref="T16"/>
    <hyperlink r:id="rId54" ref="U16"/>
    <hyperlink r:id="rId55" ref="R17"/>
    <hyperlink r:id="rId56" ref="S17"/>
    <hyperlink r:id="rId57" ref="T17"/>
    <hyperlink r:id="rId58" ref="U17"/>
    <hyperlink r:id="rId59" location="heading=h.l5mdiivqk3ot" ref="D18"/>
    <hyperlink r:id="rId60" ref="R18"/>
    <hyperlink r:id="rId61" ref="T18"/>
    <hyperlink r:id="rId62" ref="U18"/>
    <hyperlink r:id="rId63" ref="R19"/>
    <hyperlink r:id="rId64" ref="T19"/>
    <hyperlink r:id="rId65" ref="U19"/>
    <hyperlink r:id="rId66" ref="AC19"/>
    <hyperlink r:id="rId67" ref="R20"/>
    <hyperlink r:id="rId68" ref="U20"/>
    <hyperlink r:id="rId69" ref="T21"/>
    <hyperlink r:id="rId70" ref="U21"/>
    <hyperlink r:id="rId71" ref="T22"/>
    <hyperlink r:id="rId72" ref="U22"/>
    <hyperlink r:id="rId73" ref="T23"/>
    <hyperlink r:id="rId74" ref="U24"/>
    <hyperlink r:id="rId75" ref="AC24"/>
    <hyperlink r:id="rId76" ref="T25"/>
    <hyperlink r:id="rId77" ref="U25"/>
    <hyperlink r:id="rId78" location="heading=h.4idl5xin4fal" ref="D26"/>
    <hyperlink r:id="rId79" ref="R26"/>
    <hyperlink r:id="rId80" ref="AC26"/>
    <hyperlink r:id="rId81" ref="T27"/>
    <hyperlink r:id="rId82" ref="U27"/>
    <hyperlink r:id="rId83" ref="T28"/>
    <hyperlink r:id="rId84" ref="D29"/>
    <hyperlink r:id="rId85" ref="AC29"/>
    <hyperlink r:id="rId86" ref="R30"/>
    <hyperlink r:id="rId87" ref="S30"/>
    <hyperlink r:id="rId88" ref="T30"/>
    <hyperlink r:id="rId89" ref="U30"/>
    <hyperlink r:id="rId90" ref="AC30"/>
    <hyperlink r:id="rId91" ref="R31"/>
    <hyperlink r:id="rId92" ref="T31"/>
    <hyperlink r:id="rId93" ref="U31"/>
    <hyperlink r:id="rId94" ref="R32"/>
    <hyperlink r:id="rId95" ref="S32"/>
    <hyperlink r:id="rId96" ref="T32"/>
    <hyperlink r:id="rId97" ref="U32"/>
    <hyperlink r:id="rId98" ref="AC32"/>
    <hyperlink r:id="rId99" ref="R33"/>
    <hyperlink r:id="rId100" ref="S33"/>
    <hyperlink r:id="rId101" ref="T33"/>
    <hyperlink r:id="rId102" ref="AC33"/>
    <hyperlink r:id="rId103" location="bookmark=id.ndx3n4y8qwob" ref="B34"/>
    <hyperlink r:id="rId104" ref="T34"/>
    <hyperlink r:id="rId105" ref="U34"/>
    <hyperlink r:id="rId106" location="bookmark=id.ndx3n4y8qwob" ref="B35"/>
    <hyperlink r:id="rId107" ref="R35"/>
    <hyperlink r:id="rId108" ref="S35"/>
    <hyperlink r:id="rId109" ref="T35"/>
    <hyperlink r:id="rId110" ref="U35"/>
    <hyperlink r:id="rId111" location="bookmark=id.ndx3n4y8qwob" ref="B36"/>
    <hyperlink r:id="rId112" ref="T36"/>
    <hyperlink r:id="rId113" ref="U36"/>
    <hyperlink r:id="rId114" ref="AC36"/>
    <hyperlink r:id="rId115" location="bookmark=id.ndx3n4y8qwob" ref="B37"/>
    <hyperlink r:id="rId116" ref="R37"/>
    <hyperlink r:id="rId117" ref="T37"/>
    <hyperlink r:id="rId118" ref="U37"/>
    <hyperlink r:id="rId119" location="bookmark=id.5drhlqmcrl7k" ref="B38"/>
    <hyperlink r:id="rId120" ref="R38"/>
    <hyperlink r:id="rId121" ref="T38"/>
    <hyperlink r:id="rId122" ref="U38"/>
    <hyperlink r:id="rId123" ref="T39"/>
    <hyperlink r:id="rId124" ref="U39"/>
    <hyperlink r:id="rId125" location="bookmark=id.5drhlqmcrl7k" ref="B40"/>
    <hyperlink r:id="rId126" ref="R40"/>
    <hyperlink r:id="rId127" ref="T40"/>
    <hyperlink r:id="rId128" ref="U40"/>
    <hyperlink r:id="rId129" location="bookmark=id.5drhlqmcrl7k" ref="B41"/>
    <hyperlink r:id="rId130" location="bookmark=id.5drhlqmcrl7k" ref="B42"/>
    <hyperlink r:id="rId131" ref="R42"/>
    <hyperlink r:id="rId132" ref="T42"/>
    <hyperlink r:id="rId133" ref="U42"/>
    <hyperlink r:id="rId134" location="bookmark=id.5drhlqmcrl7k" ref="B43"/>
    <hyperlink r:id="rId135" ref="D43"/>
    <hyperlink r:id="rId136" ref="R43"/>
    <hyperlink r:id="rId137" ref="T43"/>
    <hyperlink r:id="rId138" ref="U43"/>
    <hyperlink r:id="rId139" location="bookmark=id.5drhlqmcrl7k" ref="B44"/>
    <hyperlink r:id="rId140" ref="R44"/>
    <hyperlink r:id="rId141" ref="S44"/>
    <hyperlink r:id="rId142" ref="T44"/>
    <hyperlink r:id="rId143" ref="U44"/>
    <hyperlink r:id="rId144" location="bookmark=id.5drhlqmcrl7k" ref="B45"/>
    <hyperlink r:id="rId145" location="bookmark=id.5drhlqmcrl7k" ref="B46"/>
    <hyperlink r:id="rId146" ref="D46"/>
    <hyperlink r:id="rId147" ref="R46"/>
    <hyperlink r:id="rId148" ref="T46"/>
    <hyperlink r:id="rId149" ref="U46"/>
    <hyperlink r:id="rId150" location="bookmark=id.5drhlqmcrl7k" ref="B47"/>
    <hyperlink r:id="rId151" ref="R47"/>
    <hyperlink r:id="rId152" ref="S47"/>
    <hyperlink r:id="rId153" ref="T47"/>
    <hyperlink r:id="rId154" ref="U47"/>
    <hyperlink r:id="rId155" location="bookmark=id.5drhlqmcrl7k" ref="B48"/>
    <hyperlink r:id="rId156" ref="R48"/>
    <hyperlink r:id="rId157" ref="S48"/>
    <hyperlink r:id="rId158" location="bookmark=id.5drhlqmcrl7k" ref="B49"/>
    <hyperlink r:id="rId159" ref="R49"/>
    <hyperlink r:id="rId160" ref="S49"/>
    <hyperlink r:id="rId161" location="bookmark=id.5drhlqmcrl7k" ref="B50"/>
    <hyperlink r:id="rId162" ref="T50"/>
    <hyperlink r:id="rId163" ref="T51"/>
    <hyperlink r:id="rId164" ref="U51"/>
    <hyperlink r:id="rId165" ref="AC51"/>
    <hyperlink r:id="rId166" ref="T52"/>
    <hyperlink r:id="rId167" ref="U52"/>
    <hyperlink r:id="rId168" ref="D53"/>
    <hyperlink r:id="rId169" ref="T53"/>
    <hyperlink r:id="rId170" ref="U53"/>
    <hyperlink r:id="rId171" ref="R54"/>
    <hyperlink r:id="rId172" ref="T54"/>
    <hyperlink r:id="rId173" ref="U54"/>
    <hyperlink r:id="rId174" location="Black_box_attacks" ref="D55"/>
    <hyperlink r:id="rId175" ref="T55"/>
    <hyperlink r:id="rId176" ref="U55"/>
    <hyperlink r:id="rId177" ref="R56"/>
    <hyperlink r:id="rId178" ref="T56"/>
    <hyperlink r:id="rId179" ref="U56"/>
    <hyperlink r:id="rId180" ref="R57"/>
    <hyperlink r:id="rId181" ref="T57"/>
    <hyperlink r:id="rId182" ref="U57"/>
    <hyperlink r:id="rId183" ref="R58"/>
    <hyperlink r:id="rId184" ref="AC58"/>
    <hyperlink r:id="rId185" ref="D59"/>
    <hyperlink r:id="rId186" ref="R59"/>
    <hyperlink r:id="rId187" ref="AC59"/>
    <hyperlink r:id="rId188" ref="U61"/>
    <hyperlink r:id="rId189" ref="R64"/>
    <hyperlink r:id="rId190" ref="S64"/>
  </hyperlinks>
  <drawing r:id="rId19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2" width="44.63"/>
    <col customWidth="1" min="3" max="3" width="75.13"/>
    <col customWidth="1" min="4" max="4" width="66.13"/>
    <col customWidth="1" min="5" max="5" width="23.13"/>
    <col customWidth="1" min="6" max="6" width="22.25"/>
    <col customWidth="1" min="7" max="7" width="24.5"/>
    <col customWidth="1" min="8" max="8" width="25.5"/>
    <col customWidth="1" min="9" max="9" width="26.38"/>
    <col customWidth="1" min="10" max="12" width="30.0"/>
    <col customWidth="1" min="13" max="13" width="23.13"/>
    <col customWidth="1" min="14" max="14" width="22.63"/>
    <col customWidth="1" min="15" max="16" width="25.88"/>
    <col customWidth="1" min="17" max="17" width="23.25"/>
    <col customWidth="1" min="18" max="18" width="33.13"/>
    <col customWidth="1" min="19" max="19" width="31.13"/>
    <col customWidth="1" min="20" max="21" width="28.0"/>
    <col customWidth="1" min="22" max="22" width="44.38"/>
    <col customWidth="1" min="23" max="23" width="25.38"/>
    <col customWidth="1" min="24" max="24" width="22.5"/>
  </cols>
  <sheetData>
    <row r="1">
      <c r="A1" s="144" t="s">
        <v>1323</v>
      </c>
      <c r="B1" s="37" t="s">
        <v>1324</v>
      </c>
      <c r="C1" s="145" t="s">
        <v>206</v>
      </c>
      <c r="D1" s="37" t="s">
        <v>1325</v>
      </c>
      <c r="E1" s="146" t="s">
        <v>1326</v>
      </c>
      <c r="J1" s="147" t="s">
        <v>1327</v>
      </c>
      <c r="P1" s="148" t="s">
        <v>215</v>
      </c>
      <c r="Z1" s="149"/>
      <c r="AA1" s="149"/>
      <c r="AB1" s="149"/>
    </row>
    <row r="2">
      <c r="B2" s="49"/>
      <c r="C2" s="49"/>
      <c r="D2" s="49"/>
      <c r="E2" s="150" t="s">
        <v>1328</v>
      </c>
      <c r="F2" s="150" t="s">
        <v>1329</v>
      </c>
      <c r="G2" s="150" t="s">
        <v>1330</v>
      </c>
      <c r="H2" s="150" t="s">
        <v>1331</v>
      </c>
      <c r="I2" s="150" t="s">
        <v>1332</v>
      </c>
      <c r="J2" s="151" t="s">
        <v>212</v>
      </c>
      <c r="K2" s="151" t="s">
        <v>1333</v>
      </c>
      <c r="L2" s="151" t="s">
        <v>1334</v>
      </c>
      <c r="M2" s="151" t="s">
        <v>1335</v>
      </c>
      <c r="N2" s="152" t="s">
        <v>1336</v>
      </c>
      <c r="O2" s="151" t="s">
        <v>1337</v>
      </c>
      <c r="P2" s="153" t="s">
        <v>226</v>
      </c>
      <c r="Q2" s="153" t="s">
        <v>227</v>
      </c>
      <c r="R2" s="153" t="s">
        <v>228</v>
      </c>
      <c r="S2" s="153" t="s">
        <v>229</v>
      </c>
      <c r="T2" s="154" t="s">
        <v>235</v>
      </c>
      <c r="U2" s="153" t="s">
        <v>236</v>
      </c>
      <c r="V2" s="153" t="s">
        <v>231</v>
      </c>
      <c r="W2" s="153" t="s">
        <v>1338</v>
      </c>
      <c r="X2" s="155" t="s">
        <v>1339</v>
      </c>
      <c r="Y2" s="156" t="s">
        <v>1340</v>
      </c>
      <c r="Z2" s="157" t="s">
        <v>1341</v>
      </c>
      <c r="AA2" s="158" t="s">
        <v>1342</v>
      </c>
      <c r="AB2" s="159"/>
    </row>
    <row r="3">
      <c r="A3" s="160" t="s">
        <v>1343</v>
      </c>
      <c r="B3" s="161" t="s">
        <v>21</v>
      </c>
      <c r="C3" s="162" t="s">
        <v>1344</v>
      </c>
      <c r="D3" s="163" t="s">
        <v>1345</v>
      </c>
      <c r="E3" s="164" t="s">
        <v>1346</v>
      </c>
      <c r="F3" s="165" t="s">
        <v>1347</v>
      </c>
      <c r="G3" s="166" t="s">
        <v>1348</v>
      </c>
      <c r="H3" s="166" t="s">
        <v>1349</v>
      </c>
      <c r="I3" s="166" t="s">
        <v>1350</v>
      </c>
      <c r="J3" s="167" t="s">
        <v>246</v>
      </c>
      <c r="K3" s="167" t="s">
        <v>1351</v>
      </c>
      <c r="L3" s="167" t="s">
        <v>1352</v>
      </c>
      <c r="M3" s="167" t="s">
        <v>1324</v>
      </c>
      <c r="N3" s="167" t="s">
        <v>1353</v>
      </c>
      <c r="O3" s="167" t="s">
        <v>1354</v>
      </c>
      <c r="P3" s="168" t="s">
        <v>258</v>
      </c>
      <c r="Q3" s="169" t="s">
        <v>1355</v>
      </c>
      <c r="R3" s="169" t="s">
        <v>1356</v>
      </c>
      <c r="S3" s="169" t="s">
        <v>1357</v>
      </c>
      <c r="T3" s="168" t="s">
        <v>258</v>
      </c>
      <c r="U3" s="168" t="s">
        <v>1358</v>
      </c>
      <c r="V3" s="168" t="s">
        <v>1359</v>
      </c>
      <c r="W3" s="168" t="s">
        <v>1360</v>
      </c>
      <c r="X3" s="168" t="s">
        <v>1361</v>
      </c>
      <c r="Y3" s="168" t="s">
        <v>258</v>
      </c>
      <c r="Z3" s="170" t="s">
        <v>1362</v>
      </c>
      <c r="AA3" s="171" t="s">
        <v>1363</v>
      </c>
      <c r="AB3" s="170"/>
    </row>
    <row r="4">
      <c r="A4" s="160" t="s">
        <v>1364</v>
      </c>
      <c r="B4" s="161" t="s">
        <v>1365</v>
      </c>
      <c r="C4" s="162" t="s">
        <v>1366</v>
      </c>
      <c r="D4" s="163" t="s">
        <v>1367</v>
      </c>
      <c r="E4" s="164" t="s">
        <v>1346</v>
      </c>
      <c r="F4" s="165" t="s">
        <v>1347</v>
      </c>
      <c r="G4" s="166" t="s">
        <v>1368</v>
      </c>
      <c r="H4" s="166" t="s">
        <v>1369</v>
      </c>
      <c r="I4" s="166" t="s">
        <v>1370</v>
      </c>
      <c r="J4" s="167" t="s">
        <v>246</v>
      </c>
      <c r="K4" s="167" t="s">
        <v>1351</v>
      </c>
      <c r="L4" s="167" t="s">
        <v>1352</v>
      </c>
      <c r="M4" s="167" t="s">
        <v>1371</v>
      </c>
      <c r="N4" s="167" t="s">
        <v>1372</v>
      </c>
      <c r="O4" s="167" t="s">
        <v>1354</v>
      </c>
      <c r="P4" s="168" t="s">
        <v>258</v>
      </c>
      <c r="Q4" s="172" t="s">
        <v>1373</v>
      </c>
      <c r="R4" s="173" t="s">
        <v>1374</v>
      </c>
      <c r="S4" s="173" t="s">
        <v>1375</v>
      </c>
      <c r="T4" s="168" t="s">
        <v>258</v>
      </c>
      <c r="U4" s="168" t="s">
        <v>1376</v>
      </c>
      <c r="V4" s="174" t="s">
        <v>1377</v>
      </c>
      <c r="W4" s="175" t="s">
        <v>1378</v>
      </c>
      <c r="X4" s="176" t="s">
        <v>1361</v>
      </c>
      <c r="Y4" s="177" t="s">
        <v>258</v>
      </c>
      <c r="Z4" s="178" t="s">
        <v>1379</v>
      </c>
      <c r="AA4" s="171" t="s">
        <v>1380</v>
      </c>
      <c r="AB4" s="178"/>
    </row>
    <row r="5">
      <c r="A5" s="160" t="s">
        <v>1381</v>
      </c>
      <c r="B5" s="161" t="s">
        <v>1382</v>
      </c>
      <c r="C5" s="162" t="s">
        <v>1383</v>
      </c>
      <c r="D5" s="163" t="s">
        <v>1384</v>
      </c>
      <c r="E5" s="164" t="s">
        <v>1346</v>
      </c>
      <c r="F5" s="165" t="s">
        <v>1347</v>
      </c>
      <c r="G5" s="166" t="s">
        <v>1385</v>
      </c>
      <c r="H5" s="166" t="s">
        <v>1386</v>
      </c>
      <c r="I5" s="166" t="s">
        <v>1387</v>
      </c>
      <c r="J5" s="167" t="s">
        <v>246</v>
      </c>
      <c r="K5" s="167" t="s">
        <v>1351</v>
      </c>
      <c r="L5" s="167" t="s">
        <v>1352</v>
      </c>
      <c r="M5" s="167" t="s">
        <v>1324</v>
      </c>
      <c r="N5" s="167" t="s">
        <v>1388</v>
      </c>
      <c r="O5" s="167" t="s">
        <v>1354</v>
      </c>
      <c r="P5" s="168" t="s">
        <v>258</v>
      </c>
      <c r="Q5" s="172" t="s">
        <v>1389</v>
      </c>
      <c r="R5" s="173" t="s">
        <v>1390</v>
      </c>
      <c r="S5" s="173" t="s">
        <v>1391</v>
      </c>
      <c r="T5" s="168" t="s">
        <v>258</v>
      </c>
      <c r="U5" s="168" t="s">
        <v>1392</v>
      </c>
      <c r="V5" s="174" t="s">
        <v>1393</v>
      </c>
      <c r="W5" s="175" t="s">
        <v>258</v>
      </c>
      <c r="X5" s="179" t="s">
        <v>258</v>
      </c>
      <c r="Y5" s="177" t="s">
        <v>258</v>
      </c>
      <c r="Z5" s="178" t="s">
        <v>1394</v>
      </c>
      <c r="AA5" s="171" t="s">
        <v>1395</v>
      </c>
      <c r="AB5" s="178"/>
    </row>
    <row r="6">
      <c r="A6" s="160" t="s">
        <v>1396</v>
      </c>
      <c r="B6" s="161" t="s">
        <v>1397</v>
      </c>
      <c r="C6" s="162" t="s">
        <v>1398</v>
      </c>
      <c r="D6" s="163" t="s">
        <v>1399</v>
      </c>
      <c r="E6" s="164" t="s">
        <v>1346</v>
      </c>
      <c r="F6" s="165" t="s">
        <v>1347</v>
      </c>
      <c r="G6" s="166" t="s">
        <v>1400</v>
      </c>
      <c r="H6" s="166" t="s">
        <v>1401</v>
      </c>
      <c r="I6" s="166" t="s">
        <v>1402</v>
      </c>
      <c r="J6" s="167" t="s">
        <v>246</v>
      </c>
      <c r="K6" s="167" t="s">
        <v>1351</v>
      </c>
      <c r="L6" s="167" t="s">
        <v>1352</v>
      </c>
      <c r="M6" s="167" t="s">
        <v>1371</v>
      </c>
      <c r="N6" s="167" t="s">
        <v>1403</v>
      </c>
      <c r="O6" s="167" t="s">
        <v>1354</v>
      </c>
      <c r="P6" s="168" t="s">
        <v>258</v>
      </c>
      <c r="Q6" s="172" t="s">
        <v>1404</v>
      </c>
      <c r="R6" s="173" t="s">
        <v>1405</v>
      </c>
      <c r="S6" s="173" t="s">
        <v>1406</v>
      </c>
      <c r="T6" s="168" t="s">
        <v>258</v>
      </c>
      <c r="U6" s="168" t="s">
        <v>1392</v>
      </c>
      <c r="V6" s="174" t="s">
        <v>1407</v>
      </c>
      <c r="W6" s="175" t="s">
        <v>258</v>
      </c>
      <c r="X6" s="179" t="s">
        <v>258</v>
      </c>
      <c r="Y6" s="177" t="s">
        <v>258</v>
      </c>
      <c r="Z6" s="178" t="s">
        <v>1408</v>
      </c>
      <c r="AA6" s="171" t="s">
        <v>1395</v>
      </c>
      <c r="AB6" s="178"/>
    </row>
    <row r="7">
      <c r="A7" s="160" t="s">
        <v>1409</v>
      </c>
      <c r="B7" s="161" t="s">
        <v>1410</v>
      </c>
      <c r="C7" s="162" t="s">
        <v>1411</v>
      </c>
      <c r="D7" s="163" t="s">
        <v>1412</v>
      </c>
      <c r="E7" s="164" t="s">
        <v>1413</v>
      </c>
      <c r="F7" s="165" t="s">
        <v>1347</v>
      </c>
      <c r="G7" s="166" t="s">
        <v>1414</v>
      </c>
      <c r="H7" s="166" t="s">
        <v>1415</v>
      </c>
      <c r="I7" s="166" t="s">
        <v>1416</v>
      </c>
      <c r="J7" s="167" t="s">
        <v>246</v>
      </c>
      <c r="K7" s="167" t="s">
        <v>1351</v>
      </c>
      <c r="L7" s="167" t="s">
        <v>1417</v>
      </c>
      <c r="M7" s="167" t="s">
        <v>1371</v>
      </c>
      <c r="N7" s="167" t="s">
        <v>1418</v>
      </c>
      <c r="O7" s="167" t="s">
        <v>1354</v>
      </c>
      <c r="P7" s="172" t="s">
        <v>1419</v>
      </c>
      <c r="Q7" s="172" t="s">
        <v>1420</v>
      </c>
      <c r="R7" s="173" t="s">
        <v>1421</v>
      </c>
      <c r="S7" s="173" t="s">
        <v>1422</v>
      </c>
      <c r="T7" s="168" t="s">
        <v>258</v>
      </c>
      <c r="U7" s="168" t="s">
        <v>405</v>
      </c>
      <c r="V7" s="174" t="s">
        <v>1423</v>
      </c>
      <c r="W7" s="175" t="s">
        <v>1424</v>
      </c>
      <c r="X7" s="176" t="s">
        <v>1425</v>
      </c>
      <c r="Y7" s="180" t="s">
        <v>1426</v>
      </c>
      <c r="Z7" s="170" t="s">
        <v>1427</v>
      </c>
      <c r="AA7" s="171" t="s">
        <v>1428</v>
      </c>
      <c r="AB7" s="170"/>
    </row>
    <row r="8">
      <c r="A8" s="118" t="s">
        <v>265</v>
      </c>
      <c r="B8" s="181" t="s">
        <v>1429</v>
      </c>
      <c r="C8" s="181" t="s">
        <v>1430</v>
      </c>
      <c r="D8" s="182" t="s">
        <v>1431</v>
      </c>
      <c r="E8" s="164" t="s">
        <v>1413</v>
      </c>
      <c r="F8" s="165" t="s">
        <v>1347</v>
      </c>
      <c r="G8" s="166" t="s">
        <v>1432</v>
      </c>
      <c r="H8" s="166" t="s">
        <v>1433</v>
      </c>
      <c r="I8" s="166" t="s">
        <v>1434</v>
      </c>
      <c r="J8" s="167" t="s">
        <v>246</v>
      </c>
      <c r="K8" s="167" t="s">
        <v>1435</v>
      </c>
      <c r="L8" s="167" t="s">
        <v>1436</v>
      </c>
      <c r="M8" s="167" t="s">
        <v>1371</v>
      </c>
      <c r="N8" s="167" t="s">
        <v>1437</v>
      </c>
      <c r="O8" s="167" t="s">
        <v>1438</v>
      </c>
      <c r="P8" s="183" t="s">
        <v>1354</v>
      </c>
      <c r="Q8" s="172" t="s">
        <v>258</v>
      </c>
      <c r="R8" s="173" t="s">
        <v>1439</v>
      </c>
      <c r="S8" s="173" t="s">
        <v>1440</v>
      </c>
      <c r="T8" s="169" t="s">
        <v>1441</v>
      </c>
      <c r="U8" s="168" t="s">
        <v>275</v>
      </c>
      <c r="V8" s="174" t="s">
        <v>276</v>
      </c>
      <c r="W8" s="175" t="s">
        <v>1442</v>
      </c>
      <c r="X8" s="176" t="s">
        <v>258</v>
      </c>
      <c r="Y8" s="184" t="s">
        <v>1443</v>
      </c>
      <c r="Z8" s="170" t="s">
        <v>258</v>
      </c>
      <c r="AA8" s="185" t="s">
        <v>258</v>
      </c>
      <c r="AB8" s="170"/>
    </row>
    <row r="9">
      <c r="A9" s="160" t="s">
        <v>1444</v>
      </c>
      <c r="B9" s="161" t="s">
        <v>1445</v>
      </c>
      <c r="C9" s="162" t="s">
        <v>1446</v>
      </c>
      <c r="D9" s="163" t="s">
        <v>1447</v>
      </c>
      <c r="E9" s="164" t="s">
        <v>1413</v>
      </c>
      <c r="F9" s="165" t="s">
        <v>1347</v>
      </c>
      <c r="G9" s="166" t="s">
        <v>1448</v>
      </c>
      <c r="H9" s="166" t="s">
        <v>1449</v>
      </c>
      <c r="I9" s="166" t="s">
        <v>1450</v>
      </c>
      <c r="J9" s="167" t="s">
        <v>246</v>
      </c>
      <c r="K9" s="167" t="s">
        <v>1435</v>
      </c>
      <c r="L9" s="167" t="s">
        <v>1451</v>
      </c>
      <c r="M9" s="167" t="s">
        <v>1371</v>
      </c>
      <c r="N9" s="167" t="s">
        <v>1452</v>
      </c>
      <c r="O9" s="167" t="s">
        <v>1354</v>
      </c>
      <c r="P9" s="186" t="s">
        <v>1453</v>
      </c>
      <c r="Q9" s="168" t="s">
        <v>258</v>
      </c>
      <c r="R9" s="173" t="s">
        <v>1454</v>
      </c>
      <c r="S9" s="187" t="s">
        <v>258</v>
      </c>
      <c r="T9" s="187" t="s">
        <v>1455</v>
      </c>
      <c r="U9" s="168" t="s">
        <v>258</v>
      </c>
      <c r="V9" s="174" t="s">
        <v>1456</v>
      </c>
      <c r="W9" s="175" t="s">
        <v>1457</v>
      </c>
      <c r="X9" s="176" t="s">
        <v>1458</v>
      </c>
      <c r="Y9" s="188"/>
      <c r="Z9" s="178" t="s">
        <v>1459</v>
      </c>
      <c r="AA9" s="185" t="s">
        <v>258</v>
      </c>
      <c r="AB9" s="178"/>
    </row>
    <row r="10">
      <c r="A10" s="160" t="s">
        <v>1460</v>
      </c>
      <c r="B10" s="161" t="s">
        <v>1461</v>
      </c>
      <c r="C10" s="189" t="s">
        <v>1462</v>
      </c>
      <c r="D10" s="163" t="s">
        <v>1463</v>
      </c>
      <c r="E10" s="164" t="s">
        <v>1346</v>
      </c>
      <c r="F10" s="165" t="s">
        <v>1347</v>
      </c>
      <c r="G10" s="166" t="s">
        <v>1464</v>
      </c>
      <c r="H10" s="166" t="s">
        <v>1465</v>
      </c>
      <c r="I10" s="166" t="s">
        <v>1466</v>
      </c>
      <c r="J10" s="167" t="s">
        <v>246</v>
      </c>
      <c r="K10" s="167" t="s">
        <v>1467</v>
      </c>
      <c r="L10" s="167" t="s">
        <v>1468</v>
      </c>
      <c r="M10" s="167" t="s">
        <v>1324</v>
      </c>
      <c r="N10" s="167" t="s">
        <v>1469</v>
      </c>
      <c r="O10" s="167" t="s">
        <v>1354</v>
      </c>
      <c r="P10" s="172" t="s">
        <v>1470</v>
      </c>
      <c r="Q10" s="172" t="s">
        <v>1471</v>
      </c>
      <c r="R10" s="173" t="s">
        <v>1472</v>
      </c>
      <c r="S10" s="173" t="s">
        <v>1473</v>
      </c>
      <c r="T10" s="168" t="s">
        <v>258</v>
      </c>
      <c r="U10" s="168" t="s">
        <v>1474</v>
      </c>
      <c r="V10" s="174" t="s">
        <v>1475</v>
      </c>
      <c r="W10" s="175" t="s">
        <v>258</v>
      </c>
      <c r="X10" s="176" t="s">
        <v>1476</v>
      </c>
      <c r="Y10" s="180" t="s">
        <v>1477</v>
      </c>
      <c r="Z10" s="170" t="s">
        <v>1478</v>
      </c>
      <c r="AA10" s="171" t="s">
        <v>1479</v>
      </c>
      <c r="AB10" s="170"/>
    </row>
    <row r="11">
      <c r="A11" s="160" t="s">
        <v>1480</v>
      </c>
      <c r="B11" s="161" t="s">
        <v>1481</v>
      </c>
      <c r="C11" s="162" t="s">
        <v>1482</v>
      </c>
      <c r="D11" s="163" t="s">
        <v>1483</v>
      </c>
      <c r="E11" s="164" t="s">
        <v>1484</v>
      </c>
      <c r="F11" s="165" t="s">
        <v>1485</v>
      </c>
      <c r="G11" s="166" t="s">
        <v>1486</v>
      </c>
      <c r="H11" s="166" t="s">
        <v>1487</v>
      </c>
      <c r="I11" s="166" t="s">
        <v>1488</v>
      </c>
      <c r="J11" s="167" t="s">
        <v>246</v>
      </c>
      <c r="K11" s="167" t="s">
        <v>1467</v>
      </c>
      <c r="L11" s="167" t="s">
        <v>1489</v>
      </c>
      <c r="M11" s="167" t="s">
        <v>1324</v>
      </c>
      <c r="N11" s="167" t="s">
        <v>1490</v>
      </c>
      <c r="O11" s="167" t="s">
        <v>1354</v>
      </c>
      <c r="P11" s="172" t="s">
        <v>1491</v>
      </c>
      <c r="Q11" s="172" t="s">
        <v>1492</v>
      </c>
      <c r="R11" s="173" t="s">
        <v>1493</v>
      </c>
      <c r="S11" s="173" t="s">
        <v>1494</v>
      </c>
      <c r="T11" s="168" t="s">
        <v>258</v>
      </c>
      <c r="U11" s="168" t="s">
        <v>1474</v>
      </c>
      <c r="V11" s="174" t="s">
        <v>1495</v>
      </c>
      <c r="W11" s="175" t="s">
        <v>1496</v>
      </c>
      <c r="X11" s="176" t="s">
        <v>1497</v>
      </c>
      <c r="Y11" s="180" t="s">
        <v>1498</v>
      </c>
      <c r="Z11" s="170" t="s">
        <v>1499</v>
      </c>
      <c r="AA11" s="185" t="s">
        <v>258</v>
      </c>
      <c r="AB11" s="170"/>
    </row>
    <row r="12">
      <c r="A12" s="160" t="s">
        <v>310</v>
      </c>
      <c r="B12" s="161" t="s">
        <v>1500</v>
      </c>
      <c r="C12" s="162" t="s">
        <v>1501</v>
      </c>
      <c r="D12" s="163" t="s">
        <v>1502</v>
      </c>
      <c r="E12" s="164" t="s">
        <v>1413</v>
      </c>
      <c r="F12" s="165" t="s">
        <v>1347</v>
      </c>
      <c r="G12" s="166" t="s">
        <v>1503</v>
      </c>
      <c r="H12" s="166" t="s">
        <v>1504</v>
      </c>
      <c r="I12" s="166" t="s">
        <v>1505</v>
      </c>
      <c r="J12" s="167" t="s">
        <v>246</v>
      </c>
      <c r="K12" s="167" t="s">
        <v>1435</v>
      </c>
      <c r="L12" s="167" t="s">
        <v>1506</v>
      </c>
      <c r="M12" s="167" t="s">
        <v>1371</v>
      </c>
      <c r="N12" s="167" t="s">
        <v>1490</v>
      </c>
      <c r="O12" s="167" t="s">
        <v>1354</v>
      </c>
      <c r="P12" s="168" t="s">
        <v>258</v>
      </c>
      <c r="Q12" s="172" t="s">
        <v>1507</v>
      </c>
      <c r="R12" s="173" t="s">
        <v>1508</v>
      </c>
      <c r="S12" s="187" t="s">
        <v>258</v>
      </c>
      <c r="T12" s="168" t="s">
        <v>320</v>
      </c>
      <c r="U12" s="168" t="s">
        <v>258</v>
      </c>
      <c r="V12" s="174" t="s">
        <v>1509</v>
      </c>
      <c r="W12" s="175" t="s">
        <v>1510</v>
      </c>
      <c r="X12" s="176" t="s">
        <v>1511</v>
      </c>
      <c r="Y12" s="177" t="s">
        <v>258</v>
      </c>
      <c r="Z12" s="178" t="s">
        <v>1512</v>
      </c>
      <c r="AA12" s="185" t="s">
        <v>258</v>
      </c>
      <c r="AB12" s="178"/>
    </row>
    <row r="13">
      <c r="A13" s="160" t="s">
        <v>1513</v>
      </c>
      <c r="B13" s="161" t="s">
        <v>1514</v>
      </c>
      <c r="C13" s="162" t="s">
        <v>1515</v>
      </c>
      <c r="D13" s="163" t="s">
        <v>1516</v>
      </c>
      <c r="E13" s="164" t="s">
        <v>1484</v>
      </c>
      <c r="F13" s="165" t="s">
        <v>1485</v>
      </c>
      <c r="G13" s="166" t="s">
        <v>1517</v>
      </c>
      <c r="H13" s="166" t="s">
        <v>1518</v>
      </c>
      <c r="I13" s="166" t="s">
        <v>1519</v>
      </c>
      <c r="J13" s="167" t="s">
        <v>246</v>
      </c>
      <c r="K13" s="167" t="s">
        <v>1435</v>
      </c>
      <c r="L13" s="167" t="s">
        <v>1506</v>
      </c>
      <c r="M13" s="167" t="s">
        <v>1371</v>
      </c>
      <c r="N13" s="190" t="s">
        <v>1520</v>
      </c>
      <c r="O13" s="167" t="s">
        <v>1354</v>
      </c>
      <c r="P13" s="168" t="s">
        <v>258</v>
      </c>
      <c r="Q13" s="168" t="s">
        <v>258</v>
      </c>
      <c r="R13" s="173" t="s">
        <v>1521</v>
      </c>
      <c r="S13" s="187" t="s">
        <v>258</v>
      </c>
      <c r="T13" s="168" t="s">
        <v>331</v>
      </c>
      <c r="U13" s="168" t="s">
        <v>258</v>
      </c>
      <c r="V13" s="174" t="s">
        <v>1522</v>
      </c>
      <c r="W13" s="175" t="s">
        <v>1523</v>
      </c>
      <c r="X13" s="176" t="s">
        <v>1524</v>
      </c>
      <c r="Y13" s="177" t="s">
        <v>258</v>
      </c>
      <c r="Z13" s="178" t="s">
        <v>1525</v>
      </c>
      <c r="AA13" s="185" t="s">
        <v>258</v>
      </c>
      <c r="AB13" s="178"/>
    </row>
    <row r="14">
      <c r="A14" s="160" t="s">
        <v>1526</v>
      </c>
      <c r="B14" s="161" t="s">
        <v>1527</v>
      </c>
      <c r="C14" s="162" t="s">
        <v>1528</v>
      </c>
      <c r="D14" s="163" t="s">
        <v>1529</v>
      </c>
      <c r="E14" s="164" t="s">
        <v>1413</v>
      </c>
      <c r="F14" s="165" t="s">
        <v>1347</v>
      </c>
      <c r="G14" s="166" t="s">
        <v>1530</v>
      </c>
      <c r="H14" s="166" t="s">
        <v>1531</v>
      </c>
      <c r="I14" s="166" t="s">
        <v>1532</v>
      </c>
      <c r="J14" s="167" t="s">
        <v>246</v>
      </c>
      <c r="K14" s="167" t="s">
        <v>1435</v>
      </c>
      <c r="L14" s="167" t="s">
        <v>1533</v>
      </c>
      <c r="M14" s="167" t="s">
        <v>1534</v>
      </c>
      <c r="N14" s="167" t="s">
        <v>1490</v>
      </c>
      <c r="O14" s="167" t="s">
        <v>1354</v>
      </c>
      <c r="P14" s="168" t="s">
        <v>258</v>
      </c>
      <c r="Q14" s="168" t="s">
        <v>258</v>
      </c>
      <c r="R14" s="187" t="s">
        <v>1535</v>
      </c>
      <c r="S14" s="187" t="s">
        <v>258</v>
      </c>
      <c r="T14" s="168" t="s">
        <v>1536</v>
      </c>
      <c r="U14" s="168" t="s">
        <v>360</v>
      </c>
      <c r="V14" s="174" t="s">
        <v>1537</v>
      </c>
      <c r="W14" s="175" t="s">
        <v>1538</v>
      </c>
      <c r="X14" s="176" t="s">
        <v>1539</v>
      </c>
      <c r="Y14" s="177" t="s">
        <v>258</v>
      </c>
      <c r="Z14" s="178" t="s">
        <v>1540</v>
      </c>
      <c r="AA14" s="171" t="s">
        <v>1541</v>
      </c>
      <c r="AB14" s="178"/>
    </row>
    <row r="15">
      <c r="A15" s="160" t="s">
        <v>1542</v>
      </c>
      <c r="B15" s="161" t="s">
        <v>1543</v>
      </c>
      <c r="C15" s="162" t="s">
        <v>1544</v>
      </c>
      <c r="D15" s="163" t="s">
        <v>1545</v>
      </c>
      <c r="E15" s="164" t="s">
        <v>1413</v>
      </c>
      <c r="F15" s="165" t="s">
        <v>1347</v>
      </c>
      <c r="G15" s="166" t="s">
        <v>1546</v>
      </c>
      <c r="H15" s="166" t="s">
        <v>1547</v>
      </c>
      <c r="I15" s="166" t="s">
        <v>1548</v>
      </c>
      <c r="J15" s="167" t="s">
        <v>246</v>
      </c>
      <c r="K15" s="167" t="s">
        <v>1435</v>
      </c>
      <c r="L15" s="167" t="s">
        <v>1549</v>
      </c>
      <c r="M15" s="167" t="s">
        <v>1534</v>
      </c>
      <c r="N15" s="167" t="s">
        <v>1490</v>
      </c>
      <c r="O15" s="167" t="s">
        <v>1354</v>
      </c>
      <c r="P15" s="168" t="s">
        <v>258</v>
      </c>
      <c r="Q15" s="168" t="s">
        <v>258</v>
      </c>
      <c r="R15" s="173" t="s">
        <v>1550</v>
      </c>
      <c r="S15" s="173" t="s">
        <v>1551</v>
      </c>
      <c r="T15" s="168" t="s">
        <v>1552</v>
      </c>
      <c r="U15" s="168" t="s">
        <v>258</v>
      </c>
      <c r="V15" s="174" t="s">
        <v>1553</v>
      </c>
      <c r="W15" s="175" t="s">
        <v>258</v>
      </c>
      <c r="X15" s="176" t="s">
        <v>1554</v>
      </c>
      <c r="Y15" s="177" t="s">
        <v>258</v>
      </c>
      <c r="Z15" s="178" t="s">
        <v>1555</v>
      </c>
      <c r="AA15" s="185" t="s">
        <v>258</v>
      </c>
      <c r="AB15" s="178"/>
    </row>
    <row r="16">
      <c r="A16" s="160" t="s">
        <v>1556</v>
      </c>
      <c r="B16" s="161" t="s">
        <v>1557</v>
      </c>
      <c r="C16" s="162" t="s">
        <v>1558</v>
      </c>
      <c r="D16" s="163" t="s">
        <v>1559</v>
      </c>
      <c r="E16" s="164" t="s">
        <v>1413</v>
      </c>
      <c r="F16" s="165" t="s">
        <v>1347</v>
      </c>
      <c r="G16" s="166" t="s">
        <v>1560</v>
      </c>
      <c r="H16" s="166" t="s">
        <v>1561</v>
      </c>
      <c r="I16" s="166" t="s">
        <v>1562</v>
      </c>
      <c r="J16" s="167" t="s">
        <v>246</v>
      </c>
      <c r="K16" s="167" t="s">
        <v>1435</v>
      </c>
      <c r="L16" s="167" t="s">
        <v>1563</v>
      </c>
      <c r="M16" s="167" t="s">
        <v>1324</v>
      </c>
      <c r="N16" s="167" t="s">
        <v>1564</v>
      </c>
      <c r="O16" s="167" t="s">
        <v>1354</v>
      </c>
      <c r="P16" s="168" t="s">
        <v>258</v>
      </c>
      <c r="Q16" s="168" t="s">
        <v>258</v>
      </c>
      <c r="R16" s="173" t="s">
        <v>1565</v>
      </c>
      <c r="S16" s="173" t="s">
        <v>1566</v>
      </c>
      <c r="T16" s="168" t="s">
        <v>1567</v>
      </c>
      <c r="U16" s="168" t="s">
        <v>1568</v>
      </c>
      <c r="V16" s="174" t="s">
        <v>1569</v>
      </c>
      <c r="W16" s="175" t="s">
        <v>1570</v>
      </c>
      <c r="X16" s="176" t="s">
        <v>1571</v>
      </c>
      <c r="Y16" s="180" t="s">
        <v>1572</v>
      </c>
      <c r="Z16" s="170" t="s">
        <v>1573</v>
      </c>
      <c r="AA16" s="185" t="s">
        <v>258</v>
      </c>
      <c r="AB16" s="170"/>
    </row>
    <row r="17">
      <c r="A17" s="160" t="s">
        <v>1574</v>
      </c>
      <c r="B17" s="161" t="s">
        <v>1575</v>
      </c>
      <c r="C17" s="162" t="s">
        <v>406</v>
      </c>
      <c r="D17" s="163" t="s">
        <v>1576</v>
      </c>
      <c r="E17" s="164" t="s">
        <v>1413</v>
      </c>
      <c r="F17" s="165" t="s">
        <v>1577</v>
      </c>
      <c r="G17" s="166" t="s">
        <v>1578</v>
      </c>
      <c r="H17" s="166" t="s">
        <v>1579</v>
      </c>
      <c r="I17" s="166" t="s">
        <v>1580</v>
      </c>
      <c r="J17" s="167" t="s">
        <v>246</v>
      </c>
      <c r="K17" s="167" t="s">
        <v>1435</v>
      </c>
      <c r="L17" s="167" t="s">
        <v>1581</v>
      </c>
      <c r="M17" s="167" t="s">
        <v>1534</v>
      </c>
      <c r="N17" s="167" t="s">
        <v>1437</v>
      </c>
      <c r="O17" s="167" t="s">
        <v>1582</v>
      </c>
      <c r="P17" s="172" t="s">
        <v>1583</v>
      </c>
      <c r="Q17" s="168" t="s">
        <v>258</v>
      </c>
      <c r="R17" s="173" t="s">
        <v>1584</v>
      </c>
      <c r="S17" s="173" t="s">
        <v>1585</v>
      </c>
      <c r="T17" s="168" t="s">
        <v>1455</v>
      </c>
      <c r="U17" s="168" t="s">
        <v>258</v>
      </c>
      <c r="V17" s="174" t="s">
        <v>1586</v>
      </c>
      <c r="W17" s="175" t="s">
        <v>1457</v>
      </c>
      <c r="X17" s="176" t="s">
        <v>1587</v>
      </c>
      <c r="Y17" s="177" t="s">
        <v>258</v>
      </c>
      <c r="Z17" s="178" t="s">
        <v>1588</v>
      </c>
      <c r="AA17" s="185" t="s">
        <v>258</v>
      </c>
      <c r="AB17" s="178"/>
    </row>
    <row r="18">
      <c r="A18" s="160" t="s">
        <v>1589</v>
      </c>
      <c r="B18" s="161" t="s">
        <v>1590</v>
      </c>
      <c r="C18" s="162" t="s">
        <v>1591</v>
      </c>
      <c r="D18" s="163" t="s">
        <v>1592</v>
      </c>
      <c r="E18" s="164" t="s">
        <v>1413</v>
      </c>
      <c r="F18" s="165" t="s">
        <v>1347</v>
      </c>
      <c r="G18" s="166" t="s">
        <v>1593</v>
      </c>
      <c r="H18" s="166" t="s">
        <v>1594</v>
      </c>
      <c r="I18" s="166" t="s">
        <v>1595</v>
      </c>
      <c r="J18" s="167" t="s">
        <v>246</v>
      </c>
      <c r="K18" s="167" t="s">
        <v>1351</v>
      </c>
      <c r="L18" s="167" t="s">
        <v>1506</v>
      </c>
      <c r="M18" s="167" t="s">
        <v>1534</v>
      </c>
      <c r="N18" s="167" t="s">
        <v>1520</v>
      </c>
      <c r="O18" s="167" t="s">
        <v>1582</v>
      </c>
      <c r="P18" s="168" t="s">
        <v>258</v>
      </c>
      <c r="Q18" s="168" t="s">
        <v>258</v>
      </c>
      <c r="R18" s="187" t="s">
        <v>258</v>
      </c>
      <c r="S18" s="187" t="s">
        <v>258</v>
      </c>
      <c r="T18" s="168" t="s">
        <v>258</v>
      </c>
      <c r="U18" s="168" t="s">
        <v>546</v>
      </c>
      <c r="V18" s="174" t="s">
        <v>1596</v>
      </c>
      <c r="W18" s="175" t="s">
        <v>1597</v>
      </c>
      <c r="X18" s="179" t="s">
        <v>258</v>
      </c>
      <c r="Y18" s="180" t="s">
        <v>1598</v>
      </c>
      <c r="Z18" s="170" t="s">
        <v>1599</v>
      </c>
      <c r="AA18" s="185" t="s">
        <v>258</v>
      </c>
      <c r="AB18" s="170"/>
    </row>
    <row r="19">
      <c r="A19" s="160" t="s">
        <v>1600</v>
      </c>
      <c r="B19" s="161" t="s">
        <v>1601</v>
      </c>
      <c r="C19" s="162" t="s">
        <v>1602</v>
      </c>
      <c r="D19" s="163" t="s">
        <v>1603</v>
      </c>
      <c r="E19" s="164" t="s">
        <v>1346</v>
      </c>
      <c r="F19" s="165" t="s">
        <v>1347</v>
      </c>
      <c r="G19" s="191" t="s">
        <v>1432</v>
      </c>
      <c r="H19" s="191" t="s">
        <v>1433</v>
      </c>
      <c r="I19" s="191" t="s">
        <v>1434</v>
      </c>
      <c r="J19" s="167" t="s">
        <v>246</v>
      </c>
      <c r="K19" s="167" t="s">
        <v>1435</v>
      </c>
      <c r="L19" s="167" t="s">
        <v>1604</v>
      </c>
      <c r="M19" s="167" t="s">
        <v>1324</v>
      </c>
      <c r="N19" s="167" t="s">
        <v>1490</v>
      </c>
      <c r="O19" s="167" t="s">
        <v>1582</v>
      </c>
      <c r="P19" s="168" t="s">
        <v>258</v>
      </c>
      <c r="Q19" s="168" t="s">
        <v>258</v>
      </c>
      <c r="R19" s="168" t="s">
        <v>258</v>
      </c>
      <c r="S19" s="173" t="s">
        <v>1605</v>
      </c>
      <c r="T19" s="168" t="s">
        <v>1606</v>
      </c>
      <c r="U19" s="168" t="s">
        <v>258</v>
      </c>
      <c r="V19" s="192" t="s">
        <v>258</v>
      </c>
      <c r="W19" s="175" t="s">
        <v>1607</v>
      </c>
      <c r="X19" s="176" t="s">
        <v>1608</v>
      </c>
      <c r="Y19" s="180" t="s">
        <v>1609</v>
      </c>
      <c r="Z19" s="170" t="s">
        <v>1610</v>
      </c>
      <c r="AA19" s="185" t="s">
        <v>258</v>
      </c>
      <c r="AB19" s="170"/>
    </row>
    <row r="20">
      <c r="A20" s="160" t="s">
        <v>1611</v>
      </c>
      <c r="B20" s="161" t="s">
        <v>1612</v>
      </c>
      <c r="C20" s="162" t="s">
        <v>496</v>
      </c>
      <c r="D20" s="163" t="s">
        <v>1613</v>
      </c>
      <c r="E20" s="164" t="s">
        <v>1346</v>
      </c>
      <c r="F20" s="165" t="s">
        <v>1347</v>
      </c>
      <c r="G20" s="166" t="s">
        <v>1614</v>
      </c>
      <c r="H20" s="166" t="s">
        <v>1615</v>
      </c>
      <c r="I20" s="166" t="s">
        <v>1616</v>
      </c>
      <c r="J20" s="167" t="s">
        <v>246</v>
      </c>
      <c r="K20" s="167" t="s">
        <v>1435</v>
      </c>
      <c r="L20" s="167" t="s">
        <v>1417</v>
      </c>
      <c r="M20" s="167" t="s">
        <v>1534</v>
      </c>
      <c r="N20" s="167" t="s">
        <v>1520</v>
      </c>
      <c r="O20" s="167" t="s">
        <v>1582</v>
      </c>
      <c r="P20" s="168" t="s">
        <v>258</v>
      </c>
      <c r="Q20" s="168" t="s">
        <v>258</v>
      </c>
      <c r="R20" s="168" t="s">
        <v>258</v>
      </c>
      <c r="S20" s="168" t="s">
        <v>258</v>
      </c>
      <c r="T20" s="168" t="s">
        <v>937</v>
      </c>
      <c r="U20" s="168" t="s">
        <v>258</v>
      </c>
      <c r="V20" s="174" t="s">
        <v>1617</v>
      </c>
      <c r="W20" s="175" t="s">
        <v>1618</v>
      </c>
      <c r="X20" s="176" t="s">
        <v>1619</v>
      </c>
      <c r="Y20" s="177" t="s">
        <v>258</v>
      </c>
      <c r="Z20" s="178" t="s">
        <v>1620</v>
      </c>
      <c r="AA20" s="185" t="s">
        <v>258</v>
      </c>
      <c r="AB20" s="178"/>
    </row>
    <row r="21">
      <c r="A21" s="160" t="s">
        <v>1621</v>
      </c>
      <c r="B21" s="161" t="s">
        <v>1622</v>
      </c>
      <c r="C21" s="162" t="s">
        <v>1623</v>
      </c>
      <c r="D21" s="163" t="s">
        <v>1624</v>
      </c>
      <c r="E21" s="164" t="s">
        <v>1413</v>
      </c>
      <c r="F21" s="165" t="s">
        <v>1485</v>
      </c>
      <c r="G21" s="166" t="s">
        <v>1625</v>
      </c>
      <c r="H21" s="166" t="s">
        <v>1626</v>
      </c>
      <c r="I21" s="166" t="s">
        <v>1627</v>
      </c>
      <c r="J21" s="167" t="s">
        <v>246</v>
      </c>
      <c r="K21" s="167" t="s">
        <v>1628</v>
      </c>
      <c r="L21" s="167" t="s">
        <v>1629</v>
      </c>
      <c r="M21" s="167" t="s">
        <v>1371</v>
      </c>
      <c r="N21" s="167" t="s">
        <v>1490</v>
      </c>
      <c r="O21" s="167" t="s">
        <v>1630</v>
      </c>
      <c r="P21" s="168" t="s">
        <v>258</v>
      </c>
      <c r="Q21" s="168" t="s">
        <v>258</v>
      </c>
      <c r="R21" s="187" t="s">
        <v>258</v>
      </c>
      <c r="S21" s="187" t="s">
        <v>258</v>
      </c>
      <c r="T21" s="187" t="s">
        <v>1631</v>
      </c>
      <c r="U21" s="168" t="s">
        <v>258</v>
      </c>
      <c r="V21" s="174" t="s">
        <v>1632</v>
      </c>
      <c r="W21" s="175" t="s">
        <v>1633</v>
      </c>
      <c r="X21" s="176" t="s">
        <v>1634</v>
      </c>
      <c r="Y21" s="180" t="s">
        <v>1635</v>
      </c>
      <c r="Z21" s="170" t="s">
        <v>1636</v>
      </c>
      <c r="AA21" s="185" t="s">
        <v>258</v>
      </c>
      <c r="AB21" s="170"/>
    </row>
    <row r="22">
      <c r="A22" s="160" t="s">
        <v>1637</v>
      </c>
      <c r="B22" s="161" t="s">
        <v>1638</v>
      </c>
      <c r="C22" s="162" t="s">
        <v>1639</v>
      </c>
      <c r="D22" s="163" t="s">
        <v>1640</v>
      </c>
      <c r="E22" s="164" t="s">
        <v>1413</v>
      </c>
      <c r="F22" s="165" t="s">
        <v>1347</v>
      </c>
      <c r="G22" s="166" t="s">
        <v>1641</v>
      </c>
      <c r="H22" s="166" t="s">
        <v>1642</v>
      </c>
      <c r="I22" s="166" t="s">
        <v>1643</v>
      </c>
      <c r="J22" s="167" t="s">
        <v>246</v>
      </c>
      <c r="K22" s="167" t="s">
        <v>1628</v>
      </c>
      <c r="L22" s="167" t="s">
        <v>1644</v>
      </c>
      <c r="M22" s="167" t="s">
        <v>1371</v>
      </c>
      <c r="N22" s="167" t="s">
        <v>1490</v>
      </c>
      <c r="O22" s="167" t="s">
        <v>1630</v>
      </c>
      <c r="P22" s="168" t="s">
        <v>258</v>
      </c>
      <c r="Q22" s="168" t="s">
        <v>258</v>
      </c>
      <c r="R22" s="187" t="s">
        <v>258</v>
      </c>
      <c r="S22" s="187" t="s">
        <v>258</v>
      </c>
      <c r="T22" s="168" t="s">
        <v>1645</v>
      </c>
      <c r="U22" s="168" t="s">
        <v>258</v>
      </c>
      <c r="V22" s="192" t="s">
        <v>258</v>
      </c>
      <c r="W22" s="175" t="s">
        <v>258</v>
      </c>
      <c r="X22" s="179" t="s">
        <v>258</v>
      </c>
      <c r="Y22" s="177" t="s">
        <v>258</v>
      </c>
      <c r="Z22" s="178" t="s">
        <v>1646</v>
      </c>
      <c r="AA22" s="185" t="s">
        <v>258</v>
      </c>
      <c r="AB22" s="178"/>
    </row>
    <row r="23">
      <c r="A23" s="160" t="s">
        <v>1647</v>
      </c>
      <c r="B23" s="161" t="s">
        <v>1648</v>
      </c>
      <c r="C23" s="162" t="s">
        <v>1649</v>
      </c>
      <c r="D23" s="163" t="s">
        <v>1650</v>
      </c>
      <c r="E23" s="164" t="s">
        <v>1413</v>
      </c>
      <c r="F23" s="165" t="s">
        <v>1347</v>
      </c>
      <c r="G23" s="166" t="s">
        <v>1651</v>
      </c>
      <c r="H23" s="166" t="s">
        <v>1652</v>
      </c>
      <c r="I23" s="193" t="s">
        <v>1434</v>
      </c>
      <c r="J23" s="167" t="s">
        <v>246</v>
      </c>
      <c r="K23" s="167" t="s">
        <v>1653</v>
      </c>
      <c r="L23" s="167" t="s">
        <v>1654</v>
      </c>
      <c r="M23" s="167" t="s">
        <v>1371</v>
      </c>
      <c r="N23" s="167" t="s">
        <v>1437</v>
      </c>
      <c r="O23" s="167" t="s">
        <v>1582</v>
      </c>
      <c r="P23" s="168" t="s">
        <v>258</v>
      </c>
      <c r="Q23" s="168" t="s">
        <v>258</v>
      </c>
      <c r="R23" s="187" t="s">
        <v>258</v>
      </c>
      <c r="S23" s="187" t="s">
        <v>258</v>
      </c>
      <c r="T23" s="194" t="s">
        <v>260</v>
      </c>
      <c r="U23" s="168" t="s">
        <v>258</v>
      </c>
      <c r="V23" s="192" t="s">
        <v>258</v>
      </c>
      <c r="W23" s="175" t="s">
        <v>1655</v>
      </c>
      <c r="X23" s="179" t="s">
        <v>258</v>
      </c>
      <c r="Y23" s="177" t="s">
        <v>258</v>
      </c>
      <c r="Z23" s="178" t="s">
        <v>1656</v>
      </c>
      <c r="AA23" s="171" t="s">
        <v>1657</v>
      </c>
      <c r="AB23" s="178"/>
    </row>
    <row r="24">
      <c r="A24" s="160" t="s">
        <v>1658</v>
      </c>
      <c r="B24" s="161" t="s">
        <v>1659</v>
      </c>
      <c r="C24" s="162" t="s">
        <v>1660</v>
      </c>
      <c r="D24" s="163" t="s">
        <v>1661</v>
      </c>
      <c r="E24" s="164" t="s">
        <v>1413</v>
      </c>
      <c r="F24" s="165" t="s">
        <v>1347</v>
      </c>
      <c r="G24" s="166" t="s">
        <v>1662</v>
      </c>
      <c r="H24" s="166" t="s">
        <v>1663</v>
      </c>
      <c r="I24" s="166" t="s">
        <v>1664</v>
      </c>
      <c r="J24" s="167" t="s">
        <v>246</v>
      </c>
      <c r="K24" s="167" t="s">
        <v>1628</v>
      </c>
      <c r="L24" s="167" t="s">
        <v>1665</v>
      </c>
      <c r="M24" s="167" t="s">
        <v>1534</v>
      </c>
      <c r="N24" s="167" t="s">
        <v>1437</v>
      </c>
      <c r="O24" s="167" t="s">
        <v>1582</v>
      </c>
      <c r="P24" s="168" t="s">
        <v>258</v>
      </c>
      <c r="Q24" s="168" t="s">
        <v>258</v>
      </c>
      <c r="R24" s="173" t="s">
        <v>1666</v>
      </c>
      <c r="S24" s="187" t="s">
        <v>258</v>
      </c>
      <c r="T24" s="168" t="s">
        <v>1667</v>
      </c>
      <c r="U24" s="168" t="s">
        <v>258</v>
      </c>
      <c r="V24" s="174" t="s">
        <v>1668</v>
      </c>
      <c r="W24" s="175" t="s">
        <v>1669</v>
      </c>
      <c r="X24" s="176" t="s">
        <v>1524</v>
      </c>
      <c r="Y24" s="195" t="s">
        <v>1670</v>
      </c>
      <c r="Z24" s="196" t="s">
        <v>1671</v>
      </c>
      <c r="AA24" s="171" t="s">
        <v>1672</v>
      </c>
      <c r="AB24" s="196"/>
    </row>
    <row r="25">
      <c r="A25" s="160" t="s">
        <v>1673</v>
      </c>
      <c r="B25" s="161" t="s">
        <v>1674</v>
      </c>
      <c r="C25" s="162" t="s">
        <v>613</v>
      </c>
      <c r="D25" s="163" t="s">
        <v>1675</v>
      </c>
      <c r="E25" s="164" t="s">
        <v>1413</v>
      </c>
      <c r="F25" s="165" t="s">
        <v>1347</v>
      </c>
      <c r="G25" s="166" t="s">
        <v>1676</v>
      </c>
      <c r="H25" s="166" t="s">
        <v>1677</v>
      </c>
      <c r="I25" s="166" t="s">
        <v>1678</v>
      </c>
      <c r="J25" s="167" t="s">
        <v>246</v>
      </c>
      <c r="K25" s="167" t="s">
        <v>1628</v>
      </c>
      <c r="L25" s="167" t="s">
        <v>1468</v>
      </c>
      <c r="M25" s="167" t="s">
        <v>1371</v>
      </c>
      <c r="N25" s="167" t="s">
        <v>1437</v>
      </c>
      <c r="O25" s="167" t="s">
        <v>1582</v>
      </c>
      <c r="P25" s="168" t="s">
        <v>258</v>
      </c>
      <c r="Q25" s="168" t="s">
        <v>258</v>
      </c>
      <c r="R25" s="187" t="s">
        <v>258</v>
      </c>
      <c r="S25" s="187" t="s">
        <v>258</v>
      </c>
      <c r="T25" s="168" t="s">
        <v>1679</v>
      </c>
      <c r="U25" s="168" t="s">
        <v>258</v>
      </c>
      <c r="V25" s="174" t="s">
        <v>1680</v>
      </c>
      <c r="W25" s="175" t="s">
        <v>1613</v>
      </c>
      <c r="X25" s="176" t="s">
        <v>1681</v>
      </c>
      <c r="Y25" s="177" t="s">
        <v>258</v>
      </c>
      <c r="Z25" s="178" t="s">
        <v>1682</v>
      </c>
      <c r="AA25" s="185" t="s">
        <v>258</v>
      </c>
      <c r="AB25" s="178"/>
    </row>
    <row r="26">
      <c r="A26" s="160" t="s">
        <v>1683</v>
      </c>
      <c r="B26" s="161" t="s">
        <v>1684</v>
      </c>
      <c r="C26" s="162" t="s">
        <v>1685</v>
      </c>
      <c r="D26" s="163" t="s">
        <v>1686</v>
      </c>
      <c r="E26" s="164" t="s">
        <v>1413</v>
      </c>
      <c r="F26" s="165" t="s">
        <v>1347</v>
      </c>
      <c r="G26" s="166" t="s">
        <v>1687</v>
      </c>
      <c r="H26" s="166" t="s">
        <v>1688</v>
      </c>
      <c r="I26" s="166" t="s">
        <v>1689</v>
      </c>
      <c r="J26" s="167" t="s">
        <v>246</v>
      </c>
      <c r="K26" s="167" t="s">
        <v>1351</v>
      </c>
      <c r="L26" s="167" t="s">
        <v>1417</v>
      </c>
      <c r="M26" s="167" t="s">
        <v>1324</v>
      </c>
      <c r="N26" s="167" t="s">
        <v>1520</v>
      </c>
      <c r="O26" s="167" t="s">
        <v>1630</v>
      </c>
      <c r="P26" s="197" t="s">
        <v>1690</v>
      </c>
      <c r="Q26" s="168" t="s">
        <v>258</v>
      </c>
      <c r="R26" s="173" t="s">
        <v>1691</v>
      </c>
      <c r="S26" s="173" t="s">
        <v>1692</v>
      </c>
      <c r="T26" s="168" t="s">
        <v>258</v>
      </c>
      <c r="U26" s="168" t="s">
        <v>546</v>
      </c>
      <c r="V26" s="174" t="s">
        <v>1693</v>
      </c>
      <c r="W26" s="175" t="s">
        <v>1694</v>
      </c>
      <c r="X26" s="176" t="s">
        <v>1695</v>
      </c>
      <c r="Y26" s="177" t="s">
        <v>258</v>
      </c>
      <c r="Z26" s="178" t="s">
        <v>1696</v>
      </c>
      <c r="AA26" s="171" t="s">
        <v>1428</v>
      </c>
      <c r="AB26" s="178"/>
    </row>
    <row r="27">
      <c r="A27" s="160" t="s">
        <v>1697</v>
      </c>
      <c r="B27" s="161" t="s">
        <v>1698</v>
      </c>
      <c r="C27" s="162" t="s">
        <v>1699</v>
      </c>
      <c r="D27" s="163" t="s">
        <v>1700</v>
      </c>
      <c r="E27" s="164" t="s">
        <v>1413</v>
      </c>
      <c r="F27" s="165" t="s">
        <v>1701</v>
      </c>
      <c r="G27" s="166" t="s">
        <v>1702</v>
      </c>
      <c r="H27" s="166" t="s">
        <v>1703</v>
      </c>
      <c r="I27" s="166" t="s">
        <v>1434</v>
      </c>
      <c r="J27" s="167" t="s">
        <v>246</v>
      </c>
      <c r="K27" s="167" t="s">
        <v>1628</v>
      </c>
      <c r="L27" s="167" t="s">
        <v>1704</v>
      </c>
      <c r="M27" s="167" t="s">
        <v>1534</v>
      </c>
      <c r="N27" s="167" t="s">
        <v>1437</v>
      </c>
      <c r="O27" s="167" t="s">
        <v>1630</v>
      </c>
      <c r="P27" s="168" t="s">
        <v>258</v>
      </c>
      <c r="Q27" s="168" t="s">
        <v>258</v>
      </c>
      <c r="R27" s="198" t="s">
        <v>1705</v>
      </c>
      <c r="S27" s="187" t="s">
        <v>258</v>
      </c>
      <c r="T27" s="168" t="s">
        <v>1706</v>
      </c>
      <c r="U27" s="168" t="s">
        <v>258</v>
      </c>
      <c r="V27" s="192" t="s">
        <v>258</v>
      </c>
      <c r="W27" s="175" t="s">
        <v>258</v>
      </c>
      <c r="X27" s="179" t="s">
        <v>258</v>
      </c>
      <c r="Y27" s="177" t="s">
        <v>258</v>
      </c>
      <c r="Z27" s="178" t="s">
        <v>1707</v>
      </c>
      <c r="AA27" s="171" t="s">
        <v>1708</v>
      </c>
      <c r="AB27" s="178"/>
    </row>
    <row r="28">
      <c r="A28" s="160" t="s">
        <v>1709</v>
      </c>
      <c r="B28" s="161" t="s">
        <v>1710</v>
      </c>
      <c r="C28" s="162" t="s">
        <v>827</v>
      </c>
      <c r="D28" s="163" t="s">
        <v>1711</v>
      </c>
      <c r="E28" s="164" t="s">
        <v>1413</v>
      </c>
      <c r="F28" s="165" t="s">
        <v>1701</v>
      </c>
      <c r="G28" s="166" t="s">
        <v>1712</v>
      </c>
      <c r="H28" s="166" t="s">
        <v>1713</v>
      </c>
      <c r="I28" s="199" t="s">
        <v>1714</v>
      </c>
      <c r="J28" s="167" t="s">
        <v>246</v>
      </c>
      <c r="K28" s="167" t="s">
        <v>1628</v>
      </c>
      <c r="L28" s="167" t="s">
        <v>1715</v>
      </c>
      <c r="M28" s="167" t="s">
        <v>1534</v>
      </c>
      <c r="N28" s="167" t="s">
        <v>1437</v>
      </c>
      <c r="O28" s="167" t="s">
        <v>1630</v>
      </c>
      <c r="P28" s="168" t="s">
        <v>258</v>
      </c>
      <c r="Q28" s="168" t="s">
        <v>258</v>
      </c>
      <c r="R28" s="200" t="s">
        <v>1716</v>
      </c>
      <c r="S28" s="187" t="s">
        <v>258</v>
      </c>
      <c r="T28" s="168" t="s">
        <v>1717</v>
      </c>
      <c r="U28" s="168" t="s">
        <v>258</v>
      </c>
      <c r="V28" s="192" t="s">
        <v>258</v>
      </c>
      <c r="W28" s="175" t="s">
        <v>258</v>
      </c>
      <c r="X28" s="179" t="s">
        <v>258</v>
      </c>
      <c r="Y28" s="177" t="s">
        <v>258</v>
      </c>
      <c r="Z28" s="178" t="s">
        <v>1718</v>
      </c>
      <c r="AA28" s="185" t="s">
        <v>258</v>
      </c>
      <c r="AB28" s="178"/>
    </row>
    <row r="29">
      <c r="A29" s="160" t="s">
        <v>1719</v>
      </c>
      <c r="B29" s="161" t="s">
        <v>1720</v>
      </c>
      <c r="C29" s="162" t="s">
        <v>1721</v>
      </c>
      <c r="D29" s="163" t="s">
        <v>1722</v>
      </c>
      <c r="E29" s="164" t="s">
        <v>1413</v>
      </c>
      <c r="F29" s="165" t="s">
        <v>1701</v>
      </c>
      <c r="G29" s="166" t="s">
        <v>1723</v>
      </c>
      <c r="H29" s="166" t="s">
        <v>1724</v>
      </c>
      <c r="I29" s="199" t="s">
        <v>1714</v>
      </c>
      <c r="J29" s="167" t="s">
        <v>246</v>
      </c>
      <c r="K29" s="167" t="s">
        <v>1628</v>
      </c>
      <c r="L29" s="167" t="s">
        <v>1715</v>
      </c>
      <c r="M29" s="167" t="s">
        <v>1534</v>
      </c>
      <c r="N29" s="167" t="s">
        <v>1437</v>
      </c>
      <c r="O29" s="167" t="s">
        <v>1630</v>
      </c>
      <c r="P29" s="168" t="s">
        <v>258</v>
      </c>
      <c r="Q29" s="168" t="s">
        <v>258</v>
      </c>
      <c r="R29" s="187" t="s">
        <v>1535</v>
      </c>
      <c r="S29" s="187" t="s">
        <v>258</v>
      </c>
      <c r="T29" s="168" t="s">
        <v>1717</v>
      </c>
      <c r="U29" s="168" t="s">
        <v>258</v>
      </c>
      <c r="V29" s="192" t="s">
        <v>258</v>
      </c>
      <c r="W29" s="175" t="s">
        <v>1725</v>
      </c>
      <c r="X29" s="179" t="s">
        <v>258</v>
      </c>
      <c r="Y29" s="177" t="s">
        <v>258</v>
      </c>
      <c r="Z29" s="178" t="s">
        <v>1726</v>
      </c>
      <c r="AA29" s="185" t="s">
        <v>258</v>
      </c>
      <c r="AB29" s="178"/>
    </row>
    <row r="30">
      <c r="A30" s="160" t="s">
        <v>1727</v>
      </c>
      <c r="B30" s="161" t="s">
        <v>1728</v>
      </c>
      <c r="C30" s="162" t="s">
        <v>1729</v>
      </c>
      <c r="D30" s="163" t="s">
        <v>1730</v>
      </c>
      <c r="E30" s="164" t="s">
        <v>1413</v>
      </c>
      <c r="F30" s="165" t="s">
        <v>1347</v>
      </c>
      <c r="G30" s="166" t="s">
        <v>1731</v>
      </c>
      <c r="H30" s="166" t="s">
        <v>1732</v>
      </c>
      <c r="I30" s="166" t="s">
        <v>1733</v>
      </c>
      <c r="J30" s="167" t="s">
        <v>246</v>
      </c>
      <c r="K30" s="167" t="s">
        <v>1628</v>
      </c>
      <c r="L30" s="167" t="s">
        <v>1734</v>
      </c>
      <c r="M30" s="167" t="s">
        <v>1534</v>
      </c>
      <c r="N30" s="167" t="s">
        <v>1437</v>
      </c>
      <c r="O30" s="167" t="s">
        <v>1630</v>
      </c>
      <c r="P30" s="168" t="s">
        <v>258</v>
      </c>
      <c r="Q30" s="168" t="s">
        <v>258</v>
      </c>
      <c r="R30" s="200" t="s">
        <v>1735</v>
      </c>
      <c r="S30" s="173" t="s">
        <v>1736</v>
      </c>
      <c r="T30" s="168" t="s">
        <v>1737</v>
      </c>
      <c r="U30" s="168" t="s">
        <v>258</v>
      </c>
      <c r="V30" s="174" t="s">
        <v>1738</v>
      </c>
      <c r="W30" s="175" t="s">
        <v>1739</v>
      </c>
      <c r="X30" s="179" t="s">
        <v>258</v>
      </c>
      <c r="Y30" s="177" t="s">
        <v>258</v>
      </c>
      <c r="Z30" s="178" t="s">
        <v>1740</v>
      </c>
      <c r="AA30" s="185" t="s">
        <v>258</v>
      </c>
      <c r="AB30" s="178"/>
    </row>
    <row r="31">
      <c r="A31" s="160" t="s">
        <v>1741</v>
      </c>
      <c r="B31" s="161" t="s">
        <v>1742</v>
      </c>
      <c r="C31" s="162" t="s">
        <v>1743</v>
      </c>
      <c r="D31" s="163" t="s">
        <v>1744</v>
      </c>
      <c r="E31" s="164" t="s">
        <v>1413</v>
      </c>
      <c r="F31" s="165" t="s">
        <v>1701</v>
      </c>
      <c r="G31" s="166" t="s">
        <v>1745</v>
      </c>
      <c r="H31" s="166" t="s">
        <v>1746</v>
      </c>
      <c r="I31" s="166" t="s">
        <v>1747</v>
      </c>
      <c r="J31" s="167" t="s">
        <v>246</v>
      </c>
      <c r="K31" s="167" t="s">
        <v>1628</v>
      </c>
      <c r="L31" s="167" t="s">
        <v>1748</v>
      </c>
      <c r="M31" s="167" t="s">
        <v>1534</v>
      </c>
      <c r="N31" s="167" t="s">
        <v>1437</v>
      </c>
      <c r="O31" s="167" t="s">
        <v>1630</v>
      </c>
      <c r="P31" s="168" t="s">
        <v>258</v>
      </c>
      <c r="Q31" s="168" t="s">
        <v>258</v>
      </c>
      <c r="R31" s="200" t="s">
        <v>1749</v>
      </c>
      <c r="S31" s="173" t="s">
        <v>1750</v>
      </c>
      <c r="T31" s="168" t="s">
        <v>1751</v>
      </c>
      <c r="U31" s="168" t="s">
        <v>258</v>
      </c>
      <c r="V31" s="174" t="s">
        <v>1752</v>
      </c>
      <c r="W31" s="175" t="s">
        <v>1753</v>
      </c>
      <c r="X31" s="176" t="s">
        <v>1754</v>
      </c>
      <c r="Y31" s="177" t="s">
        <v>258</v>
      </c>
      <c r="Z31" s="178" t="s">
        <v>1755</v>
      </c>
      <c r="AA31" s="185" t="s">
        <v>258</v>
      </c>
      <c r="AB31" s="178"/>
    </row>
    <row r="32">
      <c r="A32" s="160" t="s">
        <v>1756</v>
      </c>
      <c r="B32" s="161" t="s">
        <v>1757</v>
      </c>
      <c r="C32" s="162" t="s">
        <v>1758</v>
      </c>
      <c r="D32" s="163" t="s">
        <v>1759</v>
      </c>
      <c r="E32" s="164" t="s">
        <v>1484</v>
      </c>
      <c r="F32" s="165" t="s">
        <v>1485</v>
      </c>
      <c r="G32" s="166" t="s">
        <v>1760</v>
      </c>
      <c r="H32" s="166" t="s">
        <v>1761</v>
      </c>
      <c r="I32" s="166" t="s">
        <v>1762</v>
      </c>
      <c r="J32" s="167" t="s">
        <v>246</v>
      </c>
      <c r="K32" s="167" t="s">
        <v>1467</v>
      </c>
      <c r="L32" s="167" t="s">
        <v>1763</v>
      </c>
      <c r="M32" s="167" t="s">
        <v>1324</v>
      </c>
      <c r="N32" s="167" t="s">
        <v>1490</v>
      </c>
      <c r="O32" s="167" t="s">
        <v>1354</v>
      </c>
      <c r="P32" s="172" t="s">
        <v>1764</v>
      </c>
      <c r="Q32" s="172" t="s">
        <v>1765</v>
      </c>
      <c r="R32" s="187" t="s">
        <v>258</v>
      </c>
      <c r="S32" s="173" t="s">
        <v>1766</v>
      </c>
      <c r="T32" s="168" t="s">
        <v>258</v>
      </c>
      <c r="U32" s="168" t="s">
        <v>1474</v>
      </c>
      <c r="V32" s="174" t="s">
        <v>1767</v>
      </c>
      <c r="W32" s="175" t="s">
        <v>1768</v>
      </c>
      <c r="X32" s="176" t="s">
        <v>305</v>
      </c>
      <c r="Y32" s="180" t="s">
        <v>1769</v>
      </c>
      <c r="Z32" s="170" t="s">
        <v>1770</v>
      </c>
      <c r="AA32" s="171" t="s">
        <v>1479</v>
      </c>
      <c r="AB32" s="170"/>
    </row>
    <row r="33">
      <c r="A33" s="160" t="s">
        <v>1771</v>
      </c>
      <c r="B33" s="161" t="s">
        <v>1772</v>
      </c>
      <c r="C33" s="162" t="s">
        <v>1773</v>
      </c>
      <c r="D33" s="163" t="s">
        <v>1774</v>
      </c>
      <c r="E33" s="164" t="s">
        <v>1484</v>
      </c>
      <c r="F33" s="165" t="s">
        <v>1485</v>
      </c>
      <c r="G33" s="201" t="s">
        <v>1775</v>
      </c>
      <c r="H33" s="201" t="s">
        <v>1776</v>
      </c>
      <c r="I33" s="201" t="s">
        <v>1777</v>
      </c>
      <c r="J33" s="167" t="s">
        <v>246</v>
      </c>
      <c r="K33" s="167" t="s">
        <v>1351</v>
      </c>
      <c r="L33" s="167" t="s">
        <v>1778</v>
      </c>
      <c r="M33" s="167" t="s">
        <v>1324</v>
      </c>
      <c r="N33" s="167" t="s">
        <v>1779</v>
      </c>
      <c r="O33" s="167" t="s">
        <v>1582</v>
      </c>
      <c r="P33" s="172" t="s">
        <v>1780</v>
      </c>
      <c r="Q33" s="202" t="s">
        <v>258</v>
      </c>
      <c r="R33" s="173" t="s">
        <v>1781</v>
      </c>
      <c r="S33" s="173" t="s">
        <v>1782</v>
      </c>
      <c r="T33" s="168" t="s">
        <v>258</v>
      </c>
      <c r="U33" s="168" t="s">
        <v>938</v>
      </c>
      <c r="V33" s="174" t="s">
        <v>1783</v>
      </c>
      <c r="W33" s="175" t="s">
        <v>1784</v>
      </c>
      <c r="X33" s="176" t="s">
        <v>1785</v>
      </c>
      <c r="Y33" s="177" t="s">
        <v>258</v>
      </c>
      <c r="Z33" s="178" t="s">
        <v>1786</v>
      </c>
      <c r="AA33" s="171" t="s">
        <v>1787</v>
      </c>
      <c r="AB33" s="178"/>
    </row>
    <row r="34">
      <c r="A34" s="118" t="s">
        <v>1788</v>
      </c>
      <c r="B34" s="181" t="s">
        <v>1789</v>
      </c>
      <c r="C34" s="181" t="s">
        <v>1790</v>
      </c>
      <c r="D34" s="181" t="s">
        <v>1791</v>
      </c>
      <c r="E34" s="164" t="s">
        <v>1484</v>
      </c>
      <c r="F34" s="165" t="s">
        <v>1347</v>
      </c>
      <c r="G34" s="201" t="s">
        <v>1432</v>
      </c>
      <c r="H34" s="201" t="s">
        <v>1433</v>
      </c>
      <c r="I34" s="201" t="s">
        <v>1434</v>
      </c>
      <c r="J34" s="167" t="s">
        <v>1792</v>
      </c>
      <c r="K34" s="167" t="s">
        <v>1351</v>
      </c>
      <c r="L34" s="167" t="s">
        <v>1778</v>
      </c>
      <c r="M34" s="167" t="s">
        <v>1324</v>
      </c>
      <c r="N34" s="167" t="s">
        <v>1437</v>
      </c>
      <c r="O34" s="167" t="s">
        <v>247</v>
      </c>
      <c r="P34" s="172" t="s">
        <v>1630</v>
      </c>
      <c r="Q34" s="202" t="s">
        <v>1793</v>
      </c>
      <c r="R34" s="173" t="s">
        <v>258</v>
      </c>
      <c r="S34" s="173" t="s">
        <v>1794</v>
      </c>
      <c r="T34" s="168" t="s">
        <v>258</v>
      </c>
      <c r="U34" s="168" t="s">
        <v>937</v>
      </c>
      <c r="V34" s="174" t="s">
        <v>258</v>
      </c>
      <c r="W34" s="175" t="s">
        <v>258</v>
      </c>
      <c r="X34" s="176" t="s">
        <v>1795</v>
      </c>
      <c r="Y34" s="177" t="s">
        <v>258</v>
      </c>
      <c r="Z34" s="178" t="s">
        <v>258</v>
      </c>
      <c r="AA34" s="171" t="s">
        <v>1796</v>
      </c>
      <c r="AB34" s="178"/>
    </row>
    <row r="35">
      <c r="A35" s="160" t="s">
        <v>1797</v>
      </c>
      <c r="B35" s="161" t="s">
        <v>1798</v>
      </c>
      <c r="C35" s="189" t="s">
        <v>1799</v>
      </c>
      <c r="D35" s="163" t="s">
        <v>1800</v>
      </c>
      <c r="E35" s="164" t="s">
        <v>1413</v>
      </c>
      <c r="F35" s="165" t="s">
        <v>1347</v>
      </c>
      <c r="G35" s="166" t="s">
        <v>1801</v>
      </c>
      <c r="H35" s="166" t="s">
        <v>1802</v>
      </c>
      <c r="I35" s="166" t="s">
        <v>1803</v>
      </c>
      <c r="J35" s="167" t="s">
        <v>246</v>
      </c>
      <c r="K35" s="167" t="s">
        <v>1351</v>
      </c>
      <c r="L35" s="167" t="s">
        <v>1804</v>
      </c>
      <c r="M35" s="167" t="s">
        <v>1324</v>
      </c>
      <c r="N35" s="203" t="s">
        <v>1805</v>
      </c>
      <c r="O35" s="167" t="s">
        <v>1354</v>
      </c>
      <c r="P35" s="168" t="s">
        <v>258</v>
      </c>
      <c r="Q35" s="172" t="s">
        <v>1806</v>
      </c>
      <c r="R35" s="187" t="s">
        <v>258</v>
      </c>
      <c r="S35" s="187" t="s">
        <v>258</v>
      </c>
      <c r="T35" s="168" t="s">
        <v>258</v>
      </c>
      <c r="U35" s="168" t="s">
        <v>1807</v>
      </c>
      <c r="V35" s="174" t="s">
        <v>1808</v>
      </c>
      <c r="W35" s="175" t="s">
        <v>1809</v>
      </c>
      <c r="X35" s="179" t="s">
        <v>258</v>
      </c>
      <c r="Y35" s="177" t="s">
        <v>258</v>
      </c>
      <c r="Z35" s="178" t="s">
        <v>1810</v>
      </c>
      <c r="AA35" s="171" t="s">
        <v>1479</v>
      </c>
      <c r="AB35" s="178"/>
    </row>
    <row r="36">
      <c r="A36" s="160" t="s">
        <v>1811</v>
      </c>
      <c r="B36" s="161" t="s">
        <v>1812</v>
      </c>
      <c r="C36" s="162" t="s">
        <v>1813</v>
      </c>
      <c r="D36" s="163" t="s">
        <v>1814</v>
      </c>
      <c r="E36" s="164" t="s">
        <v>1484</v>
      </c>
      <c r="F36" s="165" t="s">
        <v>1485</v>
      </c>
      <c r="G36" s="166" t="s">
        <v>1815</v>
      </c>
      <c r="H36" s="166" t="s">
        <v>1816</v>
      </c>
      <c r="I36" s="166" t="s">
        <v>1817</v>
      </c>
      <c r="J36" s="167" t="s">
        <v>246</v>
      </c>
      <c r="K36" s="167" t="s">
        <v>1818</v>
      </c>
      <c r="L36" s="167" t="s">
        <v>1763</v>
      </c>
      <c r="M36" s="167" t="s">
        <v>1324</v>
      </c>
      <c r="N36" s="167" t="s">
        <v>1490</v>
      </c>
      <c r="O36" s="167" t="s">
        <v>1582</v>
      </c>
      <c r="P36" s="172" t="s">
        <v>1819</v>
      </c>
      <c r="Q36" s="172" t="s">
        <v>1820</v>
      </c>
      <c r="R36" s="173" t="s">
        <v>1821</v>
      </c>
      <c r="S36" s="173" t="s">
        <v>1822</v>
      </c>
      <c r="T36" s="168" t="s">
        <v>258</v>
      </c>
      <c r="U36" s="168" t="s">
        <v>1823</v>
      </c>
      <c r="V36" s="174" t="s">
        <v>1824</v>
      </c>
      <c r="W36" s="175" t="s">
        <v>1825</v>
      </c>
      <c r="X36" s="179" t="s">
        <v>258</v>
      </c>
      <c r="Y36" s="177" t="s">
        <v>258</v>
      </c>
      <c r="Z36" s="178" t="s">
        <v>1826</v>
      </c>
      <c r="AA36" s="171" t="s">
        <v>1827</v>
      </c>
      <c r="AB36" s="178"/>
    </row>
    <row r="37">
      <c r="A37" s="160" t="s">
        <v>1828</v>
      </c>
      <c r="B37" s="161" t="s">
        <v>1829</v>
      </c>
      <c r="C37" s="162" t="s">
        <v>1830</v>
      </c>
      <c r="D37" s="163" t="s">
        <v>1831</v>
      </c>
      <c r="E37" s="164" t="s">
        <v>1413</v>
      </c>
      <c r="F37" s="165" t="s">
        <v>1347</v>
      </c>
      <c r="G37" s="166" t="s">
        <v>1832</v>
      </c>
      <c r="H37" s="166" t="s">
        <v>1833</v>
      </c>
      <c r="I37" s="193" t="s">
        <v>1434</v>
      </c>
      <c r="J37" s="167" t="s">
        <v>246</v>
      </c>
      <c r="K37" s="167" t="s">
        <v>1653</v>
      </c>
      <c r="L37" s="167" t="s">
        <v>1834</v>
      </c>
      <c r="M37" s="167" t="s">
        <v>1371</v>
      </c>
      <c r="N37" s="167" t="s">
        <v>1437</v>
      </c>
      <c r="O37" s="167" t="s">
        <v>1582</v>
      </c>
      <c r="P37" s="168" t="s">
        <v>258</v>
      </c>
      <c r="Q37" s="168" t="s">
        <v>258</v>
      </c>
      <c r="R37" s="187" t="s">
        <v>258</v>
      </c>
      <c r="S37" s="173" t="s">
        <v>1835</v>
      </c>
      <c r="T37" s="168" t="s">
        <v>1645</v>
      </c>
      <c r="U37" s="168" t="s">
        <v>258</v>
      </c>
      <c r="V37" s="174" t="s">
        <v>1836</v>
      </c>
      <c r="W37" s="175" t="s">
        <v>258</v>
      </c>
      <c r="X37" s="176" t="s">
        <v>1837</v>
      </c>
      <c r="Y37" s="180" t="s">
        <v>1838</v>
      </c>
      <c r="Z37" s="170" t="s">
        <v>1839</v>
      </c>
      <c r="AA37" s="185" t="s">
        <v>258</v>
      </c>
      <c r="AB37" s="170"/>
    </row>
    <row r="38">
      <c r="A38" s="160" t="s">
        <v>1840</v>
      </c>
      <c r="B38" s="161" t="s">
        <v>1841</v>
      </c>
      <c r="C38" s="162" t="s">
        <v>1842</v>
      </c>
      <c r="D38" s="163" t="s">
        <v>1843</v>
      </c>
      <c r="E38" s="164" t="s">
        <v>1413</v>
      </c>
      <c r="F38" s="165" t="s">
        <v>1347</v>
      </c>
      <c r="G38" s="166" t="s">
        <v>1844</v>
      </c>
      <c r="H38" s="166" t="s">
        <v>1845</v>
      </c>
      <c r="I38" s="193" t="s">
        <v>1434</v>
      </c>
      <c r="J38" s="167" t="s">
        <v>246</v>
      </c>
      <c r="K38" s="167" t="s">
        <v>1653</v>
      </c>
      <c r="L38" s="167" t="s">
        <v>1834</v>
      </c>
      <c r="M38" s="167" t="s">
        <v>1534</v>
      </c>
      <c r="N38" s="167" t="s">
        <v>1437</v>
      </c>
      <c r="O38" s="167" t="s">
        <v>1582</v>
      </c>
      <c r="P38" s="168" t="s">
        <v>258</v>
      </c>
      <c r="Q38" s="168" t="s">
        <v>258</v>
      </c>
      <c r="R38" s="173" t="s">
        <v>1846</v>
      </c>
      <c r="S38" s="173" t="s">
        <v>1847</v>
      </c>
      <c r="T38" s="168" t="s">
        <v>260</v>
      </c>
      <c r="U38" s="168" t="s">
        <v>258</v>
      </c>
      <c r="V38" s="174" t="s">
        <v>1848</v>
      </c>
      <c r="W38" s="175" t="s">
        <v>1849</v>
      </c>
      <c r="X38" s="176" t="s">
        <v>1850</v>
      </c>
      <c r="Y38" s="177" t="s">
        <v>258</v>
      </c>
      <c r="Z38" s="178" t="s">
        <v>1851</v>
      </c>
      <c r="AA38" s="171" t="s">
        <v>1852</v>
      </c>
      <c r="AB38" s="178"/>
    </row>
    <row r="39">
      <c r="A39" s="160" t="s">
        <v>778</v>
      </c>
      <c r="B39" s="161" t="s">
        <v>1853</v>
      </c>
      <c r="C39" s="162" t="s">
        <v>1854</v>
      </c>
      <c r="D39" s="163" t="s">
        <v>1855</v>
      </c>
      <c r="E39" s="164" t="s">
        <v>1413</v>
      </c>
      <c r="F39" s="165" t="s">
        <v>1347</v>
      </c>
      <c r="G39" s="166" t="s">
        <v>1856</v>
      </c>
      <c r="H39" s="166" t="s">
        <v>1857</v>
      </c>
      <c r="I39" s="204" t="s">
        <v>1714</v>
      </c>
      <c r="J39" s="167" t="s">
        <v>246</v>
      </c>
      <c r="K39" s="167" t="s">
        <v>1653</v>
      </c>
      <c r="L39" s="167" t="s">
        <v>1834</v>
      </c>
      <c r="M39" s="167" t="s">
        <v>1534</v>
      </c>
      <c r="N39" s="167" t="s">
        <v>1437</v>
      </c>
      <c r="O39" s="167" t="s">
        <v>1582</v>
      </c>
      <c r="P39" s="168" t="s">
        <v>258</v>
      </c>
      <c r="Q39" s="168" t="s">
        <v>258</v>
      </c>
      <c r="R39" s="187" t="s">
        <v>258</v>
      </c>
      <c r="S39" s="187" t="s">
        <v>258</v>
      </c>
      <c r="T39" s="168" t="s">
        <v>260</v>
      </c>
      <c r="U39" s="168" t="s">
        <v>258</v>
      </c>
      <c r="V39" s="174" t="s">
        <v>1858</v>
      </c>
      <c r="W39" s="175" t="s">
        <v>1859</v>
      </c>
      <c r="X39" s="179" t="s">
        <v>258</v>
      </c>
      <c r="Y39" s="177" t="s">
        <v>258</v>
      </c>
      <c r="Z39" s="178" t="s">
        <v>1860</v>
      </c>
      <c r="AA39" s="171" t="s">
        <v>1861</v>
      </c>
      <c r="AB39" s="178"/>
    </row>
    <row r="40">
      <c r="A40" s="160" t="s">
        <v>1862</v>
      </c>
      <c r="B40" s="161" t="s">
        <v>1863</v>
      </c>
      <c r="C40" s="162" t="s">
        <v>1864</v>
      </c>
      <c r="D40" s="163" t="s">
        <v>1865</v>
      </c>
      <c r="E40" s="164" t="s">
        <v>1484</v>
      </c>
      <c r="F40" s="165" t="s">
        <v>1485</v>
      </c>
      <c r="G40" s="166" t="s">
        <v>1866</v>
      </c>
      <c r="H40" s="166" t="s">
        <v>1867</v>
      </c>
      <c r="I40" s="166" t="s">
        <v>1868</v>
      </c>
      <c r="J40" s="167" t="s">
        <v>246</v>
      </c>
      <c r="K40" s="167" t="s">
        <v>1818</v>
      </c>
      <c r="L40" s="167" t="s">
        <v>1869</v>
      </c>
      <c r="M40" s="167" t="s">
        <v>1324</v>
      </c>
      <c r="N40" s="167" t="s">
        <v>1490</v>
      </c>
      <c r="O40" s="167" t="s">
        <v>1582</v>
      </c>
      <c r="P40" s="197" t="s">
        <v>1870</v>
      </c>
      <c r="Q40" s="197" t="s">
        <v>1871</v>
      </c>
      <c r="R40" s="187" t="s">
        <v>1872</v>
      </c>
      <c r="S40" s="187" t="s">
        <v>258</v>
      </c>
      <c r="T40" s="168" t="s">
        <v>258</v>
      </c>
      <c r="U40" s="168" t="s">
        <v>1873</v>
      </c>
      <c r="V40" s="174" t="s">
        <v>1874</v>
      </c>
      <c r="W40" s="175" t="s">
        <v>258</v>
      </c>
      <c r="X40" s="179" t="s">
        <v>258</v>
      </c>
      <c r="Y40" s="177" t="s">
        <v>258</v>
      </c>
      <c r="Z40" s="178" t="s">
        <v>1875</v>
      </c>
      <c r="AA40" s="171" t="s">
        <v>1876</v>
      </c>
      <c r="AB40" s="178"/>
    </row>
    <row r="41">
      <c r="A41" s="160" t="s">
        <v>1018</v>
      </c>
      <c r="B41" s="161" t="s">
        <v>1877</v>
      </c>
      <c r="C41" s="162" t="s">
        <v>1878</v>
      </c>
      <c r="D41" s="163" t="s">
        <v>1879</v>
      </c>
      <c r="E41" s="164" t="s">
        <v>1484</v>
      </c>
      <c r="F41" s="165" t="s">
        <v>1485</v>
      </c>
      <c r="G41" s="166" t="s">
        <v>1880</v>
      </c>
      <c r="H41" s="166" t="s">
        <v>1881</v>
      </c>
      <c r="I41" s="166" t="s">
        <v>1882</v>
      </c>
      <c r="J41" s="167" t="s">
        <v>246</v>
      </c>
      <c r="K41" s="167" t="s">
        <v>1818</v>
      </c>
      <c r="L41" s="167" t="s">
        <v>1869</v>
      </c>
      <c r="M41" s="167" t="s">
        <v>1324</v>
      </c>
      <c r="N41" s="167" t="s">
        <v>1490</v>
      </c>
      <c r="O41" s="167" t="s">
        <v>1354</v>
      </c>
      <c r="P41" s="168" t="s">
        <v>258</v>
      </c>
      <c r="Q41" s="172" t="s">
        <v>1883</v>
      </c>
      <c r="R41" s="187" t="s">
        <v>258</v>
      </c>
      <c r="S41" s="187" t="s">
        <v>258</v>
      </c>
      <c r="T41" s="168" t="s">
        <v>1025</v>
      </c>
      <c r="U41" s="168" t="s">
        <v>1026</v>
      </c>
      <c r="V41" s="174" t="s">
        <v>1884</v>
      </c>
      <c r="W41" s="175" t="s">
        <v>1885</v>
      </c>
      <c r="X41" s="176" t="s">
        <v>1886</v>
      </c>
      <c r="Y41" s="205" t="s">
        <v>1887</v>
      </c>
      <c r="Z41" s="196" t="s">
        <v>1888</v>
      </c>
      <c r="AA41" s="171" t="s">
        <v>1889</v>
      </c>
      <c r="AB41" s="196"/>
    </row>
    <row r="42">
      <c r="A42" s="160" t="s">
        <v>1038</v>
      </c>
      <c r="B42" s="161" t="s">
        <v>1890</v>
      </c>
      <c r="C42" s="162" t="s">
        <v>1035</v>
      </c>
      <c r="D42" s="163" t="s">
        <v>1891</v>
      </c>
      <c r="E42" s="164" t="s">
        <v>1484</v>
      </c>
      <c r="F42" s="165" t="s">
        <v>1485</v>
      </c>
      <c r="G42" s="166" t="s">
        <v>1892</v>
      </c>
      <c r="H42" s="166" t="s">
        <v>1893</v>
      </c>
      <c r="I42" s="166" t="s">
        <v>1894</v>
      </c>
      <c r="J42" s="167" t="s">
        <v>246</v>
      </c>
      <c r="K42" s="167" t="s">
        <v>1818</v>
      </c>
      <c r="L42" s="167" t="s">
        <v>1869</v>
      </c>
      <c r="M42" s="167" t="s">
        <v>1324</v>
      </c>
      <c r="N42" s="167" t="s">
        <v>1490</v>
      </c>
      <c r="O42" s="167" t="s">
        <v>1354</v>
      </c>
      <c r="P42" s="168" t="s">
        <v>258</v>
      </c>
      <c r="Q42" s="168" t="s">
        <v>258</v>
      </c>
      <c r="R42" s="187" t="s">
        <v>258</v>
      </c>
      <c r="S42" s="173" t="s">
        <v>1895</v>
      </c>
      <c r="T42" s="168" t="s">
        <v>258</v>
      </c>
      <c r="U42" s="168" t="s">
        <v>1045</v>
      </c>
      <c r="V42" s="174" t="s">
        <v>1896</v>
      </c>
      <c r="W42" s="175" t="s">
        <v>258</v>
      </c>
      <c r="X42" s="179" t="s">
        <v>1897</v>
      </c>
      <c r="Y42" s="177" t="s">
        <v>258</v>
      </c>
      <c r="Z42" s="178" t="s">
        <v>1898</v>
      </c>
      <c r="AA42" s="171" t="s">
        <v>1479</v>
      </c>
      <c r="AB42" s="178"/>
    </row>
    <row r="43">
      <c r="A43" s="160" t="s">
        <v>1049</v>
      </c>
      <c r="B43" s="206" t="s">
        <v>1899</v>
      </c>
      <c r="C43" s="162" t="s">
        <v>1046</v>
      </c>
      <c r="D43" s="163" t="s">
        <v>1900</v>
      </c>
      <c r="E43" s="164" t="s">
        <v>1484</v>
      </c>
      <c r="F43" s="165" t="s">
        <v>1485</v>
      </c>
      <c r="G43" s="166" t="s">
        <v>1901</v>
      </c>
      <c r="H43" s="166" t="s">
        <v>1902</v>
      </c>
      <c r="I43" s="166" t="s">
        <v>1903</v>
      </c>
      <c r="J43" s="167" t="s">
        <v>246</v>
      </c>
      <c r="K43" s="207" t="s">
        <v>1818</v>
      </c>
      <c r="L43" s="207" t="s">
        <v>1869</v>
      </c>
      <c r="M43" s="167" t="s">
        <v>1324</v>
      </c>
      <c r="N43" s="167" t="s">
        <v>1490</v>
      </c>
      <c r="O43" s="167" t="s">
        <v>1354</v>
      </c>
      <c r="P43" s="168" t="s">
        <v>258</v>
      </c>
      <c r="Q43" s="172" t="s">
        <v>1904</v>
      </c>
      <c r="R43" s="187" t="s">
        <v>258</v>
      </c>
      <c r="S43" s="187" t="s">
        <v>258</v>
      </c>
      <c r="T43" s="168" t="s">
        <v>258</v>
      </c>
      <c r="U43" s="168" t="s">
        <v>1056</v>
      </c>
      <c r="V43" s="174" t="s">
        <v>1905</v>
      </c>
      <c r="W43" s="175" t="s">
        <v>1906</v>
      </c>
      <c r="X43" s="176" t="s">
        <v>1907</v>
      </c>
      <c r="Y43" s="177" t="s">
        <v>258</v>
      </c>
      <c r="Z43" s="178" t="s">
        <v>1908</v>
      </c>
      <c r="AA43" s="171" t="s">
        <v>1909</v>
      </c>
      <c r="AB43" s="178"/>
    </row>
    <row r="44">
      <c r="A44" s="160" t="s">
        <v>1910</v>
      </c>
      <c r="B44" s="161" t="s">
        <v>1911</v>
      </c>
      <c r="C44" s="162" t="s">
        <v>1912</v>
      </c>
      <c r="D44" s="163" t="s">
        <v>1913</v>
      </c>
      <c r="E44" s="164" t="s">
        <v>1413</v>
      </c>
      <c r="F44" s="165" t="s">
        <v>1577</v>
      </c>
      <c r="G44" s="166" t="s">
        <v>1914</v>
      </c>
      <c r="H44" s="166" t="s">
        <v>1915</v>
      </c>
      <c r="I44" s="166" t="s">
        <v>1916</v>
      </c>
      <c r="J44" s="167" t="s">
        <v>246</v>
      </c>
      <c r="K44" s="167" t="s">
        <v>1628</v>
      </c>
      <c r="L44" s="167" t="s">
        <v>1917</v>
      </c>
      <c r="M44" s="167" t="s">
        <v>1371</v>
      </c>
      <c r="N44" s="167" t="s">
        <v>1437</v>
      </c>
      <c r="O44" s="167" t="s">
        <v>1630</v>
      </c>
      <c r="P44" s="168" t="s">
        <v>258</v>
      </c>
      <c r="Q44" s="168" t="s">
        <v>258</v>
      </c>
      <c r="R44" s="173" t="s">
        <v>1918</v>
      </c>
      <c r="S44" s="173" t="s">
        <v>1919</v>
      </c>
      <c r="T44" s="194" t="s">
        <v>430</v>
      </c>
      <c r="U44" s="168" t="s">
        <v>258</v>
      </c>
      <c r="V44" s="174" t="s">
        <v>1920</v>
      </c>
      <c r="W44" s="175" t="s">
        <v>1921</v>
      </c>
      <c r="X44" s="176" t="s">
        <v>1897</v>
      </c>
      <c r="Y44" s="177" t="s">
        <v>258</v>
      </c>
      <c r="Z44" s="178" t="s">
        <v>1922</v>
      </c>
      <c r="AA44" s="185" t="s">
        <v>258</v>
      </c>
      <c r="AB44" s="178"/>
    </row>
    <row r="45">
      <c r="A45" s="160" t="s">
        <v>1923</v>
      </c>
      <c r="B45" s="161" t="s">
        <v>1924</v>
      </c>
      <c r="C45" s="162" t="s">
        <v>1925</v>
      </c>
      <c r="D45" s="163" t="s">
        <v>1926</v>
      </c>
      <c r="E45" s="164" t="s">
        <v>1413</v>
      </c>
      <c r="F45" s="165" t="s">
        <v>1347</v>
      </c>
      <c r="G45" s="166" t="s">
        <v>1927</v>
      </c>
      <c r="H45" s="166" t="s">
        <v>1928</v>
      </c>
      <c r="I45" s="166" t="s">
        <v>1929</v>
      </c>
      <c r="J45" s="167" t="s">
        <v>246</v>
      </c>
      <c r="K45" s="167" t="s">
        <v>1351</v>
      </c>
      <c r="L45" s="167" t="s">
        <v>1930</v>
      </c>
      <c r="M45" s="167" t="s">
        <v>1324</v>
      </c>
      <c r="N45" s="167" t="s">
        <v>1931</v>
      </c>
      <c r="O45" s="167" t="s">
        <v>1354</v>
      </c>
      <c r="P45" s="168" t="s">
        <v>258</v>
      </c>
      <c r="Q45" s="172" t="s">
        <v>1932</v>
      </c>
      <c r="R45" s="187" t="s">
        <v>258</v>
      </c>
      <c r="S45" s="187" t="s">
        <v>258</v>
      </c>
      <c r="T45" s="168" t="s">
        <v>258</v>
      </c>
      <c r="U45" s="168" t="s">
        <v>562</v>
      </c>
      <c r="V45" s="174" t="s">
        <v>1933</v>
      </c>
      <c r="W45" s="175" t="s">
        <v>1934</v>
      </c>
      <c r="X45" s="176" t="s">
        <v>1935</v>
      </c>
      <c r="Y45" s="177" t="s">
        <v>258</v>
      </c>
      <c r="Z45" s="178" t="s">
        <v>1936</v>
      </c>
      <c r="AA45" s="171" t="s">
        <v>1428</v>
      </c>
      <c r="AB45" s="178"/>
    </row>
    <row r="46">
      <c r="A46" s="160" t="s">
        <v>1937</v>
      </c>
      <c r="B46" s="161" t="s">
        <v>1938</v>
      </c>
      <c r="C46" s="162" t="s">
        <v>1939</v>
      </c>
      <c r="D46" s="163" t="s">
        <v>1940</v>
      </c>
      <c r="E46" s="164" t="s">
        <v>1413</v>
      </c>
      <c r="F46" s="165" t="s">
        <v>1347</v>
      </c>
      <c r="G46" s="166" t="s">
        <v>1941</v>
      </c>
      <c r="H46" s="166" t="s">
        <v>1942</v>
      </c>
      <c r="I46" s="166" t="s">
        <v>1943</v>
      </c>
      <c r="J46" s="167" t="s">
        <v>246</v>
      </c>
      <c r="K46" s="167" t="s">
        <v>1628</v>
      </c>
      <c r="L46" s="167" t="s">
        <v>1468</v>
      </c>
      <c r="M46" s="167" t="s">
        <v>1534</v>
      </c>
      <c r="N46" s="167" t="s">
        <v>1437</v>
      </c>
      <c r="O46" s="167" t="s">
        <v>1630</v>
      </c>
      <c r="P46" s="168" t="s">
        <v>258</v>
      </c>
      <c r="Q46" s="168" t="s">
        <v>258</v>
      </c>
      <c r="R46" s="187" t="s">
        <v>258</v>
      </c>
      <c r="S46" s="187" t="s">
        <v>258</v>
      </c>
      <c r="T46" s="168" t="s">
        <v>1944</v>
      </c>
      <c r="U46" s="168" t="s">
        <v>1002</v>
      </c>
      <c r="V46" s="174" t="s">
        <v>1945</v>
      </c>
      <c r="W46" s="175" t="s">
        <v>258</v>
      </c>
      <c r="X46" s="176" t="s">
        <v>1946</v>
      </c>
      <c r="Y46" s="177" t="s">
        <v>258</v>
      </c>
      <c r="Z46" s="178" t="s">
        <v>1947</v>
      </c>
      <c r="AA46" s="185" t="s">
        <v>258</v>
      </c>
      <c r="AB46" s="178"/>
    </row>
    <row r="47">
      <c r="A47" s="160" t="s">
        <v>1948</v>
      </c>
      <c r="B47" s="161" t="s">
        <v>1949</v>
      </c>
      <c r="C47" s="162" t="s">
        <v>1950</v>
      </c>
      <c r="D47" s="163" t="s">
        <v>1951</v>
      </c>
      <c r="E47" s="164" t="s">
        <v>1413</v>
      </c>
      <c r="F47" s="165" t="s">
        <v>1347</v>
      </c>
      <c r="G47" s="166" t="s">
        <v>1952</v>
      </c>
      <c r="H47" s="166" t="s">
        <v>1953</v>
      </c>
      <c r="I47" s="166" t="s">
        <v>1954</v>
      </c>
      <c r="J47" s="167" t="s">
        <v>246</v>
      </c>
      <c r="K47" s="167" t="s">
        <v>1653</v>
      </c>
      <c r="L47" s="167" t="s">
        <v>1955</v>
      </c>
      <c r="M47" s="167" t="s">
        <v>1534</v>
      </c>
      <c r="N47" s="167" t="s">
        <v>1437</v>
      </c>
      <c r="O47" s="167" t="s">
        <v>1630</v>
      </c>
      <c r="P47" s="197" t="s">
        <v>1956</v>
      </c>
      <c r="Q47" s="202" t="s">
        <v>258</v>
      </c>
      <c r="R47" s="187" t="s">
        <v>258</v>
      </c>
      <c r="S47" s="187" t="s">
        <v>258</v>
      </c>
      <c r="T47" s="168" t="s">
        <v>1957</v>
      </c>
      <c r="U47" s="168" t="s">
        <v>258</v>
      </c>
      <c r="V47" s="192" t="s">
        <v>258</v>
      </c>
      <c r="W47" s="175" t="s">
        <v>1633</v>
      </c>
      <c r="X47" s="176" t="s">
        <v>1958</v>
      </c>
      <c r="Y47" s="180" t="s">
        <v>1959</v>
      </c>
      <c r="Z47" s="170" t="s">
        <v>1682</v>
      </c>
      <c r="AA47" s="171" t="s">
        <v>1960</v>
      </c>
      <c r="AB47" s="170"/>
    </row>
    <row r="48">
      <c r="A48" s="160" t="s">
        <v>1961</v>
      </c>
      <c r="B48" s="161" t="s">
        <v>1962</v>
      </c>
      <c r="C48" s="162" t="s">
        <v>1963</v>
      </c>
      <c r="D48" s="208" t="s">
        <v>1964</v>
      </c>
      <c r="E48" s="164" t="s">
        <v>1413</v>
      </c>
      <c r="F48" s="165" t="s">
        <v>1701</v>
      </c>
      <c r="G48" s="166" t="s">
        <v>1965</v>
      </c>
      <c r="H48" s="166" t="s">
        <v>1966</v>
      </c>
      <c r="I48" s="193" t="s">
        <v>1434</v>
      </c>
      <c r="J48" s="167" t="s">
        <v>246</v>
      </c>
      <c r="K48" s="167" t="s">
        <v>1351</v>
      </c>
      <c r="L48" s="167" t="s">
        <v>1967</v>
      </c>
      <c r="M48" s="167" t="s">
        <v>1534</v>
      </c>
      <c r="N48" s="167" t="s">
        <v>1520</v>
      </c>
      <c r="O48" s="167" t="s">
        <v>1630</v>
      </c>
      <c r="P48" s="168" t="s">
        <v>258</v>
      </c>
      <c r="Q48" s="168" t="s">
        <v>258</v>
      </c>
      <c r="R48" s="187" t="s">
        <v>258</v>
      </c>
      <c r="S48" s="187" t="s">
        <v>258</v>
      </c>
      <c r="T48" s="168" t="s">
        <v>258</v>
      </c>
      <c r="U48" s="168" t="s">
        <v>258</v>
      </c>
      <c r="V48" s="174" t="s">
        <v>1968</v>
      </c>
      <c r="W48" s="175" t="s">
        <v>1969</v>
      </c>
      <c r="X48" s="176" t="s">
        <v>1970</v>
      </c>
      <c r="Y48" s="177" t="s">
        <v>258</v>
      </c>
      <c r="Z48" s="178" t="s">
        <v>1971</v>
      </c>
      <c r="AA48" s="171" t="s">
        <v>1972</v>
      </c>
      <c r="AB48" s="178"/>
    </row>
    <row r="49">
      <c r="A49" s="160" t="s">
        <v>1973</v>
      </c>
      <c r="B49" s="161" t="s">
        <v>1974</v>
      </c>
      <c r="C49" s="162" t="s">
        <v>592</v>
      </c>
      <c r="D49" s="163" t="s">
        <v>1975</v>
      </c>
      <c r="E49" s="164" t="s">
        <v>1413</v>
      </c>
      <c r="F49" s="165" t="s">
        <v>1347</v>
      </c>
      <c r="G49" s="166" t="s">
        <v>1976</v>
      </c>
      <c r="H49" s="166" t="s">
        <v>1977</v>
      </c>
      <c r="I49" s="193" t="s">
        <v>1434</v>
      </c>
      <c r="J49" s="167" t="s">
        <v>246</v>
      </c>
      <c r="K49" s="167" t="s">
        <v>1653</v>
      </c>
      <c r="L49" s="167" t="s">
        <v>1715</v>
      </c>
      <c r="M49" s="167" t="s">
        <v>1534</v>
      </c>
      <c r="N49" s="167" t="s">
        <v>1437</v>
      </c>
      <c r="O49" s="167" t="s">
        <v>1630</v>
      </c>
      <c r="P49" s="168" t="s">
        <v>258</v>
      </c>
      <c r="Q49" s="168" t="s">
        <v>258</v>
      </c>
      <c r="R49" s="187" t="s">
        <v>258</v>
      </c>
      <c r="S49" s="187" t="s">
        <v>258</v>
      </c>
      <c r="T49" s="168" t="s">
        <v>1645</v>
      </c>
      <c r="U49" s="168" t="s">
        <v>258</v>
      </c>
      <c r="V49" s="192" t="s">
        <v>258</v>
      </c>
      <c r="W49" s="175" t="s">
        <v>258</v>
      </c>
      <c r="X49" s="179" t="s">
        <v>258</v>
      </c>
      <c r="Y49" s="177" t="s">
        <v>258</v>
      </c>
      <c r="Z49" s="178" t="s">
        <v>1978</v>
      </c>
      <c r="AA49" s="171" t="s">
        <v>1979</v>
      </c>
      <c r="AB49" s="178"/>
    </row>
    <row r="50">
      <c r="A50" s="160" t="s">
        <v>1980</v>
      </c>
      <c r="B50" s="161" t="s">
        <v>1981</v>
      </c>
      <c r="C50" s="162" t="s">
        <v>643</v>
      </c>
      <c r="D50" s="163" t="s">
        <v>1982</v>
      </c>
      <c r="E50" s="164" t="s">
        <v>1484</v>
      </c>
      <c r="F50" s="165" t="s">
        <v>1485</v>
      </c>
      <c r="G50" s="166" t="s">
        <v>1983</v>
      </c>
      <c r="H50" s="166" t="s">
        <v>1984</v>
      </c>
      <c r="I50" s="166" t="s">
        <v>1985</v>
      </c>
      <c r="J50" s="167" t="s">
        <v>246</v>
      </c>
      <c r="K50" s="167" t="s">
        <v>1818</v>
      </c>
      <c r="L50" s="167" t="s">
        <v>1986</v>
      </c>
      <c r="M50" s="167" t="s">
        <v>1534</v>
      </c>
      <c r="N50" s="167" t="s">
        <v>1490</v>
      </c>
      <c r="O50" s="167" t="s">
        <v>1582</v>
      </c>
      <c r="P50" s="172" t="s">
        <v>1987</v>
      </c>
      <c r="Q50" s="172" t="s">
        <v>1988</v>
      </c>
      <c r="R50" s="187" t="s">
        <v>1535</v>
      </c>
      <c r="S50" s="187" t="s">
        <v>258</v>
      </c>
      <c r="T50" s="168" t="s">
        <v>258</v>
      </c>
      <c r="U50" s="168" t="s">
        <v>1989</v>
      </c>
      <c r="V50" s="174" t="s">
        <v>1990</v>
      </c>
      <c r="W50" s="175" t="s">
        <v>258</v>
      </c>
      <c r="X50" s="179" t="s">
        <v>258</v>
      </c>
      <c r="Y50" s="177" t="s">
        <v>258</v>
      </c>
      <c r="Z50" s="178" t="s">
        <v>1991</v>
      </c>
      <c r="AA50" s="185" t="s">
        <v>258</v>
      </c>
      <c r="AB50" s="178"/>
    </row>
    <row r="51">
      <c r="A51" s="160" t="s">
        <v>1992</v>
      </c>
      <c r="B51" s="161" t="s">
        <v>1993</v>
      </c>
      <c r="C51" s="162" t="s">
        <v>1994</v>
      </c>
      <c r="D51" s="163" t="s">
        <v>1995</v>
      </c>
      <c r="E51" s="164" t="s">
        <v>1413</v>
      </c>
      <c r="F51" s="165" t="s">
        <v>1347</v>
      </c>
      <c r="G51" s="201" t="s">
        <v>1996</v>
      </c>
      <c r="H51" s="201" t="s">
        <v>1997</v>
      </c>
      <c r="I51" s="209" t="s">
        <v>1434</v>
      </c>
      <c r="J51" s="167" t="s">
        <v>246</v>
      </c>
      <c r="K51" s="167" t="s">
        <v>1653</v>
      </c>
      <c r="L51" s="167" t="s">
        <v>1955</v>
      </c>
      <c r="M51" s="167" t="s">
        <v>1534</v>
      </c>
      <c r="N51" s="167" t="s">
        <v>1437</v>
      </c>
      <c r="O51" s="167" t="s">
        <v>1630</v>
      </c>
      <c r="P51" s="168" t="s">
        <v>258</v>
      </c>
      <c r="Q51" s="168" t="s">
        <v>258</v>
      </c>
      <c r="R51" s="187" t="s">
        <v>258</v>
      </c>
      <c r="S51" s="187" t="s">
        <v>258</v>
      </c>
      <c r="T51" s="168" t="s">
        <v>1998</v>
      </c>
      <c r="U51" s="168" t="s">
        <v>258</v>
      </c>
      <c r="V51" s="192" t="s">
        <v>258</v>
      </c>
      <c r="W51" s="175" t="s">
        <v>1633</v>
      </c>
      <c r="X51" s="179" t="s">
        <v>258</v>
      </c>
      <c r="Y51" s="177" t="s">
        <v>258</v>
      </c>
      <c r="Z51" s="178" t="s">
        <v>1999</v>
      </c>
      <c r="AA51" s="185" t="s">
        <v>258</v>
      </c>
      <c r="AB51" s="178"/>
    </row>
    <row r="52">
      <c r="A52" s="160" t="s">
        <v>1060</v>
      </c>
      <c r="B52" s="206" t="s">
        <v>2000</v>
      </c>
      <c r="C52" s="162" t="s">
        <v>1057</v>
      </c>
      <c r="D52" s="208" t="s">
        <v>2001</v>
      </c>
      <c r="E52" s="164" t="s">
        <v>1484</v>
      </c>
      <c r="F52" s="165" t="s">
        <v>1701</v>
      </c>
      <c r="G52" s="210" t="s">
        <v>2002</v>
      </c>
      <c r="H52" s="210" t="s">
        <v>2003</v>
      </c>
      <c r="I52" s="210" t="s">
        <v>2004</v>
      </c>
      <c r="J52" s="167" t="s">
        <v>246</v>
      </c>
      <c r="K52" s="167" t="s">
        <v>1818</v>
      </c>
      <c r="L52" s="167" t="s">
        <v>1869</v>
      </c>
      <c r="M52" s="167" t="s">
        <v>1324</v>
      </c>
      <c r="N52" s="167" t="s">
        <v>1490</v>
      </c>
      <c r="O52" s="167" t="s">
        <v>1354</v>
      </c>
      <c r="P52" s="168" t="s">
        <v>258</v>
      </c>
      <c r="Q52" s="168" t="s">
        <v>258</v>
      </c>
      <c r="R52" s="187" t="s">
        <v>258</v>
      </c>
      <c r="S52" s="187" t="s">
        <v>258</v>
      </c>
      <c r="T52" s="168" t="s">
        <v>1066</v>
      </c>
      <c r="U52" s="168" t="s">
        <v>1067</v>
      </c>
      <c r="V52" s="192" t="s">
        <v>258</v>
      </c>
      <c r="W52" s="175" t="s">
        <v>258</v>
      </c>
      <c r="X52" s="176" t="s">
        <v>2005</v>
      </c>
      <c r="Y52" s="180" t="s">
        <v>2006</v>
      </c>
      <c r="Z52" s="170" t="s">
        <v>2007</v>
      </c>
      <c r="AA52" s="171" t="s">
        <v>2008</v>
      </c>
      <c r="AB52" s="170"/>
    </row>
    <row r="53">
      <c r="A53" s="160" t="s">
        <v>2009</v>
      </c>
      <c r="B53" s="161" t="s">
        <v>2010</v>
      </c>
      <c r="C53" s="162" t="s">
        <v>2011</v>
      </c>
      <c r="D53" s="163" t="s">
        <v>2012</v>
      </c>
      <c r="E53" s="164" t="s">
        <v>1484</v>
      </c>
      <c r="F53" s="165" t="s">
        <v>1701</v>
      </c>
      <c r="G53" s="166" t="s">
        <v>2013</v>
      </c>
      <c r="H53" s="166" t="s">
        <v>2014</v>
      </c>
      <c r="I53" s="166" t="s">
        <v>2015</v>
      </c>
      <c r="J53" s="167" t="s">
        <v>246</v>
      </c>
      <c r="K53" s="167" t="s">
        <v>1467</v>
      </c>
      <c r="L53" s="167" t="s">
        <v>1930</v>
      </c>
      <c r="M53" s="167" t="s">
        <v>1324</v>
      </c>
      <c r="N53" s="167" t="s">
        <v>2016</v>
      </c>
      <c r="O53" s="167" t="s">
        <v>1582</v>
      </c>
      <c r="P53" s="168" t="s">
        <v>258</v>
      </c>
      <c r="Q53" s="168" t="s">
        <v>258</v>
      </c>
      <c r="R53" s="187" t="s">
        <v>258</v>
      </c>
      <c r="S53" s="187" t="s">
        <v>258</v>
      </c>
      <c r="T53" s="168" t="s">
        <v>258</v>
      </c>
      <c r="U53" s="168" t="s">
        <v>332</v>
      </c>
      <c r="V53" s="174" t="s">
        <v>2017</v>
      </c>
      <c r="W53" s="175" t="s">
        <v>258</v>
      </c>
      <c r="X53" s="176" t="s">
        <v>2018</v>
      </c>
      <c r="Y53" s="177" t="s">
        <v>258</v>
      </c>
      <c r="Z53" s="178" t="s">
        <v>2019</v>
      </c>
      <c r="AA53" s="185" t="s">
        <v>258</v>
      </c>
      <c r="AB53" s="178"/>
    </row>
    <row r="54">
      <c r="A54" s="160" t="s">
        <v>2020</v>
      </c>
      <c r="B54" s="161" t="s">
        <v>2021</v>
      </c>
      <c r="C54" s="162" t="s">
        <v>2022</v>
      </c>
      <c r="D54" s="163" t="s">
        <v>2023</v>
      </c>
      <c r="E54" s="164" t="s">
        <v>1484</v>
      </c>
      <c r="F54" s="165" t="s">
        <v>1347</v>
      </c>
      <c r="G54" s="166" t="s">
        <v>2024</v>
      </c>
      <c r="H54" s="166" t="s">
        <v>2025</v>
      </c>
      <c r="I54" s="166" t="s">
        <v>2026</v>
      </c>
      <c r="J54" s="167" t="s">
        <v>246</v>
      </c>
      <c r="K54" s="167" t="s">
        <v>2027</v>
      </c>
      <c r="L54" s="167" t="s">
        <v>2028</v>
      </c>
      <c r="M54" s="167" t="s">
        <v>1324</v>
      </c>
      <c r="N54" s="167" t="s">
        <v>2029</v>
      </c>
      <c r="O54" s="167" t="s">
        <v>1354</v>
      </c>
      <c r="P54" s="211"/>
      <c r="Q54" s="212" t="s">
        <v>258</v>
      </c>
      <c r="R54" s="213" t="s">
        <v>258</v>
      </c>
      <c r="S54" s="213" t="s">
        <v>258</v>
      </c>
      <c r="T54" s="164" t="s">
        <v>575</v>
      </c>
      <c r="U54" s="212" t="s">
        <v>576</v>
      </c>
      <c r="V54" s="214" t="s">
        <v>2030</v>
      </c>
      <c r="W54" s="215" t="s">
        <v>2031</v>
      </c>
      <c r="X54" s="216" t="s">
        <v>258</v>
      </c>
      <c r="Y54" s="217" t="s">
        <v>258</v>
      </c>
      <c r="Z54" s="218" t="s">
        <v>2032</v>
      </c>
      <c r="AA54" s="185" t="s">
        <v>258</v>
      </c>
      <c r="AB54" s="218"/>
    </row>
    <row r="55">
      <c r="A55" s="160" t="s">
        <v>566</v>
      </c>
      <c r="B55" s="161" t="s">
        <v>2033</v>
      </c>
      <c r="C55" s="189" t="s">
        <v>2034</v>
      </c>
      <c r="D55" s="163" t="s">
        <v>2035</v>
      </c>
      <c r="E55" s="164" t="s">
        <v>1484</v>
      </c>
      <c r="F55" s="165" t="s">
        <v>1347</v>
      </c>
      <c r="G55" s="166" t="s">
        <v>2036</v>
      </c>
      <c r="H55" s="166" t="s">
        <v>2037</v>
      </c>
      <c r="I55" s="166" t="s">
        <v>2038</v>
      </c>
      <c r="J55" s="167" t="s">
        <v>246</v>
      </c>
      <c r="K55" s="167" t="s">
        <v>2027</v>
      </c>
      <c r="L55" s="167" t="s">
        <v>2028</v>
      </c>
      <c r="M55" s="167" t="s">
        <v>1324</v>
      </c>
      <c r="N55" s="167" t="s">
        <v>2039</v>
      </c>
      <c r="O55" s="167" t="s">
        <v>1354</v>
      </c>
      <c r="P55" s="219" t="s">
        <v>2040</v>
      </c>
      <c r="Q55" s="219" t="s">
        <v>2041</v>
      </c>
      <c r="R55" s="213" t="s">
        <v>258</v>
      </c>
      <c r="S55" s="213" t="s">
        <v>258</v>
      </c>
      <c r="T55" s="212" t="s">
        <v>575</v>
      </c>
      <c r="U55" s="212" t="s">
        <v>576</v>
      </c>
      <c r="V55" s="214" t="s">
        <v>2042</v>
      </c>
      <c r="W55" s="215" t="s">
        <v>2043</v>
      </c>
      <c r="X55" s="220" t="s">
        <v>2044</v>
      </c>
      <c r="Y55" s="217" t="s">
        <v>258</v>
      </c>
      <c r="Z55" s="218" t="s">
        <v>2045</v>
      </c>
      <c r="AA55" s="185" t="s">
        <v>258</v>
      </c>
      <c r="AB55" s="218"/>
    </row>
    <row r="56">
      <c r="A56" s="160" t="s">
        <v>2046</v>
      </c>
      <c r="B56" s="161" t="s">
        <v>2047</v>
      </c>
      <c r="C56" s="162" t="s">
        <v>2048</v>
      </c>
      <c r="D56" s="161" t="s">
        <v>2049</v>
      </c>
      <c r="E56" s="164" t="s">
        <v>1413</v>
      </c>
      <c r="F56" s="165" t="s">
        <v>1347</v>
      </c>
      <c r="G56" s="166" t="s">
        <v>2050</v>
      </c>
      <c r="H56" s="166" t="s">
        <v>2051</v>
      </c>
      <c r="I56" s="221" t="s">
        <v>1434</v>
      </c>
      <c r="J56" s="167" t="s">
        <v>2052</v>
      </c>
      <c r="K56" s="167" t="s">
        <v>1818</v>
      </c>
      <c r="L56" s="167" t="s">
        <v>1967</v>
      </c>
      <c r="M56" s="167" t="s">
        <v>1324</v>
      </c>
      <c r="N56" s="167" t="s">
        <v>1437</v>
      </c>
      <c r="O56" s="167" t="s">
        <v>1630</v>
      </c>
      <c r="P56" s="212" t="s">
        <v>258</v>
      </c>
      <c r="Q56" s="212" t="s">
        <v>258</v>
      </c>
      <c r="R56" s="213" t="s">
        <v>258</v>
      </c>
      <c r="S56" s="213" t="s">
        <v>258</v>
      </c>
      <c r="T56" s="212" t="s">
        <v>852</v>
      </c>
      <c r="U56" s="212" t="s">
        <v>258</v>
      </c>
      <c r="V56" s="222" t="s">
        <v>258</v>
      </c>
      <c r="W56" s="215" t="s">
        <v>2053</v>
      </c>
      <c r="X56" s="216" t="s">
        <v>258</v>
      </c>
      <c r="Y56" s="223" t="s">
        <v>2054</v>
      </c>
      <c r="Z56" s="224" t="s">
        <v>2055</v>
      </c>
      <c r="AA56" s="171" t="s">
        <v>2056</v>
      </c>
      <c r="AB56" s="224"/>
    </row>
    <row r="57">
      <c r="A57" s="160" t="s">
        <v>2057</v>
      </c>
      <c r="B57" s="161" t="s">
        <v>2058</v>
      </c>
      <c r="C57" s="162" t="s">
        <v>2059</v>
      </c>
      <c r="D57" s="225" t="s">
        <v>2060</v>
      </c>
      <c r="E57" s="164" t="s">
        <v>1346</v>
      </c>
      <c r="F57" s="165" t="s">
        <v>1701</v>
      </c>
      <c r="G57" s="166" t="s">
        <v>2061</v>
      </c>
      <c r="H57" s="166" t="s">
        <v>2062</v>
      </c>
      <c r="I57" s="166" t="s">
        <v>2063</v>
      </c>
      <c r="J57" s="167" t="s">
        <v>2052</v>
      </c>
      <c r="K57" s="167" t="s">
        <v>1818</v>
      </c>
      <c r="L57" s="167" t="s">
        <v>1563</v>
      </c>
      <c r="M57" s="167" t="s">
        <v>1324</v>
      </c>
      <c r="N57" s="167" t="s">
        <v>1564</v>
      </c>
      <c r="O57" s="167" t="s">
        <v>1354</v>
      </c>
      <c r="P57" s="212" t="s">
        <v>258</v>
      </c>
      <c r="Q57" s="219" t="s">
        <v>2064</v>
      </c>
      <c r="R57" s="213" t="s">
        <v>1535</v>
      </c>
      <c r="S57" s="226" t="s">
        <v>2065</v>
      </c>
      <c r="T57" s="212" t="s">
        <v>260</v>
      </c>
      <c r="U57" s="212" t="s">
        <v>387</v>
      </c>
      <c r="V57" s="214" t="s">
        <v>2066</v>
      </c>
      <c r="W57" s="215" t="s">
        <v>2067</v>
      </c>
      <c r="X57" s="220" t="s">
        <v>2068</v>
      </c>
      <c r="Y57" s="223" t="s">
        <v>2069</v>
      </c>
      <c r="Z57" s="224" t="s">
        <v>2070</v>
      </c>
      <c r="AA57" s="171" t="s">
        <v>1861</v>
      </c>
      <c r="AB57" s="224"/>
    </row>
    <row r="58">
      <c r="A58" s="160" t="s">
        <v>2071</v>
      </c>
      <c r="B58" s="161" t="s">
        <v>2072</v>
      </c>
      <c r="C58" s="162" t="s">
        <v>2073</v>
      </c>
      <c r="D58" s="163" t="s">
        <v>2074</v>
      </c>
      <c r="E58" s="164" t="s">
        <v>1346</v>
      </c>
      <c r="F58" s="227" t="s">
        <v>1347</v>
      </c>
      <c r="G58" s="166" t="s">
        <v>2075</v>
      </c>
      <c r="H58" s="166" t="s">
        <v>2076</v>
      </c>
      <c r="I58" s="221" t="s">
        <v>1434</v>
      </c>
      <c r="J58" s="228" t="s">
        <v>2052</v>
      </c>
      <c r="K58" s="167" t="s">
        <v>1818</v>
      </c>
      <c r="L58" s="167" t="s">
        <v>2077</v>
      </c>
      <c r="M58" s="167" t="s">
        <v>1324</v>
      </c>
      <c r="N58" s="167" t="s">
        <v>1437</v>
      </c>
      <c r="O58" s="167" t="s">
        <v>1630</v>
      </c>
      <c r="P58" s="212" t="s">
        <v>258</v>
      </c>
      <c r="Q58" s="219" t="s">
        <v>2078</v>
      </c>
      <c r="R58" s="226" t="s">
        <v>2079</v>
      </c>
      <c r="S58" s="213" t="s">
        <v>258</v>
      </c>
      <c r="T58" s="212" t="s">
        <v>258</v>
      </c>
      <c r="U58" s="212" t="s">
        <v>2080</v>
      </c>
      <c r="V58" s="214" t="s">
        <v>2081</v>
      </c>
      <c r="W58" s="215" t="s">
        <v>258</v>
      </c>
      <c r="X58" s="220" t="s">
        <v>1897</v>
      </c>
      <c r="Y58" s="229" t="s">
        <v>2082</v>
      </c>
      <c r="Z58" s="230" t="s">
        <v>2083</v>
      </c>
      <c r="AA58" s="171" t="s">
        <v>2084</v>
      </c>
      <c r="AB58" s="230"/>
    </row>
    <row r="59">
      <c r="A59" s="160" t="s">
        <v>2085</v>
      </c>
      <c r="B59" s="161" t="s">
        <v>2086</v>
      </c>
      <c r="C59" s="162" t="s">
        <v>2087</v>
      </c>
      <c r="D59" s="163" t="s">
        <v>2088</v>
      </c>
      <c r="E59" s="164" t="s">
        <v>1413</v>
      </c>
      <c r="F59" s="165" t="s">
        <v>1347</v>
      </c>
      <c r="G59" s="210" t="s">
        <v>2089</v>
      </c>
      <c r="H59" s="210" t="s">
        <v>2090</v>
      </c>
      <c r="I59" s="210" t="s">
        <v>2091</v>
      </c>
      <c r="J59" s="167" t="s">
        <v>2052</v>
      </c>
      <c r="K59" s="167" t="s">
        <v>2092</v>
      </c>
      <c r="L59" s="167" t="s">
        <v>1930</v>
      </c>
      <c r="M59" s="167" t="s">
        <v>1324</v>
      </c>
      <c r="N59" s="167" t="s">
        <v>1520</v>
      </c>
      <c r="O59" s="167" t="s">
        <v>1354</v>
      </c>
      <c r="P59" s="212" t="s">
        <v>258</v>
      </c>
      <c r="Q59" s="212" t="s">
        <v>258</v>
      </c>
      <c r="R59" s="226" t="s">
        <v>2093</v>
      </c>
      <c r="S59" s="213" t="s">
        <v>258</v>
      </c>
      <c r="T59" s="212" t="s">
        <v>258</v>
      </c>
      <c r="U59" s="212" t="s">
        <v>562</v>
      </c>
      <c r="V59" s="214" t="s">
        <v>2094</v>
      </c>
      <c r="W59" s="215" t="s">
        <v>1597</v>
      </c>
      <c r="X59" s="220" t="s">
        <v>2095</v>
      </c>
      <c r="Y59" s="217" t="s">
        <v>258</v>
      </c>
      <c r="Z59" s="218" t="s">
        <v>2096</v>
      </c>
      <c r="AA59" s="171" t="s">
        <v>1428</v>
      </c>
      <c r="AB59" s="218"/>
    </row>
    <row r="60">
      <c r="A60" s="160" t="s">
        <v>2097</v>
      </c>
      <c r="B60" s="161" t="s">
        <v>2098</v>
      </c>
      <c r="C60" s="162" t="s">
        <v>2099</v>
      </c>
      <c r="D60" s="163" t="s">
        <v>2100</v>
      </c>
      <c r="E60" s="164" t="s">
        <v>1413</v>
      </c>
      <c r="F60" s="165" t="s">
        <v>1347</v>
      </c>
      <c r="G60" s="166" t="s">
        <v>2101</v>
      </c>
      <c r="H60" s="166" t="s">
        <v>2102</v>
      </c>
      <c r="I60" s="166" t="s">
        <v>2103</v>
      </c>
      <c r="J60" s="167" t="s">
        <v>2052</v>
      </c>
      <c r="K60" s="231" t="s">
        <v>2092</v>
      </c>
      <c r="L60" s="231" t="s">
        <v>1930</v>
      </c>
      <c r="M60" s="167" t="s">
        <v>1324</v>
      </c>
      <c r="N60" s="167" t="s">
        <v>1520</v>
      </c>
      <c r="O60" s="167" t="s">
        <v>1354</v>
      </c>
      <c r="P60" s="212" t="s">
        <v>258</v>
      </c>
      <c r="Q60" s="212" t="s">
        <v>258</v>
      </c>
      <c r="R60" s="213" t="s">
        <v>258</v>
      </c>
      <c r="S60" s="213" t="s">
        <v>258</v>
      </c>
      <c r="T60" s="212" t="s">
        <v>258</v>
      </c>
      <c r="U60" s="212" t="s">
        <v>2104</v>
      </c>
      <c r="V60" s="214" t="s">
        <v>2105</v>
      </c>
      <c r="W60" s="215" t="s">
        <v>2106</v>
      </c>
      <c r="X60" s="220" t="s">
        <v>2107</v>
      </c>
      <c r="Y60" s="223" t="s">
        <v>2108</v>
      </c>
      <c r="Z60" s="224" t="s">
        <v>2109</v>
      </c>
      <c r="AA60" s="171" t="s">
        <v>2110</v>
      </c>
      <c r="AB60" s="224"/>
    </row>
    <row r="61">
      <c r="A61" s="160" t="s">
        <v>2111</v>
      </c>
      <c r="B61" s="161" t="s">
        <v>2112</v>
      </c>
      <c r="C61" s="162" t="s">
        <v>2113</v>
      </c>
      <c r="D61" s="163" t="s">
        <v>2114</v>
      </c>
      <c r="E61" s="164" t="s">
        <v>1413</v>
      </c>
      <c r="F61" s="165" t="s">
        <v>1701</v>
      </c>
      <c r="G61" s="166" t="s">
        <v>2115</v>
      </c>
      <c r="H61" s="166" t="s">
        <v>2116</v>
      </c>
      <c r="I61" s="166" t="s">
        <v>2117</v>
      </c>
      <c r="J61" s="167" t="s">
        <v>2052</v>
      </c>
      <c r="K61" s="231" t="s">
        <v>1467</v>
      </c>
      <c r="L61" s="231" t="s">
        <v>1930</v>
      </c>
      <c r="M61" s="167" t="s">
        <v>1324</v>
      </c>
      <c r="N61" s="167" t="s">
        <v>1437</v>
      </c>
      <c r="O61" s="167" t="s">
        <v>1630</v>
      </c>
      <c r="P61" s="212" t="s">
        <v>258</v>
      </c>
      <c r="Q61" s="212" t="s">
        <v>258</v>
      </c>
      <c r="R61" s="213" t="s">
        <v>258</v>
      </c>
      <c r="S61" s="213" t="s">
        <v>258</v>
      </c>
      <c r="T61" s="212" t="s">
        <v>258</v>
      </c>
      <c r="U61" s="212" t="s">
        <v>345</v>
      </c>
      <c r="V61" s="214" t="s">
        <v>2118</v>
      </c>
      <c r="W61" s="215" t="s">
        <v>258</v>
      </c>
      <c r="X61" s="220" t="s">
        <v>2107</v>
      </c>
      <c r="Y61" s="217" t="s">
        <v>258</v>
      </c>
      <c r="Z61" s="218" t="s">
        <v>2119</v>
      </c>
      <c r="AA61" s="185" t="s">
        <v>258</v>
      </c>
      <c r="AB61" s="218"/>
    </row>
    <row r="62">
      <c r="A62" s="160" t="s">
        <v>2120</v>
      </c>
      <c r="B62" s="161" t="s">
        <v>2121</v>
      </c>
      <c r="C62" s="162" t="s">
        <v>2122</v>
      </c>
      <c r="D62" s="161" t="s">
        <v>2123</v>
      </c>
      <c r="E62" s="164" t="s">
        <v>1346</v>
      </c>
      <c r="F62" s="165" t="s">
        <v>1347</v>
      </c>
      <c r="G62" s="166" t="s">
        <v>2124</v>
      </c>
      <c r="H62" s="166" t="s">
        <v>2125</v>
      </c>
      <c r="I62" s="166" t="s">
        <v>2126</v>
      </c>
      <c r="J62" s="167" t="s">
        <v>394</v>
      </c>
      <c r="K62" s="167" t="s">
        <v>1818</v>
      </c>
      <c r="L62" s="167" t="s">
        <v>1352</v>
      </c>
      <c r="M62" s="231" t="s">
        <v>1324</v>
      </c>
      <c r="N62" s="167" t="s">
        <v>1437</v>
      </c>
      <c r="O62" s="167" t="s">
        <v>1630</v>
      </c>
      <c r="P62" s="219" t="s">
        <v>2127</v>
      </c>
      <c r="Q62" s="212" t="s">
        <v>258</v>
      </c>
      <c r="R62" s="212" t="s">
        <v>2128</v>
      </c>
      <c r="S62" s="212" t="s">
        <v>258</v>
      </c>
      <c r="T62" s="212" t="s">
        <v>258</v>
      </c>
      <c r="U62" s="212" t="s">
        <v>2107</v>
      </c>
      <c r="V62" s="214" t="s">
        <v>2129</v>
      </c>
      <c r="W62" s="215" t="s">
        <v>2130</v>
      </c>
      <c r="X62" s="220" t="s">
        <v>2131</v>
      </c>
      <c r="Y62" s="229" t="s">
        <v>2132</v>
      </c>
      <c r="Z62" s="230" t="s">
        <v>2133</v>
      </c>
      <c r="AA62" s="171" t="s">
        <v>1787</v>
      </c>
      <c r="AB62" s="230"/>
    </row>
    <row r="63">
      <c r="A63" s="118" t="s">
        <v>2134</v>
      </c>
      <c r="B63" s="182" t="s">
        <v>2135</v>
      </c>
      <c r="C63" s="232" t="s">
        <v>1563</v>
      </c>
      <c r="D63" s="233" t="s">
        <v>2136</v>
      </c>
      <c r="E63" s="164" t="s">
        <v>2137</v>
      </c>
      <c r="F63" s="227" t="s">
        <v>1701</v>
      </c>
      <c r="G63" s="234" t="s">
        <v>2138</v>
      </c>
      <c r="H63" s="191" t="s">
        <v>1433</v>
      </c>
      <c r="I63" s="191" t="s">
        <v>1434</v>
      </c>
      <c r="J63" s="167" t="s">
        <v>394</v>
      </c>
      <c r="K63" s="231" t="s">
        <v>1818</v>
      </c>
      <c r="L63" s="231" t="s">
        <v>2139</v>
      </c>
      <c r="M63" s="167" t="s">
        <v>2139</v>
      </c>
      <c r="N63" s="167" t="s">
        <v>2140</v>
      </c>
      <c r="O63" s="167" t="s">
        <v>1630</v>
      </c>
      <c r="P63" s="235" t="s">
        <v>2141</v>
      </c>
      <c r="Q63" s="236" t="s">
        <v>2142</v>
      </c>
      <c r="R63" s="213" t="s">
        <v>258</v>
      </c>
      <c r="S63" s="212" t="s">
        <v>258</v>
      </c>
      <c r="T63" s="212" t="s">
        <v>2143</v>
      </c>
      <c r="U63" s="214" t="s">
        <v>2144</v>
      </c>
      <c r="V63" s="215" t="s">
        <v>2145</v>
      </c>
      <c r="W63" s="220" t="s">
        <v>2146</v>
      </c>
      <c r="X63" s="220" t="s">
        <v>2146</v>
      </c>
      <c r="Y63" s="217" t="s">
        <v>2147</v>
      </c>
      <c r="Z63" s="237" t="s">
        <v>2148</v>
      </c>
      <c r="AA63" s="185" t="s">
        <v>258</v>
      </c>
      <c r="AB63" s="218"/>
    </row>
    <row r="64">
      <c r="A64" s="160" t="s">
        <v>2149</v>
      </c>
      <c r="B64" s="161" t="s">
        <v>2150</v>
      </c>
      <c r="C64" s="162" t="s">
        <v>2151</v>
      </c>
      <c r="D64" s="161" t="s">
        <v>2152</v>
      </c>
      <c r="E64" s="164" t="s">
        <v>1346</v>
      </c>
      <c r="F64" s="227" t="s">
        <v>1701</v>
      </c>
      <c r="G64" s="166" t="s">
        <v>2153</v>
      </c>
      <c r="H64" s="166" t="s">
        <v>2154</v>
      </c>
      <c r="I64" s="221" t="s">
        <v>1434</v>
      </c>
      <c r="J64" s="167" t="s">
        <v>394</v>
      </c>
      <c r="K64" s="167" t="s">
        <v>1818</v>
      </c>
      <c r="L64" s="167" t="s">
        <v>1352</v>
      </c>
      <c r="M64" s="167" t="s">
        <v>1324</v>
      </c>
      <c r="N64" s="167" t="s">
        <v>1437</v>
      </c>
      <c r="O64" s="167" t="s">
        <v>1354</v>
      </c>
      <c r="P64" s="238" t="s">
        <v>258</v>
      </c>
      <c r="Q64" s="239" t="s">
        <v>2155</v>
      </c>
      <c r="R64" s="212" t="s">
        <v>2156</v>
      </c>
      <c r="S64" s="212" t="s">
        <v>258</v>
      </c>
      <c r="T64" s="212" t="s">
        <v>258</v>
      </c>
      <c r="U64" s="212" t="s">
        <v>1823</v>
      </c>
      <c r="V64" s="214" t="s">
        <v>2157</v>
      </c>
      <c r="W64" s="215" t="s">
        <v>258</v>
      </c>
      <c r="X64" s="220" t="s">
        <v>2158</v>
      </c>
      <c r="Y64" s="217" t="s">
        <v>258</v>
      </c>
      <c r="Z64" s="218" t="s">
        <v>2159</v>
      </c>
      <c r="AA64" s="171" t="s">
        <v>2160</v>
      </c>
      <c r="AB64" s="218"/>
    </row>
    <row r="65">
      <c r="A65" s="160" t="s">
        <v>2161</v>
      </c>
      <c r="B65" s="161" t="s">
        <v>2162</v>
      </c>
      <c r="C65" s="162" t="s">
        <v>2163</v>
      </c>
      <c r="D65" s="161" t="s">
        <v>2164</v>
      </c>
      <c r="E65" s="212" t="s">
        <v>1484</v>
      </c>
      <c r="F65" s="165" t="s">
        <v>1485</v>
      </c>
      <c r="G65" s="210" t="s">
        <v>2165</v>
      </c>
      <c r="H65" s="210" t="s">
        <v>2166</v>
      </c>
      <c r="I65" s="240" t="s">
        <v>1434</v>
      </c>
      <c r="J65" s="167" t="s">
        <v>394</v>
      </c>
      <c r="K65" s="167" t="s">
        <v>1818</v>
      </c>
      <c r="L65" s="167" t="s">
        <v>1352</v>
      </c>
      <c r="M65" s="167" t="s">
        <v>1534</v>
      </c>
      <c r="N65" s="167" t="s">
        <v>1437</v>
      </c>
      <c r="O65" s="167" t="s">
        <v>1354</v>
      </c>
      <c r="P65" s="213" t="s">
        <v>258</v>
      </c>
      <c r="Q65" s="219" t="s">
        <v>2167</v>
      </c>
      <c r="R65" s="212" t="s">
        <v>2168</v>
      </c>
      <c r="S65" s="212" t="s">
        <v>2169</v>
      </c>
      <c r="T65" s="212" t="s">
        <v>258</v>
      </c>
      <c r="U65" s="212" t="s">
        <v>2170</v>
      </c>
      <c r="V65" s="214" t="s">
        <v>2171</v>
      </c>
      <c r="W65" s="215" t="s">
        <v>258</v>
      </c>
      <c r="X65" s="220" t="s">
        <v>2172</v>
      </c>
      <c r="Y65" s="217" t="s">
        <v>258</v>
      </c>
      <c r="Z65" s="218" t="s">
        <v>2173</v>
      </c>
      <c r="AA65" s="171" t="s">
        <v>1479</v>
      </c>
      <c r="AB65" s="218"/>
    </row>
    <row r="66">
      <c r="A66" s="118" t="s">
        <v>2174</v>
      </c>
      <c r="B66" s="181" t="s">
        <v>2175</v>
      </c>
      <c r="C66" s="181" t="s">
        <v>2176</v>
      </c>
      <c r="D66" s="181" t="s">
        <v>2177</v>
      </c>
      <c r="E66" s="212" t="s">
        <v>1413</v>
      </c>
      <c r="F66" s="165" t="s">
        <v>1701</v>
      </c>
      <c r="G66" s="210" t="s">
        <v>1432</v>
      </c>
      <c r="H66" s="210" t="s">
        <v>1433</v>
      </c>
      <c r="I66" s="240" t="s">
        <v>1434</v>
      </c>
      <c r="J66" s="241" t="s">
        <v>1792</v>
      </c>
      <c r="K66" s="167" t="s">
        <v>1351</v>
      </c>
      <c r="L66" s="167" t="s">
        <v>1930</v>
      </c>
      <c r="M66" s="167" t="s">
        <v>1324</v>
      </c>
      <c r="N66" s="167" t="s">
        <v>1437</v>
      </c>
      <c r="O66" s="241" t="s">
        <v>1630</v>
      </c>
      <c r="P66" s="242" t="s">
        <v>258</v>
      </c>
      <c r="Q66" s="242" t="s">
        <v>258</v>
      </c>
      <c r="R66" s="212" t="s">
        <v>2178</v>
      </c>
      <c r="S66" s="212" t="s">
        <v>258</v>
      </c>
      <c r="T66" s="212" t="s">
        <v>258</v>
      </c>
      <c r="U66" s="214" t="s">
        <v>2179</v>
      </c>
      <c r="V66" s="215" t="s">
        <v>2180</v>
      </c>
      <c r="W66" s="220" t="s">
        <v>2181</v>
      </c>
      <c r="X66" s="243" t="s">
        <v>2182</v>
      </c>
      <c r="Y66" s="244" t="s">
        <v>2183</v>
      </c>
      <c r="Z66" s="237" t="s">
        <v>2184</v>
      </c>
      <c r="AA66" s="171" t="s">
        <v>2185</v>
      </c>
      <c r="AB66" s="218"/>
    </row>
    <row r="67">
      <c r="A67" s="118" t="s">
        <v>2186</v>
      </c>
      <c r="B67" s="118" t="s">
        <v>111</v>
      </c>
      <c r="C67" s="118" t="s">
        <v>2187</v>
      </c>
      <c r="D67" s="118" t="s">
        <v>2188</v>
      </c>
      <c r="E67" s="212" t="s">
        <v>1413</v>
      </c>
      <c r="F67" s="165" t="s">
        <v>1347</v>
      </c>
      <c r="G67" s="210" t="s">
        <v>1432</v>
      </c>
      <c r="H67" s="210" t="s">
        <v>1433</v>
      </c>
      <c r="I67" s="240" t="s">
        <v>1434</v>
      </c>
      <c r="J67" s="181" t="s">
        <v>1792</v>
      </c>
      <c r="K67" s="167" t="s">
        <v>1435</v>
      </c>
      <c r="L67" s="167" t="s">
        <v>2189</v>
      </c>
      <c r="M67" s="167" t="s">
        <v>1324</v>
      </c>
      <c r="N67" s="167" t="s">
        <v>1490</v>
      </c>
      <c r="O67" s="241" t="s">
        <v>1630</v>
      </c>
      <c r="P67" s="242" t="s">
        <v>258</v>
      </c>
      <c r="Q67" s="242" t="s">
        <v>258</v>
      </c>
      <c r="R67" s="212" t="s">
        <v>258</v>
      </c>
      <c r="S67" s="235" t="s">
        <v>2190</v>
      </c>
      <c r="T67" s="212" t="s">
        <v>1606</v>
      </c>
      <c r="U67" s="214" t="s">
        <v>258</v>
      </c>
      <c r="V67" s="214" t="s">
        <v>258</v>
      </c>
      <c r="W67" s="220" t="s">
        <v>1607</v>
      </c>
      <c r="X67" s="217" t="s">
        <v>1608</v>
      </c>
      <c r="Y67" s="244" t="s">
        <v>2191</v>
      </c>
      <c r="Z67" s="237" t="s">
        <v>2192</v>
      </c>
      <c r="AA67" s="245" t="s">
        <v>1861</v>
      </c>
      <c r="AB67" s="218"/>
    </row>
    <row r="68">
      <c r="A68" s="118" t="s">
        <v>2193</v>
      </c>
      <c r="B68" s="118" t="s">
        <v>113</v>
      </c>
      <c r="C68" s="118" t="s">
        <v>2194</v>
      </c>
      <c r="D68" s="118" t="s">
        <v>2195</v>
      </c>
      <c r="E68" s="212" t="s">
        <v>1413</v>
      </c>
      <c r="F68" s="165" t="s">
        <v>1347</v>
      </c>
      <c r="G68" s="210" t="s">
        <v>1432</v>
      </c>
      <c r="H68" s="210" t="s">
        <v>1433</v>
      </c>
      <c r="I68" s="240" t="s">
        <v>1434</v>
      </c>
      <c r="J68" s="181" t="s">
        <v>1792</v>
      </c>
      <c r="K68" s="167" t="s">
        <v>1435</v>
      </c>
      <c r="L68" s="167" t="s">
        <v>2189</v>
      </c>
      <c r="M68" s="167" t="s">
        <v>1324</v>
      </c>
      <c r="N68" s="167" t="s">
        <v>1490</v>
      </c>
      <c r="O68" s="241" t="s">
        <v>1630</v>
      </c>
      <c r="P68" s="219" t="s">
        <v>2196</v>
      </c>
      <c r="Q68" s="242" t="s">
        <v>258</v>
      </c>
      <c r="R68" s="212" t="s">
        <v>2197</v>
      </c>
      <c r="S68" s="212" t="s">
        <v>258</v>
      </c>
      <c r="T68" s="212" t="s">
        <v>2198</v>
      </c>
      <c r="U68" s="214" t="s">
        <v>258</v>
      </c>
      <c r="V68" s="215" t="s">
        <v>258</v>
      </c>
      <c r="W68" s="220" t="s">
        <v>1739</v>
      </c>
      <c r="X68" s="217" t="s">
        <v>2199</v>
      </c>
      <c r="Y68" s="244" t="s">
        <v>2200</v>
      </c>
      <c r="Z68" s="237" t="s">
        <v>2201</v>
      </c>
      <c r="AA68" s="245" t="s">
        <v>2202</v>
      </c>
      <c r="AB68" s="218"/>
    </row>
    <row r="69">
      <c r="A69" s="118" t="s">
        <v>2203</v>
      </c>
      <c r="B69" s="118" t="s">
        <v>35</v>
      </c>
      <c r="C69" s="118" t="s">
        <v>2204</v>
      </c>
      <c r="D69" s="118" t="s">
        <v>2205</v>
      </c>
      <c r="E69" s="118" t="s">
        <v>1346</v>
      </c>
      <c r="F69" s="246" t="s">
        <v>1347</v>
      </c>
      <c r="G69" s="247" t="s">
        <v>1432</v>
      </c>
      <c r="H69" s="247" t="s">
        <v>1433</v>
      </c>
      <c r="I69" s="248" t="s">
        <v>1434</v>
      </c>
      <c r="J69" s="181" t="s">
        <v>1792</v>
      </c>
      <c r="K69" s="181" t="s">
        <v>1351</v>
      </c>
      <c r="L69" s="181" t="s">
        <v>1352</v>
      </c>
      <c r="M69" s="181" t="s">
        <v>1324</v>
      </c>
      <c r="N69" s="181" t="s">
        <v>1437</v>
      </c>
      <c r="O69" s="181" t="s">
        <v>1354</v>
      </c>
      <c r="P69" s="242" t="s">
        <v>258</v>
      </c>
      <c r="Q69" s="249" t="s">
        <v>2206</v>
      </c>
      <c r="R69" s="249" t="s">
        <v>2207</v>
      </c>
      <c r="S69" s="249" t="s">
        <v>2208</v>
      </c>
      <c r="T69" s="181" t="s">
        <v>258</v>
      </c>
      <c r="U69" s="250" t="s">
        <v>1358</v>
      </c>
      <c r="V69" s="181" t="s">
        <v>1359</v>
      </c>
      <c r="W69" s="181" t="s">
        <v>1360</v>
      </c>
      <c r="X69" s="181" t="s">
        <v>1361</v>
      </c>
      <c r="Y69" s="182" t="s">
        <v>2209</v>
      </c>
      <c r="Z69" s="251" t="s">
        <v>1362</v>
      </c>
      <c r="AA69" s="252" t="s">
        <v>258</v>
      </c>
      <c r="AB69" s="253"/>
    </row>
    <row r="70">
      <c r="A70" s="118" t="s">
        <v>2210</v>
      </c>
      <c r="B70" s="118" t="s">
        <v>159</v>
      </c>
      <c r="C70" s="253" t="s">
        <v>2211</v>
      </c>
      <c r="D70" s="118" t="s">
        <v>2212</v>
      </c>
      <c r="E70" s="254" t="s">
        <v>1484</v>
      </c>
      <c r="F70" s="255" t="s">
        <v>1485</v>
      </c>
      <c r="G70" s="247" t="s">
        <v>1432</v>
      </c>
      <c r="H70" s="256" t="s">
        <v>1433</v>
      </c>
      <c r="I70" s="257" t="s">
        <v>1434</v>
      </c>
      <c r="J70" s="118" t="s">
        <v>1087</v>
      </c>
      <c r="K70" s="241" t="s">
        <v>1818</v>
      </c>
      <c r="L70" s="118" t="s">
        <v>222</v>
      </c>
      <c r="M70" s="241" t="s">
        <v>1534</v>
      </c>
      <c r="N70" s="181" t="s">
        <v>1490</v>
      </c>
      <c r="O70" s="241" t="s">
        <v>1630</v>
      </c>
      <c r="P70" s="258" t="s">
        <v>2213</v>
      </c>
      <c r="Q70" s="258" t="s">
        <v>2214</v>
      </c>
      <c r="R70" s="259" t="s">
        <v>2215</v>
      </c>
      <c r="S70" s="258" t="s">
        <v>258</v>
      </c>
      <c r="T70" s="258" t="s">
        <v>258</v>
      </c>
      <c r="U70" s="258" t="s">
        <v>2216</v>
      </c>
      <c r="V70" s="260" t="s">
        <v>2217</v>
      </c>
      <c r="W70" s="260" t="s">
        <v>2218</v>
      </c>
      <c r="X70" s="260" t="s">
        <v>2219</v>
      </c>
      <c r="Y70" s="260" t="s">
        <v>2220</v>
      </c>
      <c r="Z70" s="260" t="s">
        <v>2221</v>
      </c>
      <c r="AA70" s="245" t="s">
        <v>2222</v>
      </c>
      <c r="AB70" s="261"/>
    </row>
    <row r="71">
      <c r="A71" s="118" t="s">
        <v>2223</v>
      </c>
      <c r="B71" s="118" t="s">
        <v>161</v>
      </c>
      <c r="C71" s="253" t="s">
        <v>2224</v>
      </c>
      <c r="D71" s="118" t="s">
        <v>2225</v>
      </c>
      <c r="E71" s="181" t="s">
        <v>1413</v>
      </c>
      <c r="F71" s="255" t="s">
        <v>1347</v>
      </c>
      <c r="G71" s="247" t="s">
        <v>1432</v>
      </c>
      <c r="H71" s="247" t="s">
        <v>1433</v>
      </c>
      <c r="I71" s="257" t="s">
        <v>1434</v>
      </c>
      <c r="J71" s="118" t="s">
        <v>1087</v>
      </c>
      <c r="K71" s="241" t="s">
        <v>1818</v>
      </c>
      <c r="L71" s="118" t="s">
        <v>222</v>
      </c>
      <c r="M71" s="241" t="s">
        <v>1534</v>
      </c>
      <c r="N71" s="181" t="s">
        <v>1490</v>
      </c>
      <c r="O71" s="241" t="s">
        <v>1630</v>
      </c>
      <c r="P71" s="258" t="s">
        <v>2226</v>
      </c>
      <c r="Q71" s="258" t="s">
        <v>2227</v>
      </c>
      <c r="R71" s="259" t="s">
        <v>2228</v>
      </c>
      <c r="S71" s="258" t="s">
        <v>258</v>
      </c>
      <c r="T71" s="258" t="s">
        <v>258</v>
      </c>
      <c r="U71" s="258" t="s">
        <v>2229</v>
      </c>
      <c r="V71" s="260" t="s">
        <v>2230</v>
      </c>
      <c r="W71" s="260" t="s">
        <v>2231</v>
      </c>
      <c r="X71" s="260" t="s">
        <v>2232</v>
      </c>
      <c r="Y71" s="260" t="s">
        <v>2233</v>
      </c>
      <c r="Z71" s="260" t="s">
        <v>2234</v>
      </c>
      <c r="AA71" s="252" t="s">
        <v>258</v>
      </c>
      <c r="AB71" s="261"/>
    </row>
    <row r="72">
      <c r="A72" s="118" t="s">
        <v>2235</v>
      </c>
      <c r="B72" s="118" t="s">
        <v>163</v>
      </c>
      <c r="C72" s="253" t="s">
        <v>2236</v>
      </c>
      <c r="D72" s="118" t="s">
        <v>2237</v>
      </c>
      <c r="E72" s="118" t="s">
        <v>1346</v>
      </c>
      <c r="F72" s="255" t="s">
        <v>1347</v>
      </c>
      <c r="G72" s="247" t="s">
        <v>1432</v>
      </c>
      <c r="H72" s="247" t="s">
        <v>1433</v>
      </c>
      <c r="I72" s="257" t="s">
        <v>1434</v>
      </c>
      <c r="J72" s="118" t="s">
        <v>1087</v>
      </c>
      <c r="K72" s="241" t="s">
        <v>1818</v>
      </c>
      <c r="L72" s="118" t="s">
        <v>222</v>
      </c>
      <c r="M72" s="241" t="s">
        <v>1534</v>
      </c>
      <c r="N72" s="181" t="s">
        <v>1490</v>
      </c>
      <c r="O72" s="241" t="s">
        <v>1630</v>
      </c>
      <c r="P72" s="258" t="s">
        <v>2238</v>
      </c>
      <c r="Q72" s="258" t="s">
        <v>2239</v>
      </c>
      <c r="R72" s="259" t="s">
        <v>2240</v>
      </c>
      <c r="S72" s="258" t="s">
        <v>258</v>
      </c>
      <c r="T72" s="258" t="s">
        <v>258</v>
      </c>
      <c r="U72" s="258" t="s">
        <v>2241</v>
      </c>
      <c r="V72" s="260" t="s">
        <v>2242</v>
      </c>
      <c r="W72" s="260" t="s">
        <v>2243</v>
      </c>
      <c r="X72" s="260" t="s">
        <v>2244</v>
      </c>
      <c r="Y72" s="260" t="s">
        <v>2220</v>
      </c>
      <c r="Z72" s="260" t="s">
        <v>2245</v>
      </c>
      <c r="AA72" s="245" t="s">
        <v>2246</v>
      </c>
      <c r="AB72" s="261"/>
    </row>
    <row r="73">
      <c r="A73" s="118" t="s">
        <v>2247</v>
      </c>
      <c r="B73" s="118" t="s">
        <v>165</v>
      </c>
      <c r="C73" s="253" t="s">
        <v>2248</v>
      </c>
      <c r="D73" s="118" t="s">
        <v>2249</v>
      </c>
      <c r="E73" s="118" t="s">
        <v>1413</v>
      </c>
      <c r="F73" s="262" t="s">
        <v>1347</v>
      </c>
      <c r="G73" s="247" t="s">
        <v>1432</v>
      </c>
      <c r="H73" s="247" t="s">
        <v>1433</v>
      </c>
      <c r="I73" s="257" t="s">
        <v>1434</v>
      </c>
      <c r="J73" s="118" t="s">
        <v>1087</v>
      </c>
      <c r="K73" s="241" t="s">
        <v>1818</v>
      </c>
      <c r="L73" s="118" t="s">
        <v>222</v>
      </c>
      <c r="M73" s="241" t="s">
        <v>1534</v>
      </c>
      <c r="N73" s="181" t="s">
        <v>1490</v>
      </c>
      <c r="O73" s="241" t="s">
        <v>1630</v>
      </c>
      <c r="P73" s="258" t="s">
        <v>2250</v>
      </c>
      <c r="Q73" s="258" t="s">
        <v>2251</v>
      </c>
      <c r="R73" s="258" t="s">
        <v>258</v>
      </c>
      <c r="S73" s="258" t="s">
        <v>258</v>
      </c>
      <c r="T73" s="258" t="s">
        <v>260</v>
      </c>
      <c r="U73" s="258" t="s">
        <v>2252</v>
      </c>
      <c r="V73" s="260" t="s">
        <v>2253</v>
      </c>
      <c r="W73" s="260" t="s">
        <v>2254</v>
      </c>
      <c r="X73" s="260" t="s">
        <v>2255</v>
      </c>
      <c r="Y73" s="260" t="s">
        <v>2256</v>
      </c>
      <c r="Z73" s="260" t="s">
        <v>2257</v>
      </c>
      <c r="AA73" s="252" t="s">
        <v>258</v>
      </c>
      <c r="AB73" s="261"/>
    </row>
    <row r="74">
      <c r="A74" s="118" t="s">
        <v>2258</v>
      </c>
      <c r="B74" s="118" t="s">
        <v>167</v>
      </c>
      <c r="C74" s="253" t="s">
        <v>2259</v>
      </c>
      <c r="D74" s="263" t="s">
        <v>2260</v>
      </c>
      <c r="E74" s="118" t="s">
        <v>1413</v>
      </c>
      <c r="F74" s="262" t="s">
        <v>1347</v>
      </c>
      <c r="G74" s="264" t="s">
        <v>1432</v>
      </c>
      <c r="H74" s="264" t="s">
        <v>1433</v>
      </c>
      <c r="I74" s="265" t="s">
        <v>1714</v>
      </c>
      <c r="J74" s="118" t="s">
        <v>1087</v>
      </c>
      <c r="K74" s="181" t="s">
        <v>1351</v>
      </c>
      <c r="L74" s="118" t="s">
        <v>222</v>
      </c>
      <c r="M74" s="241" t="s">
        <v>1534</v>
      </c>
      <c r="N74" s="181" t="s">
        <v>1490</v>
      </c>
      <c r="O74" s="241" t="s">
        <v>1630</v>
      </c>
      <c r="P74" s="258" t="s">
        <v>2261</v>
      </c>
      <c r="Q74" s="258" t="s">
        <v>2262</v>
      </c>
      <c r="R74" s="259" t="s">
        <v>2263</v>
      </c>
      <c r="S74" s="258" t="s">
        <v>258</v>
      </c>
      <c r="T74" s="258" t="s">
        <v>258</v>
      </c>
      <c r="U74" s="258" t="s">
        <v>2264</v>
      </c>
      <c r="V74" s="260" t="s">
        <v>2265</v>
      </c>
      <c r="W74" s="260" t="s">
        <v>2266</v>
      </c>
      <c r="X74" s="260" t="s">
        <v>2267</v>
      </c>
      <c r="Y74" s="260" t="s">
        <v>2233</v>
      </c>
      <c r="Z74" s="260" t="s">
        <v>2268</v>
      </c>
      <c r="AA74" s="245" t="s">
        <v>2269</v>
      </c>
      <c r="AB74" s="261"/>
    </row>
    <row r="75">
      <c r="A75" s="118" t="s">
        <v>2270</v>
      </c>
      <c r="B75" s="263" t="s">
        <v>169</v>
      </c>
      <c r="C75" s="253" t="s">
        <v>2271</v>
      </c>
      <c r="D75" s="118" t="s">
        <v>2272</v>
      </c>
      <c r="E75" s="118" t="s">
        <v>1413</v>
      </c>
      <c r="F75" s="262" t="s">
        <v>1347</v>
      </c>
      <c r="G75" s="266" t="s">
        <v>1432</v>
      </c>
      <c r="H75" s="266" t="s">
        <v>1433</v>
      </c>
      <c r="I75" s="267" t="s">
        <v>1434</v>
      </c>
      <c r="J75" s="118" t="s">
        <v>1087</v>
      </c>
      <c r="K75" s="181" t="s">
        <v>1351</v>
      </c>
      <c r="L75" s="118" t="s">
        <v>2273</v>
      </c>
      <c r="M75" s="241" t="s">
        <v>1534</v>
      </c>
      <c r="N75" s="181" t="s">
        <v>1490</v>
      </c>
      <c r="O75" s="241" t="s">
        <v>1630</v>
      </c>
      <c r="P75" s="258" t="s">
        <v>2274</v>
      </c>
      <c r="Q75" s="258" t="s">
        <v>2275</v>
      </c>
      <c r="R75" s="259" t="s">
        <v>2276</v>
      </c>
      <c r="S75" s="258" t="s">
        <v>258</v>
      </c>
      <c r="T75" s="258" t="s">
        <v>2277</v>
      </c>
      <c r="U75" s="258" t="s">
        <v>2278</v>
      </c>
      <c r="V75" s="260" t="s">
        <v>2279</v>
      </c>
      <c r="W75" s="260" t="s">
        <v>2280</v>
      </c>
      <c r="X75" s="260" t="s">
        <v>2281</v>
      </c>
      <c r="Y75" s="260" t="s">
        <v>2282</v>
      </c>
      <c r="Z75" s="260" t="s">
        <v>2283</v>
      </c>
      <c r="AA75" s="245" t="s">
        <v>2284</v>
      </c>
      <c r="AB75" s="261"/>
    </row>
    <row r="76">
      <c r="A76" s="118"/>
      <c r="B76" s="118"/>
      <c r="C76" s="143"/>
      <c r="D76" s="118"/>
      <c r="E76" s="118"/>
      <c r="F76" s="262"/>
      <c r="G76" s="264"/>
      <c r="H76" s="264"/>
      <c r="I76" s="267"/>
      <c r="J76" s="118"/>
      <c r="K76" s="136"/>
      <c r="L76" s="118"/>
      <c r="M76" s="136"/>
      <c r="N76" s="118"/>
      <c r="O76" s="136"/>
      <c r="P76" s="268"/>
      <c r="Q76" s="268"/>
      <c r="R76" s="268"/>
      <c r="S76" s="268"/>
      <c r="T76" s="268"/>
      <c r="U76" s="268"/>
      <c r="V76" s="269"/>
      <c r="W76" s="270"/>
      <c r="X76" s="270"/>
      <c r="Y76" s="270"/>
      <c r="Z76" s="270"/>
      <c r="AA76" s="270"/>
      <c r="AB76" s="271"/>
    </row>
    <row r="77">
      <c r="A77" s="118"/>
      <c r="B77" s="118"/>
      <c r="C77" s="143"/>
      <c r="D77" s="118"/>
      <c r="E77" s="118"/>
      <c r="F77" s="262"/>
      <c r="G77" s="264"/>
      <c r="H77" s="264"/>
      <c r="I77" s="267"/>
      <c r="J77" s="118"/>
      <c r="K77" s="136"/>
      <c r="L77" s="118"/>
      <c r="M77" s="136"/>
      <c r="N77" s="118"/>
      <c r="O77" s="136"/>
      <c r="P77" s="272"/>
      <c r="Q77" s="272"/>
      <c r="R77" s="272"/>
      <c r="S77" s="272"/>
      <c r="T77" s="272"/>
      <c r="U77" s="272"/>
      <c r="V77" s="273"/>
      <c r="W77" s="253"/>
      <c r="X77" s="253"/>
      <c r="Y77" s="253"/>
      <c r="Z77" s="253"/>
      <c r="AA77" s="253"/>
      <c r="AB77" s="218"/>
    </row>
    <row r="78">
      <c r="A78" s="118"/>
      <c r="B78" s="118"/>
      <c r="C78" s="143"/>
      <c r="D78" s="118"/>
      <c r="E78" s="118"/>
      <c r="F78" s="262"/>
      <c r="G78" s="264"/>
      <c r="H78" s="264"/>
      <c r="I78" s="267"/>
      <c r="J78" s="118"/>
      <c r="K78" s="136"/>
      <c r="L78" s="118"/>
      <c r="M78" s="136"/>
      <c r="N78" s="118"/>
      <c r="O78" s="136"/>
      <c r="P78" s="272"/>
      <c r="Q78" s="272"/>
      <c r="R78" s="272"/>
      <c r="S78" s="272"/>
      <c r="T78" s="272"/>
      <c r="U78" s="272"/>
      <c r="V78" s="273"/>
      <c r="W78" s="253"/>
      <c r="X78" s="253"/>
      <c r="Y78" s="253"/>
      <c r="Z78" s="253"/>
      <c r="AA78" s="253"/>
      <c r="AB78" s="218"/>
    </row>
    <row r="79">
      <c r="A79" s="118"/>
      <c r="B79" s="118"/>
      <c r="C79" s="143"/>
      <c r="D79" s="118"/>
      <c r="E79" s="118"/>
      <c r="F79" s="262"/>
      <c r="G79" s="264"/>
      <c r="H79" s="264"/>
      <c r="I79" s="267"/>
      <c r="J79" s="118"/>
      <c r="K79" s="136"/>
      <c r="L79" s="118"/>
      <c r="M79" s="136"/>
      <c r="N79" s="118"/>
      <c r="O79" s="136"/>
      <c r="P79" s="272"/>
      <c r="Q79" s="272"/>
      <c r="R79" s="272"/>
      <c r="S79" s="272"/>
      <c r="T79" s="272"/>
      <c r="U79" s="272"/>
      <c r="V79" s="273"/>
      <c r="W79" s="253"/>
      <c r="X79" s="253"/>
      <c r="Y79" s="253"/>
      <c r="Z79" s="253"/>
      <c r="AA79" s="253"/>
      <c r="AB79" s="218"/>
    </row>
    <row r="80">
      <c r="A80" s="118"/>
      <c r="B80" s="118"/>
      <c r="C80" s="143"/>
      <c r="D80" s="118"/>
      <c r="E80" s="118"/>
      <c r="F80" s="262"/>
      <c r="G80" s="264"/>
      <c r="H80" s="264"/>
      <c r="I80" s="267"/>
      <c r="J80" s="118"/>
      <c r="K80" s="136"/>
      <c r="L80" s="118"/>
      <c r="M80" s="136"/>
      <c r="N80" s="118"/>
      <c r="O80" s="136"/>
      <c r="P80" s="272"/>
      <c r="Q80" s="272"/>
      <c r="R80" s="272"/>
      <c r="S80" s="272"/>
      <c r="T80" s="272"/>
      <c r="U80" s="272"/>
      <c r="V80" s="273"/>
      <c r="W80" s="253"/>
      <c r="X80" s="253"/>
      <c r="Y80" s="253"/>
      <c r="Z80" s="253"/>
      <c r="AA80" s="253"/>
      <c r="AB80" s="218"/>
    </row>
    <row r="81">
      <c r="A81" s="118"/>
      <c r="B81" s="118"/>
      <c r="C81" s="143"/>
      <c r="D81" s="118"/>
      <c r="E81" s="118"/>
      <c r="F81" s="262"/>
      <c r="G81" s="264"/>
      <c r="H81" s="264"/>
      <c r="I81" s="267"/>
      <c r="J81" s="118"/>
      <c r="K81" s="136"/>
      <c r="L81" s="118"/>
      <c r="M81" s="136"/>
      <c r="N81" s="118"/>
      <c r="O81" s="136"/>
      <c r="P81" s="272"/>
      <c r="Q81" s="272"/>
      <c r="R81" s="272"/>
      <c r="S81" s="272"/>
      <c r="T81" s="272"/>
      <c r="U81" s="272"/>
      <c r="V81" s="273"/>
      <c r="W81" s="253"/>
      <c r="X81" s="253"/>
      <c r="Y81" s="253"/>
      <c r="Z81" s="253"/>
      <c r="AA81" s="253"/>
      <c r="AB81" s="218"/>
    </row>
    <row r="82">
      <c r="A82" s="118"/>
      <c r="B82" s="118"/>
      <c r="C82" s="143"/>
      <c r="D82" s="118"/>
      <c r="E82" s="118"/>
      <c r="F82" s="262"/>
      <c r="G82" s="264"/>
      <c r="H82" s="264"/>
      <c r="I82" s="267"/>
      <c r="J82" s="118"/>
      <c r="K82" s="136"/>
      <c r="L82" s="118"/>
      <c r="M82" s="136"/>
      <c r="N82" s="118"/>
      <c r="O82" s="136"/>
      <c r="P82" s="272"/>
      <c r="Q82" s="272"/>
      <c r="R82" s="272"/>
      <c r="S82" s="272"/>
      <c r="T82" s="272"/>
      <c r="U82" s="272"/>
      <c r="V82" s="273"/>
      <c r="W82" s="253"/>
      <c r="X82" s="253"/>
      <c r="Y82" s="253"/>
      <c r="Z82" s="253"/>
      <c r="AA82" s="253"/>
      <c r="AB82" s="218"/>
    </row>
    <row r="83">
      <c r="A83" s="118"/>
      <c r="B83" s="118"/>
      <c r="C83" s="143"/>
      <c r="D83" s="118"/>
      <c r="E83" s="118"/>
      <c r="F83" s="262"/>
      <c r="G83" s="264"/>
      <c r="H83" s="264"/>
      <c r="I83" s="267"/>
      <c r="J83" s="118"/>
      <c r="K83" s="136"/>
      <c r="L83" s="118"/>
      <c r="M83" s="136"/>
      <c r="N83" s="118"/>
      <c r="O83" s="136"/>
      <c r="P83" s="272"/>
      <c r="Q83" s="272"/>
      <c r="R83" s="272"/>
      <c r="S83" s="272"/>
      <c r="T83" s="272"/>
      <c r="U83" s="272"/>
      <c r="V83" s="273"/>
      <c r="W83" s="253"/>
      <c r="X83" s="253"/>
      <c r="Y83" s="253"/>
      <c r="Z83" s="253"/>
      <c r="AA83" s="253"/>
      <c r="AB83" s="218"/>
    </row>
    <row r="84">
      <c r="A84" s="118"/>
      <c r="B84" s="118"/>
      <c r="C84" s="143"/>
      <c r="D84" s="118"/>
      <c r="E84" s="118"/>
      <c r="F84" s="262"/>
      <c r="G84" s="264"/>
      <c r="H84" s="264"/>
      <c r="I84" s="267"/>
      <c r="J84" s="118"/>
      <c r="K84" s="136"/>
      <c r="L84" s="118"/>
      <c r="M84" s="136"/>
      <c r="N84" s="118"/>
      <c r="O84" s="136"/>
      <c r="P84" s="272"/>
      <c r="Q84" s="272"/>
      <c r="R84" s="272"/>
      <c r="S84" s="272"/>
      <c r="T84" s="272"/>
      <c r="U84" s="272"/>
      <c r="V84" s="273"/>
      <c r="W84" s="253"/>
      <c r="X84" s="253"/>
      <c r="Y84" s="253"/>
      <c r="Z84" s="253"/>
      <c r="AA84" s="253"/>
      <c r="AB84" s="218"/>
    </row>
    <row r="85">
      <c r="A85" s="118"/>
      <c r="B85" s="118"/>
      <c r="C85" s="143"/>
      <c r="D85" s="118"/>
      <c r="E85" s="118"/>
      <c r="F85" s="262"/>
      <c r="G85" s="264"/>
      <c r="H85" s="264"/>
      <c r="I85" s="267"/>
      <c r="J85" s="118"/>
      <c r="K85" s="136"/>
      <c r="L85" s="118"/>
      <c r="M85" s="136"/>
      <c r="N85" s="118"/>
      <c r="O85" s="136"/>
      <c r="P85" s="272"/>
      <c r="Q85" s="272"/>
      <c r="R85" s="272"/>
      <c r="S85" s="272"/>
      <c r="T85" s="272"/>
      <c r="U85" s="272"/>
      <c r="V85" s="273"/>
      <c r="W85" s="253"/>
      <c r="X85" s="253"/>
      <c r="Y85" s="253"/>
      <c r="Z85" s="253"/>
      <c r="AA85" s="253"/>
      <c r="AB85" s="218"/>
    </row>
    <row r="86">
      <c r="A86" s="118"/>
      <c r="B86" s="118"/>
      <c r="C86" s="143"/>
      <c r="D86" s="118"/>
      <c r="E86" s="118"/>
      <c r="F86" s="262"/>
      <c r="G86" s="264"/>
      <c r="H86" s="264"/>
      <c r="I86" s="267"/>
      <c r="J86" s="118"/>
      <c r="K86" s="136"/>
      <c r="L86" s="118"/>
      <c r="M86" s="136"/>
      <c r="N86" s="118"/>
      <c r="O86" s="136"/>
      <c r="P86" s="272"/>
      <c r="Q86" s="272"/>
      <c r="R86" s="272"/>
      <c r="S86" s="272"/>
      <c r="T86" s="272"/>
      <c r="U86" s="272"/>
      <c r="V86" s="273"/>
      <c r="W86" s="253"/>
      <c r="X86" s="253"/>
      <c r="Y86" s="253"/>
      <c r="Z86" s="253"/>
      <c r="AA86" s="253"/>
      <c r="AB86" s="218"/>
    </row>
    <row r="87">
      <c r="A87" s="118"/>
      <c r="B87" s="118"/>
      <c r="C87" s="143"/>
      <c r="D87" s="118"/>
      <c r="E87" s="118"/>
      <c r="F87" s="262"/>
      <c r="G87" s="264"/>
      <c r="H87" s="264"/>
      <c r="I87" s="267"/>
      <c r="J87" s="118"/>
      <c r="K87" s="136"/>
      <c r="L87" s="118"/>
      <c r="M87" s="136"/>
      <c r="N87" s="118"/>
      <c r="O87" s="136"/>
      <c r="P87" s="272"/>
      <c r="Q87" s="272"/>
      <c r="R87" s="272"/>
      <c r="S87" s="272"/>
      <c r="T87" s="272"/>
      <c r="U87" s="272"/>
      <c r="V87" s="273"/>
      <c r="W87" s="253"/>
      <c r="X87" s="253"/>
      <c r="Y87" s="253"/>
      <c r="Z87" s="253"/>
      <c r="AA87" s="253"/>
      <c r="AB87" s="218"/>
    </row>
    <row r="88">
      <c r="A88" s="118"/>
      <c r="B88" s="118"/>
      <c r="C88" s="143"/>
      <c r="D88" s="118"/>
      <c r="E88" s="118"/>
      <c r="F88" s="262"/>
      <c r="G88" s="264"/>
      <c r="H88" s="264"/>
      <c r="I88" s="267"/>
      <c r="J88" s="118"/>
      <c r="K88" s="136"/>
      <c r="L88" s="118"/>
      <c r="M88" s="136"/>
      <c r="N88" s="118"/>
      <c r="O88" s="136"/>
      <c r="P88" s="272"/>
      <c r="Q88" s="272"/>
      <c r="R88" s="272"/>
      <c r="S88" s="272"/>
      <c r="T88" s="272"/>
      <c r="U88" s="272"/>
      <c r="V88" s="273"/>
      <c r="W88" s="253"/>
      <c r="X88" s="253"/>
      <c r="Y88" s="253"/>
      <c r="Z88" s="253"/>
      <c r="AA88" s="253"/>
      <c r="AB88" s="218"/>
    </row>
    <row r="89">
      <c r="A89" s="118"/>
      <c r="B89" s="118"/>
      <c r="C89" s="143"/>
      <c r="D89" s="118"/>
      <c r="E89" s="118"/>
      <c r="F89" s="262"/>
      <c r="G89" s="264"/>
      <c r="H89" s="264"/>
      <c r="I89" s="267"/>
      <c r="J89" s="118"/>
      <c r="K89" s="136"/>
      <c r="L89" s="118"/>
      <c r="M89" s="136"/>
      <c r="N89" s="118"/>
      <c r="O89" s="136"/>
      <c r="P89" s="272"/>
      <c r="Q89" s="272"/>
      <c r="R89" s="272"/>
      <c r="S89" s="272"/>
      <c r="T89" s="272"/>
      <c r="U89" s="272"/>
      <c r="V89" s="273"/>
      <c r="W89" s="253"/>
      <c r="X89" s="253"/>
      <c r="Y89" s="253"/>
      <c r="Z89" s="253"/>
      <c r="AA89" s="253"/>
      <c r="AB89" s="218"/>
    </row>
    <row r="90">
      <c r="A90" s="118"/>
      <c r="B90" s="118"/>
      <c r="C90" s="143"/>
      <c r="D90" s="118"/>
      <c r="E90" s="118"/>
      <c r="F90" s="262"/>
      <c r="G90" s="264"/>
      <c r="H90" s="264"/>
      <c r="I90" s="267"/>
      <c r="J90" s="118"/>
      <c r="K90" s="136"/>
      <c r="L90" s="118"/>
      <c r="M90" s="136"/>
      <c r="N90" s="118"/>
      <c r="O90" s="136"/>
      <c r="P90" s="272"/>
      <c r="Q90" s="272"/>
      <c r="R90" s="272"/>
      <c r="S90" s="272"/>
      <c r="T90" s="272"/>
      <c r="U90" s="272"/>
      <c r="V90" s="273"/>
      <c r="W90" s="253"/>
      <c r="X90" s="253"/>
      <c r="Y90" s="253"/>
      <c r="Z90" s="253"/>
      <c r="AA90" s="253"/>
      <c r="AB90" s="218"/>
    </row>
    <row r="91">
      <c r="A91" s="118"/>
      <c r="B91" s="118"/>
      <c r="C91" s="143"/>
      <c r="D91" s="118"/>
      <c r="E91" s="118"/>
      <c r="F91" s="262"/>
      <c r="G91" s="264"/>
      <c r="H91" s="264"/>
      <c r="I91" s="267"/>
      <c r="J91" s="118"/>
      <c r="K91" s="136"/>
      <c r="L91" s="118"/>
      <c r="M91" s="136"/>
      <c r="N91" s="118"/>
      <c r="O91" s="136"/>
      <c r="P91" s="272"/>
      <c r="Q91" s="272"/>
      <c r="R91" s="272"/>
      <c r="S91" s="272"/>
      <c r="T91" s="272"/>
      <c r="U91" s="272"/>
      <c r="V91" s="273"/>
      <c r="W91" s="253"/>
      <c r="X91" s="253"/>
      <c r="Y91" s="253"/>
      <c r="Z91" s="253"/>
      <c r="AA91" s="253"/>
      <c r="AB91" s="218"/>
    </row>
    <row r="92">
      <c r="A92" s="118"/>
      <c r="B92" s="118"/>
      <c r="C92" s="143"/>
      <c r="D92" s="118"/>
      <c r="E92" s="118"/>
      <c r="F92" s="262"/>
      <c r="G92" s="264"/>
      <c r="H92" s="264"/>
      <c r="I92" s="267"/>
      <c r="J92" s="118"/>
      <c r="K92" s="136"/>
      <c r="L92" s="118"/>
      <c r="M92" s="136"/>
      <c r="N92" s="118"/>
      <c r="O92" s="136"/>
      <c r="P92" s="272"/>
      <c r="Q92" s="272"/>
      <c r="R92" s="272"/>
      <c r="S92" s="272"/>
      <c r="T92" s="272"/>
      <c r="U92" s="272"/>
      <c r="V92" s="273"/>
      <c r="W92" s="253"/>
      <c r="X92" s="253"/>
      <c r="Y92" s="253"/>
      <c r="Z92" s="253"/>
      <c r="AA92" s="253"/>
      <c r="AB92" s="218"/>
    </row>
    <row r="93">
      <c r="A93" s="118"/>
      <c r="B93" s="118"/>
      <c r="C93" s="143"/>
      <c r="D93" s="118"/>
      <c r="E93" s="118"/>
      <c r="F93" s="262"/>
      <c r="G93" s="264"/>
      <c r="H93" s="264"/>
      <c r="I93" s="267"/>
      <c r="J93" s="118"/>
      <c r="K93" s="136"/>
      <c r="L93" s="118"/>
      <c r="M93" s="136"/>
      <c r="N93" s="118"/>
      <c r="O93" s="136"/>
      <c r="P93" s="272"/>
      <c r="Q93" s="272"/>
      <c r="R93" s="272"/>
      <c r="S93" s="272"/>
      <c r="T93" s="272"/>
      <c r="U93" s="272"/>
      <c r="V93" s="273"/>
      <c r="W93" s="253"/>
      <c r="X93" s="253"/>
      <c r="Y93" s="253"/>
      <c r="Z93" s="253"/>
      <c r="AA93" s="253"/>
      <c r="AB93" s="218"/>
    </row>
    <row r="94">
      <c r="A94" s="118"/>
      <c r="B94" s="118"/>
      <c r="C94" s="143"/>
      <c r="D94" s="118"/>
      <c r="E94" s="118"/>
      <c r="F94" s="262"/>
      <c r="G94" s="264"/>
      <c r="H94" s="264"/>
      <c r="I94" s="267"/>
      <c r="J94" s="118"/>
      <c r="K94" s="136"/>
      <c r="L94" s="118"/>
      <c r="M94" s="136"/>
      <c r="N94" s="118"/>
      <c r="O94" s="136"/>
      <c r="P94" s="272"/>
      <c r="Q94" s="272"/>
      <c r="R94" s="272"/>
      <c r="S94" s="272"/>
      <c r="T94" s="272"/>
      <c r="U94" s="272"/>
      <c r="V94" s="273"/>
      <c r="W94" s="253"/>
      <c r="X94" s="253"/>
      <c r="Y94" s="253"/>
      <c r="Z94" s="253"/>
      <c r="AA94" s="253"/>
      <c r="AB94" s="218"/>
    </row>
    <row r="95">
      <c r="A95" s="118"/>
      <c r="B95" s="118"/>
      <c r="C95" s="143"/>
      <c r="D95" s="118"/>
      <c r="E95" s="118"/>
      <c r="F95" s="262"/>
      <c r="G95" s="264"/>
      <c r="H95" s="264"/>
      <c r="I95" s="267"/>
      <c r="J95" s="118"/>
      <c r="K95" s="136"/>
      <c r="L95" s="118"/>
      <c r="M95" s="136"/>
      <c r="N95" s="118"/>
      <c r="O95" s="136"/>
      <c r="P95" s="272"/>
      <c r="Q95" s="272"/>
      <c r="R95" s="272"/>
      <c r="S95" s="272"/>
      <c r="T95" s="272"/>
      <c r="U95" s="272"/>
      <c r="V95" s="273"/>
      <c r="W95" s="253"/>
      <c r="X95" s="253"/>
      <c r="Y95" s="253"/>
      <c r="Z95" s="253"/>
      <c r="AA95" s="253"/>
      <c r="AB95" s="218"/>
    </row>
    <row r="96">
      <c r="A96" s="118"/>
      <c r="B96" s="118"/>
      <c r="C96" s="143"/>
      <c r="D96" s="118"/>
      <c r="E96" s="118"/>
      <c r="F96" s="262"/>
      <c r="G96" s="264"/>
      <c r="H96" s="264"/>
      <c r="I96" s="267"/>
      <c r="J96" s="118"/>
      <c r="K96" s="136"/>
      <c r="L96" s="118"/>
      <c r="M96" s="136"/>
      <c r="N96" s="118"/>
      <c r="O96" s="136"/>
      <c r="P96" s="272"/>
      <c r="Q96" s="272"/>
      <c r="R96" s="272"/>
      <c r="S96" s="272"/>
      <c r="T96" s="272"/>
      <c r="U96" s="272"/>
      <c r="V96" s="273"/>
      <c r="W96" s="253"/>
      <c r="X96" s="253"/>
      <c r="Y96" s="253"/>
      <c r="Z96" s="253"/>
      <c r="AA96" s="253"/>
      <c r="AB96" s="218"/>
    </row>
    <row r="97">
      <c r="A97" s="118"/>
      <c r="B97" s="118"/>
      <c r="C97" s="143"/>
      <c r="D97" s="118"/>
      <c r="E97" s="118"/>
      <c r="F97" s="262"/>
      <c r="G97" s="264"/>
      <c r="H97" s="264"/>
      <c r="I97" s="267"/>
      <c r="J97" s="118"/>
      <c r="K97" s="136"/>
      <c r="L97" s="118"/>
      <c r="M97" s="136"/>
      <c r="N97" s="118"/>
      <c r="O97" s="136"/>
      <c r="P97" s="272"/>
      <c r="Q97" s="272"/>
      <c r="R97" s="272"/>
      <c r="S97" s="272"/>
      <c r="T97" s="272"/>
      <c r="U97" s="272"/>
      <c r="V97" s="273"/>
      <c r="W97" s="253"/>
      <c r="X97" s="253"/>
      <c r="Y97" s="253"/>
      <c r="Z97" s="253"/>
      <c r="AA97" s="253"/>
      <c r="AB97" s="218"/>
    </row>
    <row r="98">
      <c r="A98" s="118"/>
      <c r="B98" s="118"/>
      <c r="C98" s="143"/>
      <c r="D98" s="118"/>
      <c r="E98" s="118"/>
      <c r="F98" s="262"/>
      <c r="G98" s="264"/>
      <c r="H98" s="264"/>
      <c r="I98" s="267"/>
      <c r="J98" s="118"/>
      <c r="K98" s="136"/>
      <c r="L98" s="118"/>
      <c r="M98" s="136"/>
      <c r="N98" s="118"/>
      <c r="O98" s="136"/>
      <c r="P98" s="272"/>
      <c r="Q98" s="272"/>
      <c r="R98" s="272"/>
      <c r="S98" s="272"/>
      <c r="T98" s="272"/>
      <c r="U98" s="272"/>
      <c r="V98" s="273"/>
      <c r="W98" s="253"/>
      <c r="X98" s="253"/>
      <c r="Y98" s="253"/>
      <c r="Z98" s="253"/>
      <c r="AA98" s="253"/>
      <c r="AB98" s="218"/>
    </row>
    <row r="99">
      <c r="A99" s="118"/>
      <c r="B99" s="118"/>
      <c r="C99" s="143"/>
      <c r="D99" s="118"/>
      <c r="E99" s="118"/>
      <c r="F99" s="262"/>
      <c r="G99" s="264"/>
      <c r="H99" s="264"/>
      <c r="I99" s="267"/>
      <c r="J99" s="118"/>
      <c r="K99" s="136"/>
      <c r="L99" s="118"/>
      <c r="M99" s="136"/>
      <c r="N99" s="118"/>
      <c r="O99" s="136"/>
      <c r="P99" s="272"/>
      <c r="Q99" s="272"/>
      <c r="R99" s="272"/>
      <c r="S99" s="272"/>
      <c r="T99" s="272"/>
      <c r="U99" s="272"/>
      <c r="V99" s="273"/>
      <c r="W99" s="253"/>
      <c r="X99" s="253"/>
      <c r="Y99" s="253"/>
      <c r="Z99" s="253"/>
      <c r="AA99" s="253"/>
      <c r="AB99" s="218"/>
    </row>
    <row r="100">
      <c r="A100" s="118"/>
      <c r="B100" s="118"/>
      <c r="C100" s="143"/>
      <c r="D100" s="118"/>
      <c r="E100" s="118"/>
      <c r="F100" s="262"/>
      <c r="G100" s="264"/>
      <c r="H100" s="264"/>
      <c r="I100" s="267"/>
      <c r="J100" s="118"/>
      <c r="K100" s="136"/>
      <c r="L100" s="118"/>
      <c r="M100" s="136"/>
      <c r="N100" s="118"/>
      <c r="O100" s="136"/>
      <c r="P100" s="272"/>
      <c r="Q100" s="272"/>
      <c r="R100" s="272"/>
      <c r="S100" s="272"/>
      <c r="T100" s="272"/>
      <c r="U100" s="272"/>
      <c r="V100" s="273"/>
      <c r="W100" s="253"/>
      <c r="X100" s="253"/>
      <c r="Y100" s="253"/>
      <c r="Z100" s="253"/>
      <c r="AA100" s="253"/>
      <c r="AB100" s="218"/>
    </row>
    <row r="101">
      <c r="A101" s="118"/>
      <c r="B101" s="118"/>
      <c r="C101" s="143"/>
      <c r="D101" s="118"/>
      <c r="E101" s="118"/>
      <c r="F101" s="262"/>
      <c r="G101" s="264"/>
      <c r="H101" s="264"/>
      <c r="I101" s="267"/>
      <c r="J101" s="118"/>
      <c r="K101" s="136"/>
      <c r="L101" s="118"/>
      <c r="M101" s="136"/>
      <c r="N101" s="118"/>
      <c r="O101" s="136"/>
      <c r="P101" s="272"/>
      <c r="Q101" s="272"/>
      <c r="R101" s="272"/>
      <c r="S101" s="272"/>
      <c r="T101" s="272"/>
      <c r="U101" s="272"/>
      <c r="V101" s="273"/>
      <c r="W101" s="253"/>
      <c r="X101" s="253"/>
      <c r="Y101" s="253"/>
      <c r="Z101" s="253"/>
      <c r="AA101" s="253"/>
      <c r="AB101" s="218"/>
    </row>
    <row r="102">
      <c r="A102" s="118"/>
      <c r="B102" s="118"/>
      <c r="C102" s="143"/>
      <c r="D102" s="118"/>
      <c r="E102" s="118"/>
      <c r="F102" s="262"/>
      <c r="G102" s="264"/>
      <c r="H102" s="264"/>
      <c r="I102" s="267"/>
      <c r="J102" s="118"/>
      <c r="K102" s="136"/>
      <c r="L102" s="118"/>
      <c r="M102" s="136"/>
      <c r="N102" s="118"/>
      <c r="O102" s="136"/>
      <c r="P102" s="272"/>
      <c r="Q102" s="272"/>
      <c r="R102" s="272"/>
      <c r="S102" s="272"/>
      <c r="T102" s="272"/>
      <c r="U102" s="272"/>
      <c r="V102" s="273"/>
      <c r="W102" s="253"/>
      <c r="X102" s="253"/>
      <c r="Y102" s="253"/>
      <c r="Z102" s="253"/>
      <c r="AA102" s="253"/>
      <c r="AB102" s="218"/>
    </row>
    <row r="103">
      <c r="A103" s="118"/>
      <c r="B103" s="118"/>
      <c r="C103" s="143"/>
      <c r="D103" s="118"/>
      <c r="E103" s="118"/>
      <c r="F103" s="262"/>
      <c r="G103" s="264"/>
      <c r="H103" s="264"/>
      <c r="I103" s="267"/>
      <c r="J103" s="118"/>
      <c r="K103" s="136"/>
      <c r="L103" s="118"/>
      <c r="M103" s="136"/>
      <c r="N103" s="118"/>
      <c r="O103" s="136"/>
      <c r="P103" s="272"/>
      <c r="Q103" s="272"/>
      <c r="R103" s="272"/>
      <c r="S103" s="272"/>
      <c r="T103" s="272"/>
      <c r="U103" s="272"/>
      <c r="V103" s="273"/>
      <c r="W103" s="253"/>
      <c r="X103" s="253"/>
      <c r="Y103" s="253"/>
      <c r="Z103" s="253"/>
      <c r="AA103" s="253"/>
      <c r="AB103" s="218"/>
    </row>
    <row r="104">
      <c r="A104" s="118"/>
      <c r="B104" s="118"/>
      <c r="C104" s="143"/>
      <c r="D104" s="118"/>
      <c r="E104" s="118"/>
      <c r="F104" s="262"/>
      <c r="G104" s="264"/>
      <c r="H104" s="264"/>
      <c r="I104" s="267"/>
      <c r="J104" s="118"/>
      <c r="K104" s="136"/>
      <c r="L104" s="118"/>
      <c r="M104" s="136"/>
      <c r="N104" s="118"/>
      <c r="O104" s="136"/>
      <c r="P104" s="272"/>
      <c r="Q104" s="272"/>
      <c r="R104" s="272"/>
      <c r="S104" s="272"/>
      <c r="T104" s="272"/>
      <c r="U104" s="272"/>
      <c r="V104" s="273"/>
      <c r="W104" s="253"/>
      <c r="X104" s="253"/>
      <c r="Y104" s="253"/>
      <c r="Z104" s="253"/>
      <c r="AA104" s="253"/>
      <c r="AB104" s="218"/>
    </row>
    <row r="105">
      <c r="A105" s="118"/>
      <c r="B105" s="118"/>
      <c r="C105" s="143"/>
      <c r="D105" s="118"/>
      <c r="E105" s="118"/>
      <c r="F105" s="262"/>
      <c r="G105" s="264"/>
      <c r="H105" s="264"/>
      <c r="I105" s="267"/>
      <c r="J105" s="118"/>
      <c r="K105" s="136"/>
      <c r="L105" s="118"/>
      <c r="M105" s="136"/>
      <c r="N105" s="118"/>
      <c r="O105" s="136"/>
      <c r="P105" s="272"/>
      <c r="Q105" s="272"/>
      <c r="R105" s="272"/>
      <c r="S105" s="272"/>
      <c r="T105" s="272"/>
      <c r="U105" s="272"/>
      <c r="V105" s="273"/>
      <c r="W105" s="253"/>
      <c r="X105" s="253"/>
      <c r="Y105" s="253"/>
      <c r="Z105" s="253"/>
      <c r="AA105" s="253"/>
      <c r="AB105" s="218"/>
    </row>
    <row r="106">
      <c r="A106" s="118"/>
      <c r="B106" s="118"/>
      <c r="C106" s="143"/>
      <c r="D106" s="118"/>
      <c r="E106" s="118"/>
      <c r="F106" s="262"/>
      <c r="G106" s="264"/>
      <c r="H106" s="264"/>
      <c r="I106" s="267"/>
      <c r="J106" s="118"/>
      <c r="K106" s="136"/>
      <c r="L106" s="118"/>
      <c r="M106" s="136"/>
      <c r="N106" s="118"/>
      <c r="O106" s="136"/>
      <c r="P106" s="272"/>
      <c r="Q106" s="272"/>
      <c r="R106" s="272"/>
      <c r="S106" s="272"/>
      <c r="T106" s="272"/>
      <c r="U106" s="272"/>
      <c r="V106" s="273"/>
      <c r="W106" s="253"/>
      <c r="X106" s="253"/>
      <c r="Y106" s="253"/>
      <c r="Z106" s="253"/>
      <c r="AA106" s="253"/>
      <c r="AB106" s="218"/>
    </row>
    <row r="107">
      <c r="A107" s="118"/>
      <c r="B107" s="118"/>
      <c r="C107" s="143"/>
      <c r="D107" s="118"/>
      <c r="E107" s="118"/>
      <c r="F107" s="262"/>
      <c r="G107" s="264"/>
      <c r="H107" s="264"/>
      <c r="I107" s="267"/>
      <c r="J107" s="118"/>
      <c r="K107" s="136"/>
      <c r="L107" s="118"/>
      <c r="M107" s="136"/>
      <c r="N107" s="118"/>
      <c r="O107" s="136"/>
      <c r="P107" s="272"/>
      <c r="Q107" s="272"/>
      <c r="R107" s="272"/>
      <c r="S107" s="272"/>
      <c r="T107" s="272"/>
      <c r="U107" s="272"/>
      <c r="V107" s="273"/>
      <c r="W107" s="253"/>
      <c r="X107" s="253"/>
      <c r="Y107" s="253"/>
      <c r="Z107" s="253"/>
      <c r="AA107" s="253"/>
      <c r="AB107" s="218"/>
    </row>
    <row r="108">
      <c r="A108" s="118"/>
      <c r="B108" s="118"/>
      <c r="C108" s="143"/>
      <c r="D108" s="118"/>
      <c r="E108" s="118"/>
      <c r="F108" s="262"/>
      <c r="G108" s="264"/>
      <c r="H108" s="264"/>
      <c r="I108" s="267"/>
      <c r="J108" s="118"/>
      <c r="K108" s="136"/>
      <c r="L108" s="118"/>
      <c r="M108" s="136"/>
      <c r="N108" s="118"/>
      <c r="O108" s="136"/>
      <c r="P108" s="272"/>
      <c r="Q108" s="272"/>
      <c r="R108" s="272"/>
      <c r="S108" s="272"/>
      <c r="T108" s="272"/>
      <c r="U108" s="272"/>
      <c r="V108" s="273"/>
      <c r="W108" s="253"/>
      <c r="X108" s="253"/>
      <c r="Y108" s="253"/>
      <c r="Z108" s="253"/>
      <c r="AA108" s="253"/>
      <c r="AB108" s="218"/>
    </row>
    <row r="109">
      <c r="A109" s="118"/>
      <c r="B109" s="118"/>
      <c r="C109" s="143"/>
      <c r="D109" s="118"/>
      <c r="E109" s="118"/>
      <c r="F109" s="262"/>
      <c r="G109" s="264"/>
      <c r="H109" s="264"/>
      <c r="I109" s="267"/>
      <c r="J109" s="118"/>
      <c r="K109" s="136"/>
      <c r="L109" s="118"/>
      <c r="M109" s="136"/>
      <c r="N109" s="118"/>
      <c r="O109" s="136"/>
      <c r="P109" s="272"/>
      <c r="Q109" s="272"/>
      <c r="R109" s="272"/>
      <c r="S109" s="272"/>
      <c r="T109" s="272"/>
      <c r="U109" s="272"/>
      <c r="V109" s="273"/>
      <c r="W109" s="253"/>
      <c r="X109" s="253"/>
      <c r="Y109" s="253"/>
      <c r="Z109" s="253"/>
      <c r="AA109" s="253"/>
      <c r="AB109" s="218"/>
    </row>
    <row r="110">
      <c r="A110" s="118"/>
      <c r="B110" s="118"/>
      <c r="C110" s="143"/>
      <c r="D110" s="118"/>
      <c r="E110" s="118"/>
      <c r="F110" s="262"/>
      <c r="G110" s="264"/>
      <c r="H110" s="264"/>
      <c r="I110" s="267"/>
      <c r="J110" s="118"/>
      <c r="K110" s="136"/>
      <c r="L110" s="118"/>
      <c r="M110" s="136"/>
      <c r="N110" s="118"/>
      <c r="O110" s="136"/>
      <c r="P110" s="272"/>
      <c r="Q110" s="272"/>
      <c r="R110" s="272"/>
      <c r="S110" s="272"/>
      <c r="T110" s="272"/>
      <c r="U110" s="272"/>
      <c r="V110" s="273"/>
      <c r="W110" s="253"/>
      <c r="X110" s="253"/>
      <c r="Y110" s="253"/>
      <c r="Z110" s="253"/>
      <c r="AA110" s="253"/>
      <c r="AB110" s="218"/>
    </row>
    <row r="111">
      <c r="A111" s="118"/>
      <c r="B111" s="118"/>
      <c r="C111" s="143"/>
      <c r="D111" s="118"/>
      <c r="E111" s="118"/>
      <c r="F111" s="262"/>
      <c r="G111" s="264"/>
      <c r="H111" s="264"/>
      <c r="I111" s="267"/>
      <c r="J111" s="118"/>
      <c r="K111" s="136"/>
      <c r="L111" s="118"/>
      <c r="M111" s="136"/>
      <c r="N111" s="118"/>
      <c r="O111" s="136"/>
      <c r="P111" s="272"/>
      <c r="Q111" s="272"/>
      <c r="R111" s="272"/>
      <c r="S111" s="272"/>
      <c r="T111" s="272"/>
      <c r="U111" s="272"/>
      <c r="V111" s="273"/>
      <c r="W111" s="253"/>
      <c r="X111" s="253"/>
      <c r="Y111" s="253"/>
      <c r="Z111" s="253"/>
      <c r="AA111" s="253"/>
      <c r="AB111" s="218"/>
    </row>
    <row r="112">
      <c r="A112" s="118"/>
      <c r="B112" s="118"/>
      <c r="C112" s="143"/>
      <c r="D112" s="118"/>
      <c r="E112" s="118"/>
      <c r="F112" s="262"/>
      <c r="G112" s="264"/>
      <c r="H112" s="264"/>
      <c r="I112" s="267"/>
      <c r="J112" s="118"/>
      <c r="K112" s="136"/>
      <c r="L112" s="118"/>
      <c r="M112" s="136"/>
      <c r="N112" s="118"/>
      <c r="O112" s="136"/>
      <c r="P112" s="272"/>
      <c r="Q112" s="272"/>
      <c r="R112" s="272"/>
      <c r="S112" s="272"/>
      <c r="T112" s="272"/>
      <c r="U112" s="272"/>
      <c r="V112" s="273"/>
      <c r="W112" s="253"/>
      <c r="X112" s="253"/>
      <c r="Y112" s="253"/>
      <c r="Z112" s="253"/>
      <c r="AA112" s="253"/>
      <c r="AB112" s="218"/>
    </row>
    <row r="113">
      <c r="A113" s="118"/>
      <c r="B113" s="118"/>
      <c r="C113" s="143"/>
      <c r="D113" s="118"/>
      <c r="E113" s="118"/>
      <c r="F113" s="262"/>
      <c r="G113" s="264"/>
      <c r="H113" s="264"/>
      <c r="I113" s="267"/>
      <c r="J113" s="118"/>
      <c r="K113" s="136"/>
      <c r="L113" s="118"/>
      <c r="M113" s="136"/>
      <c r="N113" s="118"/>
      <c r="O113" s="136"/>
      <c r="P113" s="272"/>
      <c r="Q113" s="272"/>
      <c r="R113" s="272"/>
      <c r="S113" s="272"/>
      <c r="T113" s="272"/>
      <c r="U113" s="272"/>
      <c r="V113" s="273"/>
      <c r="W113" s="253"/>
      <c r="X113" s="253"/>
      <c r="Y113" s="253"/>
      <c r="Z113" s="253"/>
      <c r="AA113" s="253"/>
      <c r="AB113" s="218"/>
    </row>
    <row r="114">
      <c r="A114" s="118"/>
      <c r="B114" s="118"/>
      <c r="C114" s="143"/>
      <c r="D114" s="118"/>
      <c r="E114" s="118"/>
      <c r="F114" s="262"/>
      <c r="G114" s="264"/>
      <c r="H114" s="264"/>
      <c r="I114" s="267"/>
      <c r="J114" s="118"/>
      <c r="K114" s="136"/>
      <c r="L114" s="118"/>
      <c r="M114" s="136"/>
      <c r="N114" s="118"/>
      <c r="O114" s="136"/>
      <c r="P114" s="272"/>
      <c r="Q114" s="272"/>
      <c r="R114" s="272"/>
      <c r="S114" s="272"/>
      <c r="T114" s="272"/>
      <c r="U114" s="272"/>
      <c r="V114" s="273"/>
      <c r="W114" s="253"/>
      <c r="X114" s="253"/>
      <c r="Y114" s="253"/>
      <c r="Z114" s="253"/>
      <c r="AA114" s="253"/>
      <c r="AB114" s="218"/>
    </row>
    <row r="115">
      <c r="A115" s="118"/>
      <c r="B115" s="118"/>
      <c r="C115" s="143"/>
      <c r="D115" s="118"/>
      <c r="E115" s="118"/>
      <c r="F115" s="262"/>
      <c r="G115" s="264"/>
      <c r="H115" s="264"/>
      <c r="I115" s="267"/>
      <c r="J115" s="118"/>
      <c r="K115" s="136"/>
      <c r="L115" s="118"/>
      <c r="M115" s="136"/>
      <c r="N115" s="118"/>
      <c r="O115" s="136"/>
      <c r="P115" s="272"/>
      <c r="Q115" s="272"/>
      <c r="R115" s="272"/>
      <c r="S115" s="272"/>
      <c r="T115" s="272"/>
      <c r="U115" s="272"/>
      <c r="V115" s="273"/>
      <c r="W115" s="253"/>
      <c r="X115" s="253"/>
      <c r="Y115" s="253"/>
      <c r="Z115" s="253"/>
      <c r="AA115" s="253"/>
      <c r="AB115" s="218"/>
    </row>
    <row r="116">
      <c r="A116" s="118"/>
      <c r="B116" s="118"/>
      <c r="C116" s="143"/>
      <c r="D116" s="118"/>
      <c r="E116" s="118"/>
      <c r="F116" s="262"/>
      <c r="G116" s="264"/>
      <c r="H116" s="264"/>
      <c r="I116" s="267"/>
      <c r="J116" s="118"/>
      <c r="K116" s="136"/>
      <c r="L116" s="118"/>
      <c r="M116" s="136"/>
      <c r="N116" s="118"/>
      <c r="O116" s="136"/>
      <c r="P116" s="272"/>
      <c r="Q116" s="272"/>
      <c r="R116" s="272"/>
      <c r="S116" s="272"/>
      <c r="T116" s="272"/>
      <c r="U116" s="272"/>
      <c r="V116" s="273"/>
      <c r="W116" s="253"/>
      <c r="X116" s="253"/>
      <c r="Y116" s="253"/>
      <c r="Z116" s="253"/>
      <c r="AA116" s="253"/>
      <c r="AB116" s="218"/>
    </row>
    <row r="117">
      <c r="A117" s="118"/>
      <c r="B117" s="118"/>
      <c r="C117" s="143"/>
      <c r="D117" s="118"/>
      <c r="E117" s="118"/>
      <c r="F117" s="262"/>
      <c r="G117" s="264"/>
      <c r="H117" s="264"/>
      <c r="I117" s="267"/>
      <c r="J117" s="118"/>
      <c r="K117" s="136"/>
      <c r="L117" s="118"/>
      <c r="M117" s="136"/>
      <c r="N117" s="118"/>
      <c r="O117" s="136"/>
      <c r="P117" s="272"/>
      <c r="Q117" s="272"/>
      <c r="R117" s="272"/>
      <c r="S117" s="272"/>
      <c r="T117" s="272"/>
      <c r="U117" s="272"/>
      <c r="V117" s="273"/>
      <c r="W117" s="253"/>
      <c r="X117" s="253"/>
      <c r="Y117" s="253"/>
      <c r="Z117" s="253"/>
      <c r="AA117" s="253"/>
      <c r="AB117" s="218"/>
    </row>
    <row r="118">
      <c r="A118" s="118"/>
      <c r="B118" s="118"/>
      <c r="C118" s="143"/>
      <c r="D118" s="118"/>
      <c r="E118" s="118"/>
      <c r="F118" s="262"/>
      <c r="G118" s="264"/>
      <c r="H118" s="264"/>
      <c r="I118" s="267"/>
      <c r="J118" s="118"/>
      <c r="K118" s="136"/>
      <c r="L118" s="118"/>
      <c r="M118" s="136"/>
      <c r="N118" s="118"/>
      <c r="O118" s="136"/>
      <c r="P118" s="272"/>
      <c r="Q118" s="272"/>
      <c r="R118" s="272"/>
      <c r="S118" s="272"/>
      <c r="T118" s="272"/>
      <c r="U118" s="272"/>
      <c r="V118" s="273"/>
      <c r="W118" s="253"/>
      <c r="X118" s="253"/>
      <c r="Y118" s="253"/>
      <c r="Z118" s="253"/>
      <c r="AA118" s="253"/>
      <c r="AB118" s="218"/>
    </row>
    <row r="119">
      <c r="A119" s="118"/>
      <c r="B119" s="118"/>
      <c r="C119" s="143"/>
      <c r="D119" s="118"/>
      <c r="E119" s="118"/>
      <c r="F119" s="262"/>
      <c r="G119" s="264"/>
      <c r="H119" s="264"/>
      <c r="I119" s="267"/>
      <c r="J119" s="118"/>
      <c r="K119" s="136"/>
      <c r="L119" s="118"/>
      <c r="M119" s="136"/>
      <c r="N119" s="118"/>
      <c r="O119" s="136"/>
      <c r="P119" s="272"/>
      <c r="Q119" s="272"/>
      <c r="R119" s="272"/>
      <c r="S119" s="272"/>
      <c r="T119" s="272"/>
      <c r="U119" s="272"/>
      <c r="V119" s="273"/>
      <c r="W119" s="253"/>
      <c r="X119" s="253"/>
      <c r="Y119" s="253"/>
      <c r="Z119" s="253"/>
      <c r="AA119" s="253"/>
      <c r="AB119" s="218"/>
    </row>
    <row r="120">
      <c r="A120" s="118"/>
      <c r="B120" s="118"/>
      <c r="C120" s="143"/>
      <c r="D120" s="118"/>
      <c r="E120" s="118"/>
      <c r="F120" s="262"/>
      <c r="G120" s="264"/>
      <c r="H120" s="264"/>
      <c r="I120" s="267"/>
      <c r="J120" s="118"/>
      <c r="K120" s="136"/>
      <c r="L120" s="118"/>
      <c r="M120" s="136"/>
      <c r="N120" s="118"/>
      <c r="O120" s="136"/>
      <c r="P120" s="272"/>
      <c r="Q120" s="272"/>
      <c r="R120" s="272"/>
      <c r="S120" s="272"/>
      <c r="T120" s="272"/>
      <c r="U120" s="272"/>
      <c r="V120" s="273"/>
      <c r="W120" s="253"/>
      <c r="X120" s="253"/>
      <c r="Y120" s="253"/>
      <c r="Z120" s="253"/>
      <c r="AA120" s="253"/>
      <c r="AB120" s="218"/>
    </row>
    <row r="121">
      <c r="A121" s="118"/>
      <c r="B121" s="118"/>
      <c r="C121" s="143"/>
      <c r="D121" s="118"/>
      <c r="E121" s="118"/>
      <c r="F121" s="262"/>
      <c r="G121" s="264"/>
      <c r="H121" s="264"/>
      <c r="I121" s="267"/>
      <c r="J121" s="118"/>
      <c r="K121" s="136"/>
      <c r="L121" s="118"/>
      <c r="M121" s="136"/>
      <c r="N121" s="118"/>
      <c r="O121" s="136"/>
      <c r="P121" s="272"/>
      <c r="Q121" s="272"/>
      <c r="R121" s="272"/>
      <c r="S121" s="272"/>
      <c r="T121" s="272"/>
      <c r="U121" s="272"/>
      <c r="V121" s="273"/>
      <c r="W121" s="253"/>
      <c r="X121" s="253"/>
      <c r="Y121" s="253"/>
      <c r="Z121" s="253"/>
      <c r="AA121" s="253"/>
      <c r="AB121" s="218"/>
    </row>
    <row r="122">
      <c r="A122" s="118"/>
      <c r="B122" s="118"/>
      <c r="C122" s="143"/>
      <c r="D122" s="118"/>
      <c r="E122" s="118"/>
      <c r="F122" s="262"/>
      <c r="G122" s="264"/>
      <c r="H122" s="264"/>
      <c r="I122" s="267"/>
      <c r="J122" s="118"/>
      <c r="K122" s="136"/>
      <c r="L122" s="118"/>
      <c r="M122" s="136"/>
      <c r="N122" s="118"/>
      <c r="O122" s="136"/>
      <c r="P122" s="272"/>
      <c r="Q122" s="272"/>
      <c r="R122" s="272"/>
      <c r="S122" s="272"/>
      <c r="T122" s="272"/>
      <c r="U122" s="272"/>
      <c r="V122" s="273"/>
      <c r="W122" s="253"/>
      <c r="X122" s="253"/>
      <c r="Y122" s="253"/>
      <c r="Z122" s="253"/>
      <c r="AA122" s="253"/>
      <c r="AB122" s="218"/>
    </row>
    <row r="123">
      <c r="A123" s="118"/>
      <c r="B123" s="118"/>
      <c r="C123" s="143"/>
      <c r="D123" s="118"/>
      <c r="E123" s="118"/>
      <c r="F123" s="262"/>
      <c r="G123" s="264"/>
      <c r="H123" s="264"/>
      <c r="I123" s="267"/>
      <c r="J123" s="118"/>
      <c r="K123" s="136"/>
      <c r="L123" s="118"/>
      <c r="M123" s="136"/>
      <c r="N123" s="118"/>
      <c r="O123" s="136"/>
      <c r="P123" s="272"/>
      <c r="Q123" s="272"/>
      <c r="R123" s="272"/>
      <c r="S123" s="272"/>
      <c r="T123" s="272"/>
      <c r="U123" s="272"/>
      <c r="V123" s="273"/>
      <c r="W123" s="253"/>
      <c r="X123" s="253"/>
      <c r="Y123" s="253"/>
      <c r="Z123" s="253"/>
      <c r="AA123" s="253"/>
      <c r="AB123" s="218"/>
    </row>
    <row r="124">
      <c r="A124" s="118"/>
      <c r="B124" s="118"/>
      <c r="C124" s="143"/>
      <c r="D124" s="118"/>
      <c r="E124" s="118"/>
      <c r="F124" s="262"/>
      <c r="G124" s="264"/>
      <c r="H124" s="264"/>
      <c r="I124" s="267"/>
      <c r="J124" s="118"/>
      <c r="K124" s="136"/>
      <c r="L124" s="118"/>
      <c r="M124" s="136"/>
      <c r="N124" s="118"/>
      <c r="O124" s="136"/>
      <c r="P124" s="272"/>
      <c r="Q124" s="272"/>
      <c r="R124" s="272"/>
      <c r="S124" s="272"/>
      <c r="T124" s="272"/>
      <c r="U124" s="272"/>
      <c r="V124" s="273"/>
      <c r="W124" s="253"/>
      <c r="X124" s="253"/>
      <c r="Y124" s="253"/>
      <c r="Z124" s="253"/>
      <c r="AA124" s="253"/>
      <c r="AB124" s="218"/>
    </row>
    <row r="125">
      <c r="A125" s="118"/>
      <c r="B125" s="118"/>
      <c r="C125" s="143"/>
      <c r="D125" s="118"/>
      <c r="E125" s="118"/>
      <c r="F125" s="262"/>
      <c r="G125" s="264"/>
      <c r="H125" s="264"/>
      <c r="I125" s="267"/>
      <c r="J125" s="118"/>
      <c r="K125" s="136"/>
      <c r="L125" s="118"/>
      <c r="M125" s="136"/>
      <c r="N125" s="118"/>
      <c r="O125" s="136"/>
      <c r="P125" s="272"/>
      <c r="Q125" s="272"/>
      <c r="R125" s="272"/>
      <c r="S125" s="272"/>
      <c r="T125" s="272"/>
      <c r="U125" s="272"/>
      <c r="V125" s="273"/>
      <c r="W125" s="253"/>
      <c r="X125" s="253"/>
      <c r="Y125" s="253"/>
      <c r="Z125" s="253"/>
      <c r="AA125" s="253"/>
      <c r="AB125" s="218"/>
    </row>
    <row r="126">
      <c r="A126" s="118"/>
      <c r="B126" s="118"/>
      <c r="C126" s="143"/>
      <c r="D126" s="118"/>
      <c r="E126" s="118"/>
      <c r="F126" s="262"/>
      <c r="G126" s="264"/>
      <c r="H126" s="264"/>
      <c r="I126" s="267"/>
      <c r="J126" s="118"/>
      <c r="K126" s="136"/>
      <c r="L126" s="118"/>
      <c r="M126" s="136"/>
      <c r="N126" s="118"/>
      <c r="O126" s="136"/>
      <c r="P126" s="272"/>
      <c r="Q126" s="272"/>
      <c r="R126" s="272"/>
      <c r="S126" s="272"/>
      <c r="T126" s="272"/>
      <c r="U126" s="272"/>
      <c r="V126" s="273"/>
      <c r="W126" s="253"/>
      <c r="X126" s="253"/>
      <c r="Y126" s="253"/>
      <c r="Z126" s="253"/>
      <c r="AA126" s="253"/>
      <c r="AB126" s="218"/>
    </row>
    <row r="127">
      <c r="A127" s="118"/>
      <c r="B127" s="118"/>
      <c r="C127" s="143"/>
      <c r="D127" s="118"/>
      <c r="E127" s="118"/>
      <c r="F127" s="262"/>
      <c r="G127" s="264"/>
      <c r="H127" s="264"/>
      <c r="I127" s="267"/>
      <c r="J127" s="118"/>
      <c r="K127" s="136"/>
      <c r="L127" s="118"/>
      <c r="M127" s="136"/>
      <c r="N127" s="118"/>
      <c r="O127" s="136"/>
      <c r="P127" s="272"/>
      <c r="Q127" s="272"/>
      <c r="R127" s="272"/>
      <c r="S127" s="272"/>
      <c r="T127" s="272"/>
      <c r="U127" s="272"/>
      <c r="V127" s="273"/>
      <c r="W127" s="253"/>
      <c r="X127" s="253"/>
      <c r="Y127" s="253"/>
      <c r="Z127" s="253"/>
      <c r="AA127" s="253"/>
      <c r="AB127" s="218"/>
    </row>
    <row r="128">
      <c r="A128" s="118"/>
      <c r="B128" s="118"/>
      <c r="C128" s="143"/>
      <c r="D128" s="118"/>
      <c r="E128" s="118"/>
      <c r="F128" s="262"/>
      <c r="G128" s="264"/>
      <c r="H128" s="264"/>
      <c r="I128" s="267"/>
      <c r="J128" s="118"/>
      <c r="K128" s="136"/>
      <c r="L128" s="118"/>
      <c r="M128" s="136"/>
      <c r="N128" s="118"/>
      <c r="O128" s="136"/>
      <c r="P128" s="272"/>
      <c r="Q128" s="272"/>
      <c r="R128" s="272"/>
      <c r="S128" s="272"/>
      <c r="T128" s="272"/>
      <c r="U128" s="272"/>
      <c r="V128" s="273"/>
      <c r="W128" s="253"/>
      <c r="X128" s="253"/>
      <c r="Y128" s="253"/>
      <c r="Z128" s="253"/>
      <c r="AA128" s="253"/>
      <c r="AB128" s="218"/>
    </row>
    <row r="129">
      <c r="A129" s="118"/>
      <c r="B129" s="118"/>
      <c r="C129" s="143"/>
      <c r="D129" s="118"/>
      <c r="E129" s="118"/>
      <c r="F129" s="262"/>
      <c r="G129" s="264"/>
      <c r="H129" s="264"/>
      <c r="I129" s="267"/>
      <c r="J129" s="118"/>
      <c r="K129" s="136"/>
      <c r="L129" s="118"/>
      <c r="M129" s="136"/>
      <c r="N129" s="118"/>
      <c r="O129" s="136"/>
      <c r="P129" s="272"/>
      <c r="Q129" s="272"/>
      <c r="R129" s="272"/>
      <c r="S129" s="272"/>
      <c r="T129" s="272"/>
      <c r="U129" s="272"/>
      <c r="V129" s="273"/>
      <c r="W129" s="253"/>
      <c r="X129" s="253"/>
      <c r="Y129" s="253"/>
      <c r="Z129" s="253"/>
      <c r="AA129" s="253"/>
      <c r="AB129" s="218"/>
    </row>
    <row r="130">
      <c r="A130" s="118"/>
      <c r="B130" s="118"/>
      <c r="C130" s="143"/>
      <c r="D130" s="118"/>
      <c r="E130" s="118"/>
      <c r="F130" s="262"/>
      <c r="G130" s="264"/>
      <c r="H130" s="264"/>
      <c r="I130" s="267"/>
      <c r="J130" s="118"/>
      <c r="K130" s="136"/>
      <c r="L130" s="118"/>
      <c r="M130" s="136"/>
      <c r="N130" s="118"/>
      <c r="O130" s="136"/>
      <c r="P130" s="272"/>
      <c r="Q130" s="272"/>
      <c r="R130" s="272"/>
      <c r="S130" s="272"/>
      <c r="T130" s="272"/>
      <c r="U130" s="272"/>
      <c r="V130" s="273"/>
      <c r="W130" s="253"/>
      <c r="X130" s="253"/>
      <c r="Y130" s="253"/>
      <c r="Z130" s="253"/>
      <c r="AA130" s="253"/>
      <c r="AB130" s="218"/>
    </row>
    <row r="131">
      <c r="A131" s="118"/>
      <c r="B131" s="118"/>
      <c r="C131" s="143"/>
      <c r="D131" s="118"/>
      <c r="E131" s="118"/>
      <c r="F131" s="262"/>
      <c r="G131" s="264"/>
      <c r="H131" s="264"/>
      <c r="I131" s="267"/>
      <c r="J131" s="118"/>
      <c r="K131" s="136"/>
      <c r="L131" s="118"/>
      <c r="M131" s="136"/>
      <c r="N131" s="118"/>
      <c r="O131" s="136"/>
      <c r="P131" s="272"/>
      <c r="Q131" s="272"/>
      <c r="R131" s="272"/>
      <c r="S131" s="272"/>
      <c r="T131" s="272"/>
      <c r="U131" s="272"/>
      <c r="V131" s="273"/>
      <c r="W131" s="253"/>
      <c r="X131" s="253"/>
      <c r="Y131" s="253"/>
      <c r="Z131" s="253"/>
      <c r="AA131" s="253"/>
      <c r="AB131" s="218"/>
    </row>
    <row r="132">
      <c r="A132" s="118"/>
      <c r="B132" s="118"/>
      <c r="C132" s="143"/>
      <c r="D132" s="118"/>
      <c r="E132" s="118"/>
      <c r="F132" s="262"/>
      <c r="G132" s="264"/>
      <c r="H132" s="264"/>
      <c r="I132" s="267"/>
      <c r="J132" s="118"/>
      <c r="K132" s="136"/>
      <c r="L132" s="118"/>
      <c r="M132" s="136"/>
      <c r="N132" s="118"/>
      <c r="O132" s="136"/>
      <c r="P132" s="272"/>
      <c r="Q132" s="272"/>
      <c r="R132" s="272"/>
      <c r="S132" s="272"/>
      <c r="T132" s="272"/>
      <c r="U132" s="272"/>
      <c r="V132" s="273"/>
      <c r="W132" s="253"/>
      <c r="X132" s="253"/>
      <c r="Y132" s="253"/>
      <c r="Z132" s="253"/>
      <c r="AA132" s="253"/>
      <c r="AB132" s="218"/>
    </row>
    <row r="133">
      <c r="A133" s="118"/>
      <c r="B133" s="118"/>
      <c r="C133" s="143"/>
      <c r="D133" s="118"/>
      <c r="E133" s="118"/>
      <c r="F133" s="262"/>
      <c r="G133" s="264"/>
      <c r="H133" s="264"/>
      <c r="I133" s="267"/>
      <c r="J133" s="118"/>
      <c r="K133" s="136"/>
      <c r="L133" s="118"/>
      <c r="M133" s="136"/>
      <c r="N133" s="118"/>
      <c r="O133" s="136"/>
      <c r="P133" s="272"/>
      <c r="Q133" s="272"/>
      <c r="R133" s="272"/>
      <c r="S133" s="272"/>
      <c r="T133" s="272"/>
      <c r="U133" s="272"/>
      <c r="V133" s="273"/>
      <c r="W133" s="253"/>
      <c r="X133" s="253"/>
      <c r="Y133" s="253"/>
      <c r="Z133" s="253"/>
      <c r="AA133" s="253"/>
      <c r="AB133" s="218"/>
    </row>
    <row r="134">
      <c r="A134" s="118"/>
      <c r="B134" s="118"/>
      <c r="C134" s="143"/>
      <c r="D134" s="118"/>
      <c r="E134" s="118"/>
      <c r="F134" s="262"/>
      <c r="G134" s="264"/>
      <c r="H134" s="264"/>
      <c r="I134" s="267"/>
      <c r="J134" s="118"/>
      <c r="K134" s="136"/>
      <c r="L134" s="118"/>
      <c r="M134" s="136"/>
      <c r="N134" s="118"/>
      <c r="O134" s="136"/>
      <c r="P134" s="272"/>
      <c r="Q134" s="272"/>
      <c r="R134" s="272"/>
      <c r="S134" s="272"/>
      <c r="T134" s="272"/>
      <c r="U134" s="272"/>
      <c r="V134" s="273"/>
      <c r="W134" s="253"/>
      <c r="X134" s="253"/>
      <c r="Y134" s="253"/>
      <c r="Z134" s="253"/>
      <c r="AA134" s="253"/>
      <c r="AB134" s="218"/>
    </row>
    <row r="135">
      <c r="A135" s="118"/>
      <c r="B135" s="118"/>
      <c r="C135" s="143"/>
      <c r="D135" s="118"/>
      <c r="E135" s="118"/>
      <c r="F135" s="262"/>
      <c r="G135" s="264"/>
      <c r="H135" s="264"/>
      <c r="I135" s="267"/>
      <c r="J135" s="118"/>
      <c r="K135" s="136"/>
      <c r="L135" s="118"/>
      <c r="M135" s="136"/>
      <c r="N135" s="118"/>
      <c r="O135" s="136"/>
      <c r="P135" s="272"/>
      <c r="Q135" s="272"/>
      <c r="R135" s="272"/>
      <c r="S135" s="272"/>
      <c r="T135" s="272"/>
      <c r="U135" s="272"/>
      <c r="V135" s="273"/>
      <c r="W135" s="253"/>
      <c r="X135" s="253"/>
      <c r="Y135" s="253"/>
      <c r="Z135" s="253"/>
      <c r="AA135" s="253"/>
      <c r="AB135" s="218"/>
    </row>
    <row r="136">
      <c r="A136" s="118"/>
      <c r="B136" s="118"/>
      <c r="C136" s="143"/>
      <c r="D136" s="118"/>
      <c r="E136" s="118"/>
      <c r="F136" s="262"/>
      <c r="G136" s="264"/>
      <c r="H136" s="264"/>
      <c r="I136" s="267"/>
      <c r="J136" s="118"/>
      <c r="K136" s="136"/>
      <c r="L136" s="118"/>
      <c r="M136" s="136"/>
      <c r="N136" s="118"/>
      <c r="O136" s="136"/>
      <c r="P136" s="272"/>
      <c r="Q136" s="272"/>
      <c r="R136" s="272"/>
      <c r="S136" s="272"/>
      <c r="T136" s="272"/>
      <c r="U136" s="272"/>
      <c r="V136" s="273"/>
      <c r="W136" s="253"/>
      <c r="X136" s="253"/>
      <c r="Y136" s="253"/>
      <c r="Z136" s="253"/>
      <c r="AA136" s="253"/>
      <c r="AB136" s="218"/>
    </row>
    <row r="137">
      <c r="A137" s="118"/>
      <c r="B137" s="118"/>
      <c r="C137" s="143"/>
      <c r="D137" s="118"/>
      <c r="E137" s="118"/>
      <c r="F137" s="262"/>
      <c r="G137" s="264"/>
      <c r="H137" s="264"/>
      <c r="I137" s="267"/>
      <c r="J137" s="118"/>
      <c r="K137" s="136"/>
      <c r="L137" s="118"/>
      <c r="M137" s="136"/>
      <c r="N137" s="118"/>
      <c r="O137" s="136"/>
      <c r="P137" s="272"/>
      <c r="Q137" s="272"/>
      <c r="R137" s="272"/>
      <c r="S137" s="272"/>
      <c r="T137" s="272"/>
      <c r="U137" s="272"/>
      <c r="V137" s="273"/>
      <c r="W137" s="253"/>
      <c r="X137" s="253"/>
      <c r="Y137" s="253"/>
      <c r="Z137" s="253"/>
      <c r="AA137" s="253"/>
      <c r="AB137" s="218"/>
    </row>
    <row r="138">
      <c r="A138" s="118"/>
      <c r="B138" s="118"/>
      <c r="C138" s="143"/>
      <c r="D138" s="118"/>
      <c r="E138" s="118"/>
      <c r="F138" s="262"/>
      <c r="G138" s="264"/>
      <c r="H138" s="264"/>
      <c r="I138" s="267"/>
      <c r="J138" s="118"/>
      <c r="K138" s="136"/>
      <c r="L138" s="118"/>
      <c r="M138" s="136"/>
      <c r="N138" s="118"/>
      <c r="O138" s="136"/>
      <c r="P138" s="272"/>
      <c r="Q138" s="272"/>
      <c r="R138" s="272"/>
      <c r="S138" s="272"/>
      <c r="T138" s="272"/>
      <c r="U138" s="272"/>
      <c r="V138" s="273"/>
      <c r="W138" s="253"/>
      <c r="X138" s="253"/>
      <c r="Y138" s="253"/>
      <c r="Z138" s="253"/>
      <c r="AA138" s="253"/>
      <c r="AB138" s="218"/>
    </row>
    <row r="139">
      <c r="A139" s="118"/>
      <c r="B139" s="118"/>
      <c r="C139" s="143"/>
      <c r="D139" s="118"/>
      <c r="E139" s="118"/>
      <c r="F139" s="262"/>
      <c r="G139" s="264"/>
      <c r="H139" s="264"/>
      <c r="I139" s="267"/>
      <c r="J139" s="118"/>
      <c r="K139" s="136"/>
      <c r="L139" s="118"/>
      <c r="M139" s="136"/>
      <c r="N139" s="118"/>
      <c r="O139" s="136"/>
      <c r="P139" s="272"/>
      <c r="Q139" s="272"/>
      <c r="R139" s="272"/>
      <c r="S139" s="272"/>
      <c r="T139" s="272"/>
      <c r="U139" s="272"/>
      <c r="V139" s="273"/>
      <c r="W139" s="253"/>
      <c r="X139" s="253"/>
      <c r="Y139" s="253"/>
      <c r="Z139" s="253"/>
      <c r="AA139" s="253"/>
      <c r="AB139" s="218"/>
    </row>
    <row r="140">
      <c r="A140" s="118"/>
      <c r="B140" s="118"/>
      <c r="C140" s="143"/>
      <c r="D140" s="118"/>
      <c r="E140" s="118"/>
      <c r="F140" s="262"/>
      <c r="G140" s="264"/>
      <c r="H140" s="264"/>
      <c r="I140" s="267"/>
      <c r="J140" s="118"/>
      <c r="K140" s="136"/>
      <c r="L140" s="118"/>
      <c r="M140" s="136"/>
      <c r="N140" s="118"/>
      <c r="O140" s="136"/>
      <c r="P140" s="272"/>
      <c r="Q140" s="272"/>
      <c r="R140" s="272"/>
      <c r="S140" s="272"/>
      <c r="T140" s="272"/>
      <c r="U140" s="272"/>
      <c r="V140" s="273"/>
      <c r="W140" s="253"/>
      <c r="X140" s="253"/>
      <c r="Y140" s="253"/>
      <c r="Z140" s="253"/>
      <c r="AA140" s="253"/>
      <c r="AB140" s="218"/>
    </row>
    <row r="141">
      <c r="A141" s="118"/>
      <c r="B141" s="118"/>
      <c r="C141" s="143"/>
      <c r="D141" s="118"/>
      <c r="E141" s="118"/>
      <c r="F141" s="262"/>
      <c r="G141" s="264"/>
      <c r="H141" s="264"/>
      <c r="I141" s="267"/>
      <c r="J141" s="118"/>
      <c r="K141" s="136"/>
      <c r="L141" s="118"/>
      <c r="M141" s="136"/>
      <c r="N141" s="118"/>
      <c r="O141" s="136"/>
      <c r="P141" s="272"/>
      <c r="Q141" s="272"/>
      <c r="R141" s="272"/>
      <c r="S141" s="272"/>
      <c r="T141" s="272"/>
      <c r="U141" s="272"/>
      <c r="V141" s="273"/>
      <c r="W141" s="253"/>
      <c r="X141" s="253"/>
      <c r="Y141" s="253"/>
      <c r="Z141" s="253"/>
      <c r="AA141" s="253"/>
      <c r="AB141" s="218"/>
    </row>
    <row r="142">
      <c r="A142" s="118"/>
      <c r="B142" s="118"/>
      <c r="C142" s="143"/>
      <c r="D142" s="118"/>
      <c r="E142" s="118"/>
      <c r="F142" s="262"/>
      <c r="G142" s="264"/>
      <c r="H142" s="264"/>
      <c r="I142" s="267"/>
      <c r="J142" s="118"/>
      <c r="K142" s="136"/>
      <c r="L142" s="118"/>
      <c r="M142" s="136"/>
      <c r="N142" s="118"/>
      <c r="O142" s="136"/>
      <c r="P142" s="272"/>
      <c r="Q142" s="272"/>
      <c r="R142" s="272"/>
      <c r="S142" s="272"/>
      <c r="T142" s="272"/>
      <c r="U142" s="272"/>
      <c r="V142" s="273"/>
      <c r="W142" s="253"/>
      <c r="X142" s="253"/>
      <c r="Y142" s="253"/>
      <c r="Z142" s="253"/>
      <c r="AA142" s="253"/>
      <c r="AB142" s="218"/>
    </row>
    <row r="143">
      <c r="A143" s="118"/>
      <c r="B143" s="118"/>
      <c r="C143" s="143"/>
      <c r="D143" s="118"/>
      <c r="E143" s="118"/>
      <c r="F143" s="262"/>
      <c r="G143" s="264"/>
      <c r="H143" s="264"/>
      <c r="I143" s="267"/>
      <c r="J143" s="118"/>
      <c r="K143" s="136"/>
      <c r="L143" s="118"/>
      <c r="M143" s="136"/>
      <c r="N143" s="118"/>
      <c r="O143" s="136"/>
      <c r="P143" s="272"/>
      <c r="Q143" s="272"/>
      <c r="R143" s="272"/>
      <c r="S143" s="272"/>
      <c r="T143" s="272"/>
      <c r="U143" s="272"/>
      <c r="V143" s="273"/>
      <c r="W143" s="253"/>
      <c r="X143" s="253"/>
      <c r="Y143" s="253"/>
      <c r="Z143" s="253"/>
      <c r="AA143" s="253"/>
      <c r="AB143" s="218"/>
    </row>
    <row r="144">
      <c r="A144" s="118"/>
      <c r="B144" s="118"/>
      <c r="C144" s="143"/>
      <c r="D144" s="118"/>
      <c r="E144" s="118"/>
      <c r="F144" s="262"/>
      <c r="G144" s="264"/>
      <c r="H144" s="264"/>
      <c r="I144" s="267"/>
      <c r="J144" s="118"/>
      <c r="K144" s="136"/>
      <c r="L144" s="118"/>
      <c r="M144" s="136"/>
      <c r="N144" s="118"/>
      <c r="O144" s="136"/>
      <c r="P144" s="272"/>
      <c r="Q144" s="272"/>
      <c r="R144" s="272"/>
      <c r="S144" s="272"/>
      <c r="T144" s="272"/>
      <c r="U144" s="272"/>
      <c r="V144" s="273"/>
      <c r="W144" s="253"/>
      <c r="X144" s="253"/>
      <c r="Y144" s="253"/>
      <c r="Z144" s="253"/>
      <c r="AA144" s="253"/>
      <c r="AB144" s="218"/>
    </row>
    <row r="145">
      <c r="A145" s="118"/>
      <c r="B145" s="118"/>
      <c r="C145" s="143"/>
      <c r="D145" s="118"/>
      <c r="E145" s="118"/>
      <c r="F145" s="262"/>
      <c r="G145" s="264"/>
      <c r="H145" s="264"/>
      <c r="I145" s="267"/>
      <c r="J145" s="118"/>
      <c r="K145" s="136"/>
      <c r="L145" s="118"/>
      <c r="M145" s="136"/>
      <c r="N145" s="118"/>
      <c r="O145" s="136"/>
      <c r="P145" s="272"/>
      <c r="Q145" s="272"/>
      <c r="R145" s="272"/>
      <c r="S145" s="272"/>
      <c r="T145" s="272"/>
      <c r="U145" s="272"/>
      <c r="V145" s="273"/>
      <c r="W145" s="253"/>
      <c r="X145" s="253"/>
      <c r="Y145" s="253"/>
      <c r="Z145" s="253"/>
      <c r="AA145" s="253"/>
      <c r="AB145" s="218"/>
    </row>
    <row r="146">
      <c r="A146" s="118"/>
      <c r="B146" s="118"/>
      <c r="C146" s="143"/>
      <c r="D146" s="118"/>
      <c r="E146" s="118"/>
      <c r="F146" s="262"/>
      <c r="G146" s="264"/>
      <c r="H146" s="264"/>
      <c r="I146" s="267"/>
      <c r="J146" s="118"/>
      <c r="K146" s="136"/>
      <c r="L146" s="118"/>
      <c r="M146" s="136"/>
      <c r="N146" s="118"/>
      <c r="O146" s="136"/>
      <c r="P146" s="272"/>
      <c r="Q146" s="272"/>
      <c r="R146" s="272"/>
      <c r="S146" s="272"/>
      <c r="T146" s="272"/>
      <c r="U146" s="272"/>
      <c r="V146" s="273"/>
      <c r="W146" s="253"/>
      <c r="X146" s="253"/>
      <c r="Y146" s="253"/>
      <c r="Z146" s="253"/>
      <c r="AA146" s="253"/>
      <c r="AB146" s="218"/>
    </row>
    <row r="147">
      <c r="A147" s="118"/>
      <c r="B147" s="118"/>
      <c r="C147" s="143"/>
      <c r="D147" s="118"/>
      <c r="E147" s="118"/>
      <c r="F147" s="262"/>
      <c r="G147" s="264"/>
      <c r="H147" s="264"/>
      <c r="I147" s="267"/>
      <c r="J147" s="118"/>
      <c r="K147" s="136"/>
      <c r="L147" s="118"/>
      <c r="M147" s="136"/>
      <c r="N147" s="118"/>
      <c r="O147" s="136"/>
      <c r="P147" s="272"/>
      <c r="Q147" s="272"/>
      <c r="R147" s="272"/>
      <c r="S147" s="272"/>
      <c r="T147" s="272"/>
      <c r="U147" s="272"/>
      <c r="V147" s="273"/>
      <c r="W147" s="253"/>
      <c r="X147" s="253"/>
      <c r="Y147" s="253"/>
      <c r="Z147" s="253"/>
      <c r="AA147" s="253"/>
      <c r="AB147" s="218"/>
    </row>
    <row r="148">
      <c r="A148" s="118"/>
      <c r="B148" s="118"/>
      <c r="C148" s="143"/>
      <c r="D148" s="118"/>
      <c r="E148" s="118"/>
      <c r="F148" s="262"/>
      <c r="G148" s="264"/>
      <c r="H148" s="264"/>
      <c r="I148" s="267"/>
      <c r="J148" s="118"/>
      <c r="K148" s="136"/>
      <c r="L148" s="118"/>
      <c r="M148" s="136"/>
      <c r="N148" s="118"/>
      <c r="O148" s="136"/>
      <c r="P148" s="272"/>
      <c r="Q148" s="272"/>
      <c r="R148" s="272"/>
      <c r="S148" s="272"/>
      <c r="T148" s="272"/>
      <c r="U148" s="272"/>
      <c r="V148" s="273"/>
      <c r="W148" s="253"/>
      <c r="X148" s="253"/>
      <c r="Y148" s="253"/>
      <c r="Z148" s="253"/>
      <c r="AA148" s="253"/>
      <c r="AB148" s="218"/>
    </row>
    <row r="149">
      <c r="A149" s="118"/>
      <c r="B149" s="118"/>
      <c r="C149" s="143"/>
      <c r="D149" s="118"/>
      <c r="E149" s="118"/>
      <c r="F149" s="262"/>
      <c r="G149" s="264"/>
      <c r="H149" s="264"/>
      <c r="I149" s="267"/>
      <c r="J149" s="118"/>
      <c r="K149" s="136"/>
      <c r="L149" s="118"/>
      <c r="M149" s="136"/>
      <c r="N149" s="118"/>
      <c r="O149" s="136"/>
      <c r="P149" s="272"/>
      <c r="Q149" s="272"/>
      <c r="R149" s="272"/>
      <c r="S149" s="272"/>
      <c r="T149" s="272"/>
      <c r="U149" s="272"/>
      <c r="V149" s="273"/>
      <c r="W149" s="253"/>
      <c r="X149" s="253"/>
      <c r="Y149" s="253"/>
      <c r="Z149" s="253"/>
      <c r="AA149" s="253"/>
      <c r="AB149" s="218"/>
    </row>
    <row r="150">
      <c r="A150" s="118"/>
      <c r="B150" s="118"/>
      <c r="C150" s="143"/>
      <c r="D150" s="118"/>
      <c r="E150" s="118"/>
      <c r="F150" s="262"/>
      <c r="G150" s="264"/>
      <c r="H150" s="264"/>
      <c r="I150" s="267"/>
      <c r="J150" s="118"/>
      <c r="K150" s="136"/>
      <c r="L150" s="118"/>
      <c r="M150" s="136"/>
      <c r="N150" s="118"/>
      <c r="O150" s="136"/>
      <c r="P150" s="272"/>
      <c r="Q150" s="272"/>
      <c r="R150" s="272"/>
      <c r="S150" s="272"/>
      <c r="T150" s="272"/>
      <c r="U150" s="272"/>
      <c r="V150" s="273"/>
      <c r="W150" s="253"/>
      <c r="X150" s="253"/>
      <c r="Y150" s="253"/>
      <c r="Z150" s="253"/>
      <c r="AA150" s="253"/>
      <c r="AB150" s="218"/>
    </row>
    <row r="151">
      <c r="A151" s="118"/>
      <c r="B151" s="118"/>
      <c r="C151" s="143"/>
      <c r="D151" s="118"/>
      <c r="E151" s="118"/>
      <c r="F151" s="262"/>
      <c r="G151" s="264"/>
      <c r="H151" s="264"/>
      <c r="I151" s="267"/>
      <c r="J151" s="118"/>
      <c r="K151" s="136"/>
      <c r="L151" s="118"/>
      <c r="M151" s="136"/>
      <c r="N151" s="118"/>
      <c r="O151" s="136"/>
      <c r="P151" s="272"/>
      <c r="Q151" s="272"/>
      <c r="R151" s="272"/>
      <c r="S151" s="272"/>
      <c r="T151" s="272"/>
      <c r="U151" s="272"/>
      <c r="V151" s="273"/>
      <c r="W151" s="253"/>
      <c r="X151" s="253"/>
      <c r="Y151" s="253"/>
      <c r="Z151" s="253"/>
      <c r="AA151" s="253"/>
      <c r="AB151" s="218"/>
    </row>
    <row r="152">
      <c r="A152" s="118"/>
      <c r="B152" s="118"/>
      <c r="C152" s="143"/>
      <c r="D152" s="118"/>
      <c r="E152" s="118"/>
      <c r="F152" s="262"/>
      <c r="G152" s="264"/>
      <c r="H152" s="264"/>
      <c r="I152" s="267"/>
      <c r="J152" s="118"/>
      <c r="K152" s="136"/>
      <c r="L152" s="118"/>
      <c r="M152" s="136"/>
      <c r="N152" s="118"/>
      <c r="O152" s="136"/>
      <c r="P152" s="272"/>
      <c r="Q152" s="272"/>
      <c r="R152" s="272"/>
      <c r="S152" s="272"/>
      <c r="T152" s="272"/>
      <c r="U152" s="272"/>
      <c r="V152" s="273"/>
      <c r="W152" s="253"/>
      <c r="X152" s="253"/>
      <c r="Y152" s="253"/>
      <c r="Z152" s="253"/>
      <c r="AA152" s="253"/>
      <c r="AB152" s="218"/>
    </row>
    <row r="153">
      <c r="A153" s="118"/>
      <c r="B153" s="118"/>
      <c r="C153" s="143"/>
      <c r="D153" s="118"/>
      <c r="E153" s="118"/>
      <c r="F153" s="262"/>
      <c r="G153" s="264"/>
      <c r="H153" s="264"/>
      <c r="I153" s="267"/>
      <c r="J153" s="118"/>
      <c r="K153" s="136"/>
      <c r="L153" s="118"/>
      <c r="M153" s="136"/>
      <c r="N153" s="118"/>
      <c r="O153" s="136"/>
      <c r="P153" s="272"/>
      <c r="Q153" s="272"/>
      <c r="R153" s="272"/>
      <c r="S153" s="272"/>
      <c r="T153" s="272"/>
      <c r="U153" s="272"/>
      <c r="V153" s="273"/>
      <c r="W153" s="253"/>
      <c r="X153" s="253"/>
      <c r="Y153" s="253"/>
      <c r="Z153" s="253"/>
      <c r="AA153" s="253"/>
      <c r="AB153" s="218"/>
    </row>
    <row r="154">
      <c r="A154" s="118"/>
      <c r="B154" s="118"/>
      <c r="C154" s="143"/>
      <c r="D154" s="118"/>
      <c r="E154" s="118"/>
      <c r="F154" s="262"/>
      <c r="G154" s="264"/>
      <c r="H154" s="264"/>
      <c r="I154" s="267"/>
      <c r="J154" s="118"/>
      <c r="K154" s="136"/>
      <c r="L154" s="118"/>
      <c r="M154" s="136"/>
      <c r="N154" s="118"/>
      <c r="O154" s="136"/>
      <c r="P154" s="272"/>
      <c r="Q154" s="272"/>
      <c r="R154" s="272"/>
      <c r="S154" s="272"/>
      <c r="T154" s="272"/>
      <c r="U154" s="272"/>
      <c r="V154" s="273"/>
      <c r="W154" s="253"/>
      <c r="X154" s="253"/>
      <c r="Y154" s="253"/>
      <c r="Z154" s="253"/>
      <c r="AA154" s="253"/>
      <c r="AB154" s="218"/>
    </row>
    <row r="155">
      <c r="A155" s="118"/>
      <c r="B155" s="118"/>
      <c r="C155" s="143"/>
      <c r="D155" s="118"/>
      <c r="E155" s="118"/>
      <c r="F155" s="262"/>
      <c r="G155" s="264"/>
      <c r="H155" s="264"/>
      <c r="I155" s="267"/>
      <c r="J155" s="118"/>
      <c r="K155" s="136"/>
      <c r="L155" s="118"/>
      <c r="M155" s="136"/>
      <c r="N155" s="118"/>
      <c r="O155" s="136"/>
      <c r="P155" s="272"/>
      <c r="Q155" s="272"/>
      <c r="R155" s="272"/>
      <c r="S155" s="272"/>
      <c r="T155" s="272"/>
      <c r="U155" s="272"/>
      <c r="V155" s="273"/>
      <c r="W155" s="253"/>
      <c r="X155" s="253"/>
      <c r="Y155" s="253"/>
      <c r="Z155" s="253"/>
      <c r="AA155" s="253"/>
      <c r="AB155" s="218"/>
    </row>
    <row r="156">
      <c r="A156" s="118"/>
      <c r="B156" s="118"/>
      <c r="C156" s="143"/>
      <c r="D156" s="118"/>
      <c r="E156" s="118"/>
      <c r="F156" s="262"/>
      <c r="G156" s="264"/>
      <c r="H156" s="264"/>
      <c r="I156" s="267"/>
      <c r="J156" s="118"/>
      <c r="K156" s="136"/>
      <c r="L156" s="118"/>
      <c r="M156" s="136"/>
      <c r="N156" s="118"/>
      <c r="O156" s="136"/>
      <c r="P156" s="272"/>
      <c r="Q156" s="272"/>
      <c r="R156" s="272"/>
      <c r="S156" s="272"/>
      <c r="T156" s="272"/>
      <c r="U156" s="272"/>
      <c r="V156" s="273"/>
      <c r="W156" s="253"/>
      <c r="X156" s="253"/>
      <c r="Y156" s="253"/>
      <c r="Z156" s="253"/>
      <c r="AA156" s="253"/>
      <c r="AB156" s="218"/>
    </row>
    <row r="157">
      <c r="A157" s="118"/>
      <c r="B157" s="118"/>
      <c r="C157" s="143"/>
      <c r="D157" s="118"/>
      <c r="E157" s="118"/>
      <c r="F157" s="262"/>
      <c r="G157" s="264"/>
      <c r="H157" s="264"/>
      <c r="I157" s="267"/>
      <c r="J157" s="118"/>
      <c r="K157" s="136"/>
      <c r="L157" s="118"/>
      <c r="M157" s="136"/>
      <c r="N157" s="118"/>
      <c r="O157" s="136"/>
      <c r="P157" s="272"/>
      <c r="Q157" s="272"/>
      <c r="R157" s="272"/>
      <c r="S157" s="272"/>
      <c r="T157" s="272"/>
      <c r="U157" s="272"/>
      <c r="V157" s="273"/>
      <c r="W157" s="253"/>
      <c r="X157" s="253"/>
      <c r="Y157" s="253"/>
      <c r="Z157" s="253"/>
      <c r="AA157" s="253"/>
      <c r="AB157" s="218"/>
    </row>
    <row r="158">
      <c r="A158" s="118"/>
      <c r="B158" s="118"/>
      <c r="C158" s="143"/>
      <c r="D158" s="118"/>
      <c r="E158" s="118"/>
      <c r="F158" s="262"/>
      <c r="G158" s="264"/>
      <c r="H158" s="264"/>
      <c r="I158" s="267"/>
      <c r="J158" s="118"/>
      <c r="K158" s="136"/>
      <c r="L158" s="118"/>
      <c r="M158" s="136"/>
      <c r="N158" s="118"/>
      <c r="O158" s="136"/>
      <c r="P158" s="272"/>
      <c r="Q158" s="272"/>
      <c r="R158" s="272"/>
      <c r="S158" s="272"/>
      <c r="T158" s="272"/>
      <c r="U158" s="272"/>
      <c r="V158" s="273"/>
      <c r="W158" s="253"/>
      <c r="X158" s="253"/>
      <c r="Y158" s="253"/>
      <c r="Z158" s="253"/>
      <c r="AA158" s="253"/>
      <c r="AB158" s="218"/>
    </row>
    <row r="159">
      <c r="A159" s="118"/>
      <c r="B159" s="118"/>
      <c r="C159" s="143"/>
      <c r="D159" s="118"/>
      <c r="E159" s="118"/>
      <c r="F159" s="262"/>
      <c r="G159" s="264"/>
      <c r="H159" s="264"/>
      <c r="I159" s="267"/>
      <c r="J159" s="118"/>
      <c r="K159" s="136"/>
      <c r="L159" s="118"/>
      <c r="M159" s="136"/>
      <c r="N159" s="118"/>
      <c r="O159" s="136"/>
      <c r="P159" s="272"/>
      <c r="Q159" s="272"/>
      <c r="R159" s="272"/>
      <c r="S159" s="272"/>
      <c r="T159" s="272"/>
      <c r="U159" s="272"/>
      <c r="V159" s="273"/>
      <c r="W159" s="253"/>
      <c r="X159" s="253"/>
      <c r="Y159" s="253"/>
      <c r="Z159" s="253"/>
      <c r="AA159" s="253"/>
      <c r="AB159" s="218"/>
    </row>
    <row r="160">
      <c r="A160" s="118"/>
      <c r="B160" s="118"/>
      <c r="C160" s="143"/>
      <c r="D160" s="118"/>
      <c r="E160" s="118"/>
      <c r="F160" s="262"/>
      <c r="G160" s="264"/>
      <c r="H160" s="264"/>
      <c r="I160" s="267"/>
      <c r="J160" s="118"/>
      <c r="K160" s="136"/>
      <c r="L160" s="118"/>
      <c r="M160" s="136"/>
      <c r="N160" s="118"/>
      <c r="O160" s="136"/>
      <c r="P160" s="272"/>
      <c r="Q160" s="272"/>
      <c r="R160" s="272"/>
      <c r="S160" s="272"/>
      <c r="T160" s="272"/>
      <c r="U160" s="272"/>
      <c r="V160" s="273"/>
      <c r="W160" s="253"/>
      <c r="X160" s="253"/>
      <c r="Y160" s="253"/>
      <c r="Z160" s="253"/>
      <c r="AA160" s="253"/>
      <c r="AB160" s="218"/>
    </row>
    <row r="161">
      <c r="A161" s="118"/>
      <c r="B161" s="118"/>
      <c r="C161" s="143"/>
      <c r="D161" s="118"/>
      <c r="E161" s="118"/>
      <c r="F161" s="262"/>
      <c r="G161" s="264"/>
      <c r="H161" s="264"/>
      <c r="I161" s="267"/>
      <c r="J161" s="118"/>
      <c r="K161" s="136"/>
      <c r="L161" s="118"/>
      <c r="M161" s="136"/>
      <c r="N161" s="118"/>
      <c r="O161" s="136"/>
      <c r="P161" s="272"/>
      <c r="Q161" s="272"/>
      <c r="R161" s="272"/>
      <c r="S161" s="272"/>
      <c r="T161" s="272"/>
      <c r="U161" s="272"/>
      <c r="V161" s="273"/>
      <c r="W161" s="253"/>
      <c r="X161" s="253"/>
      <c r="Y161" s="253"/>
      <c r="Z161" s="253"/>
      <c r="AA161" s="253"/>
      <c r="AB161" s="218"/>
    </row>
    <row r="162">
      <c r="A162" s="118"/>
      <c r="B162" s="118"/>
      <c r="C162" s="143"/>
      <c r="D162" s="118"/>
      <c r="E162" s="118"/>
      <c r="F162" s="262"/>
      <c r="G162" s="264"/>
      <c r="H162" s="264"/>
      <c r="I162" s="267"/>
      <c r="J162" s="118"/>
      <c r="K162" s="136"/>
      <c r="L162" s="118"/>
      <c r="M162" s="136"/>
      <c r="N162" s="118"/>
      <c r="O162" s="136"/>
      <c r="P162" s="272"/>
      <c r="Q162" s="272"/>
      <c r="R162" s="272"/>
      <c r="S162" s="272"/>
      <c r="T162" s="272"/>
      <c r="U162" s="272"/>
      <c r="V162" s="273"/>
      <c r="W162" s="253"/>
      <c r="X162" s="253"/>
      <c r="Y162" s="253"/>
      <c r="Z162" s="253"/>
      <c r="AA162" s="253"/>
      <c r="AB162" s="218"/>
    </row>
    <row r="163">
      <c r="A163" s="118"/>
      <c r="B163" s="118"/>
      <c r="C163" s="143"/>
      <c r="D163" s="118"/>
      <c r="E163" s="118"/>
      <c r="F163" s="262"/>
      <c r="G163" s="264"/>
      <c r="H163" s="264"/>
      <c r="I163" s="267"/>
      <c r="J163" s="118"/>
      <c r="K163" s="136"/>
      <c r="L163" s="118"/>
      <c r="M163" s="136"/>
      <c r="N163" s="118"/>
      <c r="O163" s="136"/>
      <c r="P163" s="272"/>
      <c r="Q163" s="272"/>
      <c r="R163" s="272"/>
      <c r="S163" s="272"/>
      <c r="T163" s="272"/>
      <c r="U163" s="272"/>
      <c r="V163" s="273"/>
      <c r="W163" s="253"/>
      <c r="X163" s="253"/>
      <c r="Y163" s="253"/>
      <c r="Z163" s="253"/>
      <c r="AA163" s="253"/>
      <c r="AB163" s="218"/>
    </row>
    <row r="164">
      <c r="A164" s="118"/>
      <c r="B164" s="118"/>
      <c r="C164" s="143"/>
      <c r="D164" s="118"/>
      <c r="E164" s="118"/>
      <c r="F164" s="262"/>
      <c r="G164" s="264"/>
      <c r="H164" s="264"/>
      <c r="I164" s="267"/>
      <c r="J164" s="118"/>
      <c r="K164" s="136"/>
      <c r="L164" s="118"/>
      <c r="M164" s="136"/>
      <c r="N164" s="118"/>
      <c r="O164" s="136"/>
      <c r="P164" s="272"/>
      <c r="Q164" s="272"/>
      <c r="R164" s="272"/>
      <c r="S164" s="272"/>
      <c r="T164" s="272"/>
      <c r="U164" s="272"/>
      <c r="V164" s="273"/>
      <c r="W164" s="253"/>
      <c r="X164" s="253"/>
      <c r="Y164" s="253"/>
      <c r="Z164" s="253"/>
      <c r="AA164" s="253"/>
      <c r="AB164" s="218"/>
    </row>
    <row r="165">
      <c r="A165" s="118"/>
      <c r="B165" s="118"/>
      <c r="C165" s="143"/>
      <c r="D165" s="118"/>
      <c r="E165" s="118"/>
      <c r="F165" s="262"/>
      <c r="G165" s="264"/>
      <c r="H165" s="264"/>
      <c r="I165" s="267"/>
      <c r="J165" s="118"/>
      <c r="K165" s="136"/>
      <c r="L165" s="118"/>
      <c r="M165" s="136"/>
      <c r="N165" s="118"/>
      <c r="O165" s="136"/>
      <c r="P165" s="272"/>
      <c r="Q165" s="272"/>
      <c r="R165" s="272"/>
      <c r="S165" s="272"/>
      <c r="T165" s="272"/>
      <c r="U165" s="272"/>
      <c r="V165" s="273"/>
      <c r="W165" s="253"/>
      <c r="X165" s="253"/>
      <c r="Y165" s="253"/>
      <c r="Z165" s="253"/>
      <c r="AA165" s="253"/>
      <c r="AB165" s="218"/>
    </row>
    <row r="166">
      <c r="A166" s="118"/>
      <c r="B166" s="118"/>
      <c r="C166" s="143"/>
      <c r="D166" s="118"/>
      <c r="E166" s="118"/>
      <c r="F166" s="262"/>
      <c r="G166" s="264"/>
      <c r="H166" s="264"/>
      <c r="I166" s="267"/>
      <c r="J166" s="118"/>
      <c r="K166" s="136"/>
      <c r="L166" s="118"/>
      <c r="M166" s="136"/>
      <c r="N166" s="118"/>
      <c r="O166" s="136"/>
      <c r="P166" s="272"/>
      <c r="Q166" s="272"/>
      <c r="R166" s="272"/>
      <c r="S166" s="272"/>
      <c r="T166" s="272"/>
      <c r="U166" s="272"/>
      <c r="V166" s="273"/>
      <c r="W166" s="253"/>
      <c r="X166" s="253"/>
      <c r="Y166" s="253"/>
      <c r="Z166" s="253"/>
      <c r="AA166" s="253"/>
      <c r="AB166" s="218"/>
    </row>
    <row r="167">
      <c r="A167" s="118"/>
      <c r="B167" s="118"/>
      <c r="C167" s="143"/>
      <c r="D167" s="118"/>
      <c r="E167" s="118"/>
      <c r="F167" s="262"/>
      <c r="G167" s="264"/>
      <c r="H167" s="264"/>
      <c r="I167" s="267"/>
      <c r="J167" s="118"/>
      <c r="K167" s="136"/>
      <c r="L167" s="118"/>
      <c r="M167" s="136"/>
      <c r="N167" s="118"/>
      <c r="O167" s="136"/>
      <c r="P167" s="272"/>
      <c r="Q167" s="272"/>
      <c r="R167" s="272"/>
      <c r="S167" s="272"/>
      <c r="T167" s="272"/>
      <c r="U167" s="272"/>
      <c r="V167" s="273"/>
      <c r="W167" s="253"/>
      <c r="X167" s="253"/>
      <c r="Y167" s="253"/>
      <c r="Z167" s="253"/>
      <c r="AA167" s="253"/>
      <c r="AB167" s="218"/>
    </row>
    <row r="168">
      <c r="A168" s="118"/>
      <c r="B168" s="118"/>
      <c r="C168" s="143"/>
      <c r="D168" s="118"/>
      <c r="E168" s="118"/>
      <c r="F168" s="262"/>
      <c r="G168" s="264"/>
      <c r="H168" s="264"/>
      <c r="I168" s="267"/>
      <c r="J168" s="118"/>
      <c r="K168" s="136"/>
      <c r="L168" s="118"/>
      <c r="M168" s="136"/>
      <c r="N168" s="118"/>
      <c r="O168" s="136"/>
      <c r="P168" s="272"/>
      <c r="Q168" s="272"/>
      <c r="R168" s="272"/>
      <c r="S168" s="272"/>
      <c r="T168" s="272"/>
      <c r="U168" s="272"/>
      <c r="V168" s="273"/>
      <c r="W168" s="253"/>
      <c r="X168" s="253"/>
      <c r="Y168" s="253"/>
      <c r="Z168" s="253"/>
      <c r="AA168" s="253"/>
      <c r="AB168" s="218"/>
    </row>
    <row r="169">
      <c r="A169" s="118"/>
      <c r="B169" s="118"/>
      <c r="C169" s="143"/>
      <c r="D169" s="118"/>
      <c r="E169" s="118"/>
      <c r="F169" s="262"/>
      <c r="G169" s="264"/>
      <c r="H169" s="264"/>
      <c r="I169" s="267"/>
      <c r="J169" s="118"/>
      <c r="K169" s="136"/>
      <c r="L169" s="118"/>
      <c r="M169" s="136"/>
      <c r="N169" s="118"/>
      <c r="O169" s="136"/>
      <c r="P169" s="272"/>
      <c r="Q169" s="272"/>
      <c r="R169" s="272"/>
      <c r="S169" s="272"/>
      <c r="T169" s="272"/>
      <c r="U169" s="272"/>
      <c r="V169" s="273"/>
      <c r="W169" s="253"/>
      <c r="X169" s="253"/>
      <c r="Y169" s="253"/>
      <c r="Z169" s="253"/>
      <c r="AA169" s="253"/>
      <c r="AB169" s="218"/>
    </row>
    <row r="170">
      <c r="A170" s="118"/>
      <c r="B170" s="118"/>
      <c r="C170" s="143"/>
      <c r="D170" s="118"/>
      <c r="E170" s="118"/>
      <c r="F170" s="262"/>
      <c r="G170" s="264"/>
      <c r="H170" s="264"/>
      <c r="I170" s="267"/>
      <c r="J170" s="118"/>
      <c r="K170" s="136"/>
      <c r="L170" s="118"/>
      <c r="M170" s="136"/>
      <c r="N170" s="118"/>
      <c r="O170" s="136"/>
      <c r="P170" s="272"/>
      <c r="Q170" s="272"/>
      <c r="R170" s="272"/>
      <c r="S170" s="272"/>
      <c r="T170" s="272"/>
      <c r="U170" s="272"/>
      <c r="V170" s="273"/>
      <c r="W170" s="253"/>
      <c r="X170" s="253"/>
      <c r="Y170" s="253"/>
      <c r="Z170" s="253"/>
      <c r="AA170" s="253"/>
      <c r="AB170" s="218"/>
    </row>
    <row r="171">
      <c r="A171" s="118"/>
      <c r="B171" s="118"/>
      <c r="C171" s="143"/>
      <c r="D171" s="118"/>
      <c r="E171" s="118"/>
      <c r="F171" s="262"/>
      <c r="G171" s="264"/>
      <c r="H171" s="264"/>
      <c r="I171" s="267"/>
      <c r="J171" s="118"/>
      <c r="K171" s="136"/>
      <c r="L171" s="118"/>
      <c r="M171" s="136"/>
      <c r="N171" s="118"/>
      <c r="O171" s="136"/>
      <c r="P171" s="272"/>
      <c r="Q171" s="272"/>
      <c r="R171" s="272"/>
      <c r="S171" s="272"/>
      <c r="T171" s="272"/>
      <c r="U171" s="272"/>
      <c r="V171" s="273"/>
      <c r="W171" s="253"/>
      <c r="X171" s="253"/>
      <c r="Y171" s="253"/>
      <c r="Z171" s="253"/>
      <c r="AA171" s="253"/>
      <c r="AB171" s="218"/>
    </row>
    <row r="172">
      <c r="A172" s="118"/>
      <c r="B172" s="118"/>
      <c r="C172" s="143"/>
      <c r="D172" s="118"/>
      <c r="E172" s="118"/>
      <c r="F172" s="262"/>
      <c r="G172" s="264"/>
      <c r="H172" s="264"/>
      <c r="I172" s="267"/>
      <c r="J172" s="118"/>
      <c r="K172" s="136"/>
      <c r="L172" s="118"/>
      <c r="M172" s="136"/>
      <c r="N172" s="118"/>
      <c r="O172" s="136"/>
      <c r="P172" s="272"/>
      <c r="Q172" s="272"/>
      <c r="R172" s="272"/>
      <c r="S172" s="272"/>
      <c r="T172" s="272"/>
      <c r="U172" s="272"/>
      <c r="V172" s="273"/>
      <c r="W172" s="253"/>
      <c r="X172" s="253"/>
      <c r="Y172" s="253"/>
      <c r="Z172" s="253"/>
      <c r="AA172" s="253"/>
      <c r="AB172" s="218"/>
    </row>
    <row r="173">
      <c r="A173" s="118"/>
      <c r="B173" s="118"/>
      <c r="C173" s="143"/>
      <c r="D173" s="118"/>
      <c r="E173" s="118"/>
      <c r="F173" s="262"/>
      <c r="G173" s="264"/>
      <c r="H173" s="264"/>
      <c r="I173" s="267"/>
      <c r="J173" s="118"/>
      <c r="K173" s="136"/>
      <c r="L173" s="118"/>
      <c r="M173" s="136"/>
      <c r="N173" s="118"/>
      <c r="O173" s="136"/>
      <c r="P173" s="272"/>
      <c r="Q173" s="272"/>
      <c r="R173" s="272"/>
      <c r="S173" s="272"/>
      <c r="T173" s="272"/>
      <c r="U173" s="272"/>
      <c r="V173" s="273"/>
      <c r="W173" s="253"/>
      <c r="X173" s="253"/>
      <c r="Y173" s="253"/>
      <c r="Z173" s="253"/>
      <c r="AA173" s="253"/>
      <c r="AB173" s="218"/>
    </row>
    <row r="174">
      <c r="A174" s="118"/>
      <c r="B174" s="118"/>
      <c r="C174" s="143"/>
      <c r="D174" s="118"/>
      <c r="E174" s="118"/>
      <c r="F174" s="262"/>
      <c r="G174" s="264"/>
      <c r="H174" s="264"/>
      <c r="I174" s="267"/>
      <c r="J174" s="118"/>
      <c r="K174" s="136"/>
      <c r="L174" s="118"/>
      <c r="M174" s="136"/>
      <c r="N174" s="118"/>
      <c r="O174" s="136"/>
      <c r="P174" s="272"/>
      <c r="Q174" s="272"/>
      <c r="R174" s="272"/>
      <c r="S174" s="272"/>
      <c r="T174" s="272"/>
      <c r="U174" s="272"/>
      <c r="V174" s="273"/>
      <c r="W174" s="253"/>
      <c r="X174" s="253"/>
      <c r="Y174" s="253"/>
      <c r="Z174" s="253"/>
      <c r="AA174" s="253"/>
      <c r="AB174" s="218"/>
    </row>
    <row r="175">
      <c r="A175" s="118"/>
      <c r="B175" s="118"/>
      <c r="C175" s="143"/>
      <c r="D175" s="118"/>
      <c r="E175" s="118"/>
      <c r="F175" s="262"/>
      <c r="G175" s="264"/>
      <c r="H175" s="264"/>
      <c r="I175" s="267"/>
      <c r="J175" s="118"/>
      <c r="K175" s="136"/>
      <c r="L175" s="118"/>
      <c r="M175" s="136"/>
      <c r="N175" s="118"/>
      <c r="O175" s="136"/>
      <c r="P175" s="272"/>
      <c r="Q175" s="272"/>
      <c r="R175" s="272"/>
      <c r="S175" s="272"/>
      <c r="T175" s="272"/>
      <c r="U175" s="272"/>
      <c r="V175" s="273"/>
      <c r="W175" s="253"/>
      <c r="X175" s="253"/>
      <c r="Y175" s="253"/>
      <c r="Z175" s="253"/>
      <c r="AA175" s="253"/>
      <c r="AB175" s="218"/>
    </row>
    <row r="176">
      <c r="A176" s="118"/>
      <c r="B176" s="118"/>
      <c r="C176" s="143"/>
      <c r="D176" s="118"/>
      <c r="E176" s="118"/>
      <c r="F176" s="262"/>
      <c r="G176" s="264"/>
      <c r="H176" s="264"/>
      <c r="I176" s="267"/>
      <c r="J176" s="118"/>
      <c r="K176" s="136"/>
      <c r="L176" s="118"/>
      <c r="M176" s="136"/>
      <c r="N176" s="118"/>
      <c r="O176" s="136"/>
      <c r="P176" s="272"/>
      <c r="Q176" s="272"/>
      <c r="R176" s="272"/>
      <c r="S176" s="272"/>
      <c r="T176" s="272"/>
      <c r="U176" s="272"/>
      <c r="V176" s="273"/>
      <c r="W176" s="253"/>
      <c r="X176" s="253"/>
      <c r="Y176" s="253"/>
      <c r="Z176" s="253"/>
      <c r="AA176" s="253"/>
      <c r="AB176" s="218"/>
    </row>
    <row r="177">
      <c r="A177" s="118"/>
      <c r="B177" s="118"/>
      <c r="C177" s="143"/>
      <c r="D177" s="118"/>
      <c r="E177" s="118"/>
      <c r="F177" s="262"/>
      <c r="G177" s="264"/>
      <c r="H177" s="264"/>
      <c r="I177" s="267"/>
      <c r="J177" s="118"/>
      <c r="K177" s="136"/>
      <c r="L177" s="118"/>
      <c r="M177" s="136"/>
      <c r="N177" s="118"/>
      <c r="O177" s="136"/>
      <c r="P177" s="272"/>
      <c r="Q177" s="272"/>
      <c r="R177" s="272"/>
      <c r="S177" s="272"/>
      <c r="T177" s="272"/>
      <c r="U177" s="272"/>
      <c r="V177" s="273"/>
      <c r="W177" s="253"/>
      <c r="X177" s="253"/>
      <c r="Y177" s="253"/>
      <c r="Z177" s="253"/>
      <c r="AA177" s="253"/>
      <c r="AB177" s="218"/>
    </row>
    <row r="178">
      <c r="A178" s="118"/>
      <c r="B178" s="118"/>
      <c r="C178" s="143"/>
      <c r="D178" s="118"/>
      <c r="E178" s="118"/>
      <c r="F178" s="262"/>
      <c r="G178" s="264"/>
      <c r="H178" s="264"/>
      <c r="I178" s="267"/>
      <c r="J178" s="118"/>
      <c r="K178" s="136"/>
      <c r="L178" s="118"/>
      <c r="M178" s="136"/>
      <c r="N178" s="118"/>
      <c r="O178" s="136"/>
      <c r="P178" s="272"/>
      <c r="Q178" s="272"/>
      <c r="R178" s="272"/>
      <c r="S178" s="272"/>
      <c r="T178" s="272"/>
      <c r="U178" s="272"/>
      <c r="V178" s="273"/>
      <c r="W178" s="253"/>
      <c r="X178" s="253"/>
      <c r="Y178" s="253"/>
      <c r="Z178" s="253"/>
      <c r="AA178" s="253"/>
      <c r="AB178" s="218"/>
    </row>
    <row r="179">
      <c r="A179" s="118"/>
      <c r="B179" s="118"/>
      <c r="C179" s="143"/>
      <c r="D179" s="118"/>
      <c r="E179" s="118"/>
      <c r="F179" s="262"/>
      <c r="G179" s="264"/>
      <c r="H179" s="264"/>
      <c r="I179" s="267"/>
      <c r="J179" s="118"/>
      <c r="K179" s="136"/>
      <c r="L179" s="118"/>
      <c r="M179" s="136"/>
      <c r="N179" s="118"/>
      <c r="O179" s="136"/>
      <c r="P179" s="272"/>
      <c r="Q179" s="272"/>
      <c r="R179" s="272"/>
      <c r="S179" s="272"/>
      <c r="T179" s="272"/>
      <c r="U179" s="272"/>
      <c r="V179" s="273"/>
      <c r="W179" s="253"/>
      <c r="X179" s="253"/>
      <c r="Y179" s="253"/>
      <c r="Z179" s="253"/>
      <c r="AA179" s="253"/>
      <c r="AB179" s="218"/>
    </row>
    <row r="180">
      <c r="A180" s="118"/>
      <c r="B180" s="118"/>
      <c r="C180" s="143"/>
      <c r="D180" s="118"/>
      <c r="E180" s="118"/>
      <c r="F180" s="262"/>
      <c r="G180" s="264"/>
      <c r="H180" s="264"/>
      <c r="I180" s="267"/>
      <c r="J180" s="118"/>
      <c r="K180" s="136"/>
      <c r="L180" s="118"/>
      <c r="M180" s="136"/>
      <c r="N180" s="118"/>
      <c r="O180" s="136"/>
      <c r="P180" s="272"/>
      <c r="Q180" s="272"/>
      <c r="R180" s="272"/>
      <c r="S180" s="272"/>
      <c r="T180" s="272"/>
      <c r="U180" s="272"/>
      <c r="V180" s="273"/>
      <c r="W180" s="253"/>
      <c r="X180" s="253"/>
      <c r="Y180" s="253"/>
      <c r="Z180" s="253"/>
      <c r="AA180" s="253"/>
      <c r="AB180" s="218"/>
    </row>
    <row r="181">
      <c r="A181" s="118"/>
      <c r="B181" s="118"/>
      <c r="C181" s="143"/>
      <c r="D181" s="118"/>
      <c r="E181" s="118"/>
      <c r="F181" s="262"/>
      <c r="G181" s="264"/>
      <c r="H181" s="264"/>
      <c r="I181" s="267"/>
      <c r="J181" s="118"/>
      <c r="K181" s="136"/>
      <c r="L181" s="118"/>
      <c r="M181" s="136"/>
      <c r="N181" s="118"/>
      <c r="O181" s="136"/>
      <c r="P181" s="272"/>
      <c r="Q181" s="272"/>
      <c r="R181" s="272"/>
      <c r="S181" s="272"/>
      <c r="T181" s="272"/>
      <c r="U181" s="272"/>
      <c r="V181" s="273"/>
      <c r="W181" s="253"/>
      <c r="X181" s="253"/>
      <c r="Y181" s="253"/>
      <c r="Z181" s="253"/>
      <c r="AA181" s="253"/>
      <c r="AB181" s="218"/>
    </row>
    <row r="182">
      <c r="A182" s="118"/>
      <c r="B182" s="118"/>
      <c r="C182" s="143"/>
      <c r="D182" s="118"/>
      <c r="E182" s="118"/>
      <c r="F182" s="262"/>
      <c r="G182" s="264"/>
      <c r="H182" s="264"/>
      <c r="I182" s="267"/>
      <c r="J182" s="118"/>
      <c r="K182" s="136"/>
      <c r="L182" s="118"/>
      <c r="M182" s="136"/>
      <c r="N182" s="118"/>
      <c r="O182" s="136"/>
      <c r="P182" s="272"/>
      <c r="Q182" s="272"/>
      <c r="R182" s="272"/>
      <c r="S182" s="272"/>
      <c r="T182" s="272"/>
      <c r="U182" s="272"/>
      <c r="V182" s="273"/>
      <c r="W182" s="253"/>
      <c r="X182" s="253"/>
      <c r="Y182" s="253"/>
      <c r="Z182" s="253"/>
      <c r="AA182" s="253"/>
      <c r="AB182" s="218"/>
    </row>
    <row r="183">
      <c r="A183" s="118"/>
      <c r="B183" s="118"/>
      <c r="C183" s="143"/>
      <c r="D183" s="118"/>
      <c r="E183" s="118"/>
      <c r="F183" s="262"/>
      <c r="G183" s="264"/>
      <c r="H183" s="264"/>
      <c r="I183" s="267"/>
      <c r="J183" s="118"/>
      <c r="K183" s="136"/>
      <c r="L183" s="118"/>
      <c r="M183" s="136"/>
      <c r="N183" s="118"/>
      <c r="O183" s="136"/>
      <c r="P183" s="272"/>
      <c r="Q183" s="272"/>
      <c r="R183" s="272"/>
      <c r="S183" s="272"/>
      <c r="T183" s="272"/>
      <c r="U183" s="272"/>
      <c r="V183" s="273"/>
      <c r="W183" s="253"/>
      <c r="X183" s="253"/>
      <c r="Y183" s="253"/>
      <c r="Z183" s="253"/>
      <c r="AA183" s="253"/>
      <c r="AB183" s="218"/>
    </row>
    <row r="184">
      <c r="A184" s="118"/>
      <c r="B184" s="118"/>
      <c r="C184" s="143"/>
      <c r="D184" s="118"/>
      <c r="E184" s="118"/>
      <c r="F184" s="262"/>
      <c r="G184" s="264"/>
      <c r="H184" s="264"/>
      <c r="I184" s="267"/>
      <c r="J184" s="118"/>
      <c r="K184" s="136"/>
      <c r="L184" s="118"/>
      <c r="M184" s="136"/>
      <c r="N184" s="118"/>
      <c r="O184" s="136"/>
      <c r="P184" s="272"/>
      <c r="Q184" s="272"/>
      <c r="R184" s="272"/>
      <c r="S184" s="272"/>
      <c r="T184" s="272"/>
      <c r="U184" s="272"/>
      <c r="V184" s="273"/>
      <c r="W184" s="253"/>
      <c r="X184" s="253"/>
      <c r="Y184" s="253"/>
      <c r="Z184" s="253"/>
      <c r="AA184" s="253"/>
      <c r="AB184" s="218"/>
    </row>
    <row r="185">
      <c r="A185" s="118"/>
      <c r="B185" s="118"/>
      <c r="C185" s="143"/>
      <c r="D185" s="118"/>
      <c r="E185" s="118"/>
      <c r="F185" s="262"/>
      <c r="G185" s="264"/>
      <c r="H185" s="264"/>
      <c r="I185" s="267"/>
      <c r="J185" s="118"/>
      <c r="K185" s="136"/>
      <c r="L185" s="118"/>
      <c r="M185" s="136"/>
      <c r="N185" s="118"/>
      <c r="O185" s="136"/>
      <c r="P185" s="272"/>
      <c r="Q185" s="272"/>
      <c r="R185" s="272"/>
      <c r="S185" s="272"/>
      <c r="T185" s="272"/>
      <c r="U185" s="272"/>
      <c r="V185" s="273"/>
      <c r="W185" s="253"/>
      <c r="X185" s="253"/>
      <c r="Y185" s="253"/>
      <c r="Z185" s="253"/>
      <c r="AA185" s="253"/>
      <c r="AB185" s="218"/>
    </row>
    <row r="186">
      <c r="A186" s="118"/>
      <c r="B186" s="118"/>
      <c r="C186" s="143"/>
      <c r="D186" s="118"/>
      <c r="E186" s="118"/>
      <c r="F186" s="262"/>
      <c r="G186" s="264"/>
      <c r="H186" s="264"/>
      <c r="I186" s="267"/>
      <c r="J186" s="118"/>
      <c r="K186" s="136"/>
      <c r="L186" s="118"/>
      <c r="M186" s="136"/>
      <c r="N186" s="118"/>
      <c r="O186" s="136"/>
      <c r="P186" s="272"/>
      <c r="Q186" s="272"/>
      <c r="R186" s="272"/>
      <c r="S186" s="272"/>
      <c r="T186" s="272"/>
      <c r="U186" s="272"/>
      <c r="V186" s="273"/>
      <c r="W186" s="253"/>
      <c r="X186" s="253"/>
      <c r="Y186" s="253"/>
      <c r="Z186" s="253"/>
      <c r="AA186" s="253"/>
      <c r="AB186" s="218"/>
    </row>
    <row r="187">
      <c r="A187" s="118"/>
      <c r="B187" s="118"/>
      <c r="C187" s="143"/>
      <c r="D187" s="118"/>
      <c r="E187" s="118"/>
      <c r="F187" s="262"/>
      <c r="G187" s="264"/>
      <c r="H187" s="264"/>
      <c r="I187" s="267"/>
      <c r="J187" s="118"/>
      <c r="K187" s="136"/>
      <c r="L187" s="118"/>
      <c r="M187" s="136"/>
      <c r="N187" s="118"/>
      <c r="O187" s="136"/>
      <c r="P187" s="272"/>
      <c r="Q187" s="272"/>
      <c r="R187" s="272"/>
      <c r="S187" s="272"/>
      <c r="T187" s="272"/>
      <c r="U187" s="272"/>
      <c r="V187" s="273"/>
      <c r="W187" s="253"/>
      <c r="X187" s="253"/>
      <c r="Y187" s="253"/>
      <c r="Z187" s="253"/>
      <c r="AA187" s="253"/>
      <c r="AB187" s="218"/>
    </row>
    <row r="188">
      <c r="A188" s="118"/>
      <c r="B188" s="118"/>
      <c r="C188" s="143"/>
      <c r="D188" s="118"/>
      <c r="E188" s="118"/>
      <c r="F188" s="262"/>
      <c r="G188" s="264"/>
      <c r="H188" s="264"/>
      <c r="I188" s="267"/>
      <c r="J188" s="118"/>
      <c r="K188" s="136"/>
      <c r="L188" s="118"/>
      <c r="M188" s="136"/>
      <c r="N188" s="118"/>
      <c r="O188" s="136"/>
      <c r="P188" s="272"/>
      <c r="Q188" s="272"/>
      <c r="R188" s="272"/>
      <c r="S188" s="272"/>
      <c r="T188" s="272"/>
      <c r="U188" s="272"/>
      <c r="V188" s="273"/>
      <c r="W188" s="253"/>
      <c r="X188" s="253"/>
      <c r="Y188" s="253"/>
      <c r="Z188" s="253"/>
      <c r="AA188" s="253"/>
      <c r="AB188" s="218"/>
    </row>
    <row r="189">
      <c r="A189" s="118"/>
      <c r="B189" s="118"/>
      <c r="C189" s="143"/>
      <c r="D189" s="118"/>
      <c r="E189" s="118"/>
      <c r="F189" s="262"/>
      <c r="G189" s="264"/>
      <c r="H189" s="264"/>
      <c r="I189" s="267"/>
      <c r="J189" s="118"/>
      <c r="K189" s="136"/>
      <c r="L189" s="118"/>
      <c r="M189" s="136"/>
      <c r="N189" s="118"/>
      <c r="O189" s="136"/>
      <c r="P189" s="272"/>
      <c r="Q189" s="272"/>
      <c r="R189" s="272"/>
      <c r="S189" s="272"/>
      <c r="T189" s="272"/>
      <c r="U189" s="272"/>
      <c r="V189" s="273"/>
      <c r="W189" s="253"/>
      <c r="X189" s="253"/>
      <c r="Y189" s="253"/>
      <c r="Z189" s="253"/>
      <c r="AA189" s="253"/>
      <c r="AB189" s="218"/>
    </row>
    <row r="190">
      <c r="A190" s="118"/>
      <c r="B190" s="118"/>
      <c r="C190" s="143"/>
      <c r="D190" s="118"/>
      <c r="E190" s="118"/>
      <c r="F190" s="262"/>
      <c r="G190" s="264"/>
      <c r="H190" s="264"/>
      <c r="I190" s="267"/>
      <c r="J190" s="118"/>
      <c r="K190" s="136"/>
      <c r="L190" s="118"/>
      <c r="M190" s="136"/>
      <c r="N190" s="118"/>
      <c r="O190" s="136"/>
      <c r="P190" s="272"/>
      <c r="Q190" s="272"/>
      <c r="R190" s="272"/>
      <c r="S190" s="272"/>
      <c r="T190" s="272"/>
      <c r="U190" s="272"/>
      <c r="V190" s="273"/>
      <c r="W190" s="253"/>
      <c r="X190" s="253"/>
      <c r="Y190" s="253"/>
      <c r="Z190" s="253"/>
      <c r="AA190" s="253"/>
      <c r="AB190" s="218"/>
    </row>
    <row r="191">
      <c r="A191" s="118"/>
      <c r="B191" s="118"/>
      <c r="C191" s="143"/>
      <c r="D191" s="118"/>
      <c r="E191" s="118"/>
      <c r="F191" s="262"/>
      <c r="G191" s="264"/>
      <c r="H191" s="264"/>
      <c r="I191" s="267"/>
      <c r="J191" s="118"/>
      <c r="K191" s="136"/>
      <c r="L191" s="118"/>
      <c r="M191" s="136"/>
      <c r="N191" s="118"/>
      <c r="O191" s="136"/>
      <c r="P191" s="272"/>
      <c r="Q191" s="272"/>
      <c r="R191" s="272"/>
      <c r="S191" s="272"/>
      <c r="T191" s="272"/>
      <c r="U191" s="272"/>
      <c r="V191" s="273"/>
      <c r="W191" s="253"/>
      <c r="X191" s="253"/>
      <c r="Y191" s="253"/>
      <c r="Z191" s="253"/>
      <c r="AA191" s="253"/>
      <c r="AB191" s="218"/>
    </row>
    <row r="192">
      <c r="A192" s="118"/>
      <c r="B192" s="118"/>
      <c r="C192" s="143"/>
      <c r="D192" s="118"/>
      <c r="E192" s="118"/>
      <c r="F192" s="262"/>
      <c r="G192" s="264"/>
      <c r="H192" s="264"/>
      <c r="I192" s="267"/>
      <c r="J192" s="118"/>
      <c r="K192" s="136"/>
      <c r="L192" s="118"/>
      <c r="M192" s="136"/>
      <c r="N192" s="118"/>
      <c r="O192" s="136"/>
      <c r="P192" s="272"/>
      <c r="Q192" s="272"/>
      <c r="R192" s="272"/>
      <c r="S192" s="272"/>
      <c r="T192" s="272"/>
      <c r="U192" s="272"/>
      <c r="V192" s="273"/>
      <c r="W192" s="253"/>
      <c r="X192" s="253"/>
      <c r="Y192" s="253"/>
      <c r="Z192" s="253"/>
      <c r="AA192" s="253"/>
      <c r="AB192" s="218"/>
    </row>
    <row r="193">
      <c r="A193" s="118"/>
      <c r="B193" s="118"/>
      <c r="C193" s="143"/>
      <c r="D193" s="118"/>
      <c r="E193" s="118"/>
      <c r="F193" s="262"/>
      <c r="G193" s="264"/>
      <c r="H193" s="264"/>
      <c r="I193" s="267"/>
      <c r="J193" s="118"/>
      <c r="K193" s="136"/>
      <c r="L193" s="118"/>
      <c r="M193" s="136"/>
      <c r="N193" s="118"/>
      <c r="O193" s="136"/>
      <c r="P193" s="272"/>
      <c r="Q193" s="272"/>
      <c r="R193" s="272"/>
      <c r="S193" s="272"/>
      <c r="T193" s="272"/>
      <c r="U193" s="272"/>
      <c r="V193" s="273"/>
      <c r="W193" s="253"/>
      <c r="X193" s="253"/>
      <c r="Y193" s="253"/>
      <c r="Z193" s="253"/>
      <c r="AA193" s="253"/>
      <c r="AB193" s="218"/>
    </row>
    <row r="194">
      <c r="A194" s="118"/>
      <c r="B194" s="118"/>
      <c r="C194" s="143"/>
      <c r="D194" s="118"/>
      <c r="E194" s="118"/>
      <c r="F194" s="262"/>
      <c r="G194" s="264"/>
      <c r="H194" s="264"/>
      <c r="I194" s="267"/>
      <c r="J194" s="118"/>
      <c r="K194" s="136"/>
      <c r="L194" s="118"/>
      <c r="M194" s="136"/>
      <c r="N194" s="118"/>
      <c r="O194" s="136"/>
      <c r="P194" s="272"/>
      <c r="Q194" s="272"/>
      <c r="R194" s="272"/>
      <c r="S194" s="272"/>
      <c r="T194" s="272"/>
      <c r="U194" s="272"/>
      <c r="V194" s="273"/>
      <c r="W194" s="253"/>
      <c r="X194" s="253"/>
      <c r="Y194" s="253"/>
      <c r="Z194" s="253"/>
      <c r="AA194" s="253"/>
      <c r="AB194" s="218"/>
    </row>
    <row r="195">
      <c r="A195" s="118"/>
      <c r="B195" s="118"/>
      <c r="C195" s="143"/>
      <c r="D195" s="118"/>
      <c r="E195" s="118"/>
      <c r="F195" s="262"/>
      <c r="G195" s="264"/>
      <c r="H195" s="264"/>
      <c r="I195" s="267"/>
      <c r="J195" s="118"/>
      <c r="K195" s="136"/>
      <c r="L195" s="118"/>
      <c r="M195" s="136"/>
      <c r="N195" s="118"/>
      <c r="O195" s="136"/>
      <c r="P195" s="272"/>
      <c r="Q195" s="272"/>
      <c r="R195" s="272"/>
      <c r="S195" s="272"/>
      <c r="T195" s="272"/>
      <c r="U195" s="272"/>
      <c r="V195" s="273"/>
      <c r="W195" s="253"/>
      <c r="X195" s="253"/>
      <c r="Y195" s="253"/>
      <c r="Z195" s="253"/>
      <c r="AA195" s="253"/>
      <c r="AB195" s="218"/>
    </row>
    <row r="196">
      <c r="A196" s="118"/>
      <c r="B196" s="118"/>
      <c r="C196" s="143"/>
      <c r="D196" s="118"/>
      <c r="E196" s="118"/>
      <c r="F196" s="262"/>
      <c r="G196" s="264"/>
      <c r="H196" s="264"/>
      <c r="I196" s="267"/>
      <c r="J196" s="118"/>
      <c r="K196" s="136"/>
      <c r="L196" s="118"/>
      <c r="M196" s="136"/>
      <c r="N196" s="118"/>
      <c r="O196" s="136"/>
      <c r="P196" s="272"/>
      <c r="Q196" s="272"/>
      <c r="R196" s="272"/>
      <c r="S196" s="272"/>
      <c r="T196" s="272"/>
      <c r="U196" s="272"/>
      <c r="V196" s="273"/>
      <c r="W196" s="253"/>
      <c r="X196" s="253"/>
      <c r="Y196" s="253"/>
      <c r="Z196" s="253"/>
      <c r="AA196" s="253"/>
      <c r="AB196" s="218"/>
    </row>
    <row r="197">
      <c r="A197" s="118"/>
      <c r="B197" s="118"/>
      <c r="C197" s="143"/>
      <c r="D197" s="118"/>
      <c r="E197" s="118"/>
      <c r="F197" s="262"/>
      <c r="G197" s="264"/>
      <c r="H197" s="264"/>
      <c r="I197" s="267"/>
      <c r="J197" s="118"/>
      <c r="K197" s="136"/>
      <c r="L197" s="118"/>
      <c r="M197" s="136"/>
      <c r="N197" s="118"/>
      <c r="O197" s="136"/>
      <c r="P197" s="272"/>
      <c r="Q197" s="272"/>
      <c r="R197" s="272"/>
      <c r="S197" s="272"/>
      <c r="T197" s="272"/>
      <c r="U197" s="272"/>
      <c r="V197" s="273"/>
      <c r="W197" s="253"/>
      <c r="X197" s="253"/>
      <c r="Y197" s="253"/>
      <c r="Z197" s="253"/>
      <c r="AA197" s="253"/>
      <c r="AB197" s="218"/>
    </row>
    <row r="198">
      <c r="A198" s="118"/>
      <c r="B198" s="118"/>
      <c r="C198" s="143"/>
      <c r="D198" s="118"/>
      <c r="E198" s="118"/>
      <c r="F198" s="262"/>
      <c r="G198" s="264"/>
      <c r="H198" s="264"/>
      <c r="I198" s="267"/>
      <c r="J198" s="118"/>
      <c r="K198" s="136"/>
      <c r="L198" s="118"/>
      <c r="M198" s="136"/>
      <c r="N198" s="118"/>
      <c r="O198" s="136"/>
      <c r="P198" s="272"/>
      <c r="Q198" s="272"/>
      <c r="R198" s="272"/>
      <c r="S198" s="272"/>
      <c r="T198" s="272"/>
      <c r="U198" s="272"/>
      <c r="V198" s="273"/>
      <c r="W198" s="253"/>
      <c r="X198" s="253"/>
      <c r="Y198" s="253"/>
      <c r="Z198" s="253"/>
      <c r="AA198" s="253"/>
      <c r="AB198" s="218"/>
    </row>
    <row r="199">
      <c r="A199" s="118"/>
      <c r="B199" s="118"/>
      <c r="C199" s="143"/>
      <c r="D199" s="118"/>
      <c r="E199" s="118"/>
      <c r="F199" s="262"/>
      <c r="G199" s="264"/>
      <c r="H199" s="264"/>
      <c r="I199" s="267"/>
      <c r="J199" s="118"/>
      <c r="K199" s="136"/>
      <c r="L199" s="118"/>
      <c r="M199" s="136"/>
      <c r="N199" s="118"/>
      <c r="O199" s="136"/>
      <c r="P199" s="272"/>
      <c r="Q199" s="272"/>
      <c r="R199" s="272"/>
      <c r="S199" s="272"/>
      <c r="T199" s="272"/>
      <c r="U199" s="272"/>
      <c r="V199" s="273"/>
      <c r="W199" s="253"/>
      <c r="X199" s="253"/>
      <c r="Y199" s="253"/>
      <c r="Z199" s="253"/>
      <c r="AA199" s="253"/>
      <c r="AB199" s="218"/>
    </row>
    <row r="200">
      <c r="A200" s="118"/>
      <c r="B200" s="118"/>
      <c r="C200" s="143"/>
      <c r="D200" s="118"/>
      <c r="E200" s="118"/>
      <c r="F200" s="262"/>
      <c r="G200" s="264"/>
      <c r="H200" s="264"/>
      <c r="I200" s="267"/>
      <c r="J200" s="118"/>
      <c r="K200" s="136"/>
      <c r="L200" s="118"/>
      <c r="M200" s="136"/>
      <c r="N200" s="118"/>
      <c r="O200" s="136"/>
      <c r="P200" s="272"/>
      <c r="Q200" s="272"/>
      <c r="R200" s="272"/>
      <c r="S200" s="272"/>
      <c r="T200" s="272"/>
      <c r="U200" s="272"/>
      <c r="V200" s="273"/>
      <c r="W200" s="253"/>
      <c r="X200" s="253"/>
      <c r="Y200" s="253"/>
      <c r="Z200" s="253"/>
      <c r="AA200" s="253"/>
      <c r="AB200" s="218"/>
    </row>
    <row r="201">
      <c r="A201" s="118"/>
      <c r="B201" s="118"/>
      <c r="C201" s="143"/>
      <c r="D201" s="118"/>
      <c r="E201" s="118"/>
      <c r="F201" s="262"/>
      <c r="G201" s="264"/>
      <c r="H201" s="264"/>
      <c r="I201" s="267"/>
      <c r="J201" s="118"/>
      <c r="K201" s="136"/>
      <c r="L201" s="118"/>
      <c r="M201" s="136"/>
      <c r="N201" s="118"/>
      <c r="O201" s="136"/>
      <c r="P201" s="272"/>
      <c r="Q201" s="272"/>
      <c r="R201" s="272"/>
      <c r="S201" s="272"/>
      <c r="T201" s="272"/>
      <c r="U201" s="272"/>
      <c r="V201" s="273"/>
      <c r="W201" s="253"/>
      <c r="X201" s="253"/>
      <c r="Y201" s="253"/>
      <c r="Z201" s="253"/>
      <c r="AA201" s="253"/>
      <c r="AB201" s="218"/>
    </row>
    <row r="202">
      <c r="A202" s="118"/>
      <c r="B202" s="118"/>
      <c r="C202" s="143"/>
      <c r="D202" s="118"/>
      <c r="E202" s="118"/>
      <c r="F202" s="262"/>
      <c r="G202" s="264"/>
      <c r="H202" s="264"/>
      <c r="I202" s="267"/>
      <c r="J202" s="118"/>
      <c r="K202" s="136"/>
      <c r="L202" s="118"/>
      <c r="M202" s="136"/>
      <c r="N202" s="118"/>
      <c r="O202" s="136"/>
      <c r="P202" s="272"/>
      <c r="Q202" s="272"/>
      <c r="R202" s="272"/>
      <c r="S202" s="272"/>
      <c r="T202" s="272"/>
      <c r="U202" s="272"/>
      <c r="V202" s="273"/>
      <c r="W202" s="253"/>
      <c r="X202" s="253"/>
      <c r="Y202" s="253"/>
      <c r="Z202" s="253"/>
      <c r="AA202" s="253"/>
      <c r="AB202" s="218"/>
    </row>
    <row r="203">
      <c r="A203" s="118"/>
      <c r="B203" s="118"/>
      <c r="C203" s="143"/>
      <c r="D203" s="118"/>
      <c r="E203" s="118"/>
      <c r="F203" s="262"/>
      <c r="G203" s="264"/>
      <c r="H203" s="264"/>
      <c r="I203" s="267"/>
      <c r="J203" s="118"/>
      <c r="K203" s="136"/>
      <c r="L203" s="118"/>
      <c r="M203" s="136"/>
      <c r="N203" s="118"/>
      <c r="O203" s="136"/>
      <c r="P203" s="272"/>
      <c r="Q203" s="272"/>
      <c r="R203" s="272"/>
      <c r="S203" s="272"/>
      <c r="T203" s="272"/>
      <c r="U203" s="272"/>
      <c r="V203" s="273"/>
      <c r="W203" s="253"/>
      <c r="X203" s="253"/>
      <c r="Y203" s="253"/>
      <c r="Z203" s="253"/>
      <c r="AA203" s="253"/>
      <c r="AB203" s="218"/>
    </row>
    <row r="204">
      <c r="A204" s="118"/>
      <c r="B204" s="118"/>
      <c r="C204" s="143"/>
      <c r="D204" s="118"/>
      <c r="E204" s="118"/>
      <c r="F204" s="262"/>
      <c r="G204" s="264"/>
      <c r="H204" s="264"/>
      <c r="I204" s="267"/>
      <c r="J204" s="118"/>
      <c r="K204" s="136"/>
      <c r="L204" s="118"/>
      <c r="M204" s="136"/>
      <c r="N204" s="118"/>
      <c r="O204" s="136"/>
      <c r="P204" s="272"/>
      <c r="Q204" s="272"/>
      <c r="R204" s="272"/>
      <c r="S204" s="272"/>
      <c r="T204" s="272"/>
      <c r="U204" s="272"/>
      <c r="V204" s="273"/>
      <c r="W204" s="253"/>
      <c r="X204" s="253"/>
      <c r="Y204" s="253"/>
      <c r="Z204" s="253"/>
      <c r="AA204" s="253"/>
      <c r="AB204" s="218"/>
    </row>
    <row r="205">
      <c r="A205" s="118"/>
      <c r="B205" s="118"/>
      <c r="C205" s="143"/>
      <c r="D205" s="118"/>
      <c r="E205" s="118"/>
      <c r="F205" s="262"/>
      <c r="G205" s="264"/>
      <c r="H205" s="264"/>
      <c r="I205" s="267"/>
      <c r="J205" s="118"/>
      <c r="K205" s="136"/>
      <c r="L205" s="118"/>
      <c r="M205" s="136"/>
      <c r="N205" s="118"/>
      <c r="O205" s="136"/>
      <c r="P205" s="272"/>
      <c r="Q205" s="272"/>
      <c r="R205" s="272"/>
      <c r="S205" s="272"/>
      <c r="T205" s="272"/>
      <c r="U205" s="272"/>
      <c r="V205" s="273"/>
      <c r="W205" s="253"/>
      <c r="X205" s="253"/>
      <c r="Y205" s="253"/>
      <c r="Z205" s="253"/>
      <c r="AA205" s="253"/>
      <c r="AB205" s="218"/>
    </row>
    <row r="206">
      <c r="A206" s="118"/>
      <c r="B206" s="118"/>
      <c r="C206" s="143"/>
      <c r="D206" s="118"/>
      <c r="E206" s="118"/>
      <c r="F206" s="262"/>
      <c r="G206" s="264"/>
      <c r="H206" s="264"/>
      <c r="I206" s="267"/>
      <c r="J206" s="118"/>
      <c r="K206" s="136"/>
      <c r="L206" s="118"/>
      <c r="M206" s="136"/>
      <c r="N206" s="118"/>
      <c r="O206" s="136"/>
      <c r="P206" s="272"/>
      <c r="Q206" s="272"/>
      <c r="R206" s="272"/>
      <c r="S206" s="272"/>
      <c r="T206" s="272"/>
      <c r="U206" s="272"/>
      <c r="V206" s="273"/>
      <c r="W206" s="253"/>
      <c r="X206" s="253"/>
      <c r="Y206" s="253"/>
      <c r="Z206" s="253"/>
      <c r="AA206" s="253"/>
      <c r="AB206" s="218"/>
    </row>
    <row r="207">
      <c r="A207" s="118"/>
      <c r="B207" s="118"/>
      <c r="C207" s="143"/>
      <c r="D207" s="118"/>
      <c r="E207" s="118"/>
      <c r="F207" s="262"/>
      <c r="G207" s="264"/>
      <c r="H207" s="264"/>
      <c r="I207" s="267"/>
      <c r="J207" s="118"/>
      <c r="K207" s="136"/>
      <c r="L207" s="118"/>
      <c r="M207" s="136"/>
      <c r="N207" s="118"/>
      <c r="O207" s="136"/>
      <c r="P207" s="272"/>
      <c r="Q207" s="272"/>
      <c r="R207" s="272"/>
      <c r="S207" s="272"/>
      <c r="T207" s="272"/>
      <c r="U207" s="272"/>
      <c r="V207" s="273"/>
      <c r="W207" s="253"/>
      <c r="X207" s="253"/>
      <c r="Y207" s="253"/>
      <c r="Z207" s="253"/>
      <c r="AA207" s="253"/>
      <c r="AB207" s="218"/>
    </row>
    <row r="208">
      <c r="A208" s="118"/>
      <c r="B208" s="118"/>
      <c r="C208" s="143"/>
      <c r="D208" s="118"/>
      <c r="E208" s="118"/>
      <c r="F208" s="262"/>
      <c r="G208" s="264"/>
      <c r="H208" s="264"/>
      <c r="I208" s="267"/>
      <c r="J208" s="118"/>
      <c r="K208" s="136"/>
      <c r="L208" s="118"/>
      <c r="M208" s="136"/>
      <c r="N208" s="118"/>
      <c r="O208" s="136"/>
      <c r="P208" s="272"/>
      <c r="Q208" s="272"/>
      <c r="R208" s="272"/>
      <c r="S208" s="272"/>
      <c r="T208" s="272"/>
      <c r="U208" s="272"/>
      <c r="V208" s="273"/>
      <c r="W208" s="253"/>
      <c r="X208" s="253"/>
      <c r="Y208" s="253"/>
      <c r="Z208" s="253"/>
      <c r="AA208" s="253"/>
      <c r="AB208" s="218"/>
    </row>
    <row r="209">
      <c r="A209" s="118"/>
      <c r="B209" s="118"/>
      <c r="C209" s="143"/>
      <c r="D209" s="118"/>
      <c r="E209" s="118"/>
      <c r="F209" s="262"/>
      <c r="G209" s="264"/>
      <c r="H209" s="264"/>
      <c r="I209" s="267"/>
      <c r="J209" s="118"/>
      <c r="K209" s="136"/>
      <c r="L209" s="118"/>
      <c r="M209" s="136"/>
      <c r="N209" s="118"/>
      <c r="O209" s="136"/>
      <c r="P209" s="272"/>
      <c r="Q209" s="272"/>
      <c r="R209" s="272"/>
      <c r="S209" s="272"/>
      <c r="T209" s="272"/>
      <c r="U209" s="272"/>
      <c r="V209" s="273"/>
      <c r="W209" s="253"/>
      <c r="X209" s="253"/>
      <c r="Y209" s="253"/>
      <c r="Z209" s="253"/>
      <c r="AA209" s="253"/>
      <c r="AB209" s="218"/>
    </row>
    <row r="210">
      <c r="A210" s="118"/>
      <c r="B210" s="118"/>
      <c r="C210" s="143"/>
      <c r="D210" s="118"/>
      <c r="E210" s="118"/>
      <c r="F210" s="262"/>
      <c r="G210" s="264"/>
      <c r="H210" s="264"/>
      <c r="I210" s="267"/>
      <c r="J210" s="118"/>
      <c r="K210" s="136"/>
      <c r="L210" s="118"/>
      <c r="M210" s="136"/>
      <c r="N210" s="118"/>
      <c r="O210" s="136"/>
      <c r="P210" s="272"/>
      <c r="Q210" s="272"/>
      <c r="R210" s="272"/>
      <c r="S210" s="272"/>
      <c r="T210" s="272"/>
      <c r="U210" s="272"/>
      <c r="V210" s="273"/>
      <c r="W210" s="253"/>
      <c r="X210" s="253"/>
      <c r="Y210" s="253"/>
      <c r="Z210" s="253"/>
      <c r="AA210" s="253"/>
      <c r="AB210" s="218"/>
    </row>
    <row r="211">
      <c r="A211" s="118"/>
      <c r="B211" s="118"/>
      <c r="C211" s="143"/>
      <c r="D211" s="118"/>
      <c r="E211" s="118"/>
      <c r="F211" s="262"/>
      <c r="G211" s="264"/>
      <c r="H211" s="264"/>
      <c r="I211" s="267"/>
      <c r="J211" s="118"/>
      <c r="K211" s="136"/>
      <c r="L211" s="118"/>
      <c r="M211" s="136"/>
      <c r="N211" s="118"/>
      <c r="O211" s="136"/>
      <c r="P211" s="272"/>
      <c r="Q211" s="272"/>
      <c r="R211" s="272"/>
      <c r="S211" s="272"/>
      <c r="T211" s="272"/>
      <c r="U211" s="272"/>
      <c r="V211" s="273"/>
      <c r="W211" s="253"/>
      <c r="X211" s="253"/>
      <c r="Y211" s="253"/>
      <c r="Z211" s="253"/>
      <c r="AA211" s="253"/>
      <c r="AB211" s="218"/>
    </row>
    <row r="212">
      <c r="A212" s="118"/>
      <c r="B212" s="118"/>
      <c r="C212" s="143"/>
      <c r="D212" s="118"/>
      <c r="E212" s="118"/>
      <c r="F212" s="262"/>
      <c r="G212" s="264"/>
      <c r="H212" s="264"/>
      <c r="I212" s="267"/>
      <c r="J212" s="118"/>
      <c r="K212" s="136"/>
      <c r="L212" s="118"/>
      <c r="M212" s="136"/>
      <c r="N212" s="118"/>
      <c r="O212" s="136"/>
      <c r="P212" s="272"/>
      <c r="Q212" s="272"/>
      <c r="R212" s="272"/>
      <c r="S212" s="272"/>
      <c r="T212" s="272"/>
      <c r="U212" s="272"/>
      <c r="V212" s="273"/>
      <c r="W212" s="253"/>
      <c r="X212" s="253"/>
      <c r="Y212" s="253"/>
      <c r="Z212" s="253"/>
      <c r="AA212" s="253"/>
      <c r="AB212" s="218"/>
    </row>
    <row r="213">
      <c r="A213" s="118"/>
      <c r="B213" s="118"/>
      <c r="C213" s="143"/>
      <c r="D213" s="118"/>
      <c r="E213" s="118"/>
      <c r="F213" s="262"/>
      <c r="G213" s="264"/>
      <c r="H213" s="264"/>
      <c r="I213" s="267"/>
      <c r="J213" s="118"/>
      <c r="K213" s="136"/>
      <c r="L213" s="118"/>
      <c r="M213" s="136"/>
      <c r="N213" s="118"/>
      <c r="O213" s="136"/>
      <c r="P213" s="272"/>
      <c r="Q213" s="272"/>
      <c r="R213" s="272"/>
      <c r="S213" s="272"/>
      <c r="T213" s="272"/>
      <c r="U213" s="272"/>
      <c r="V213" s="273"/>
      <c r="W213" s="253"/>
      <c r="X213" s="253"/>
      <c r="Y213" s="253"/>
      <c r="Z213" s="253"/>
      <c r="AA213" s="253"/>
      <c r="AB213" s="218"/>
    </row>
    <row r="214">
      <c r="A214" s="118"/>
      <c r="B214" s="118"/>
      <c r="C214" s="143"/>
      <c r="D214" s="118"/>
      <c r="E214" s="118"/>
      <c r="F214" s="262"/>
      <c r="G214" s="264"/>
      <c r="H214" s="264"/>
      <c r="I214" s="267"/>
      <c r="J214" s="118"/>
      <c r="K214" s="136"/>
      <c r="L214" s="118"/>
      <c r="M214" s="136"/>
      <c r="N214" s="118"/>
      <c r="O214" s="136"/>
      <c r="P214" s="272"/>
      <c r="Q214" s="272"/>
      <c r="R214" s="272"/>
      <c r="S214" s="272"/>
      <c r="T214" s="272"/>
      <c r="U214" s="272"/>
      <c r="V214" s="273"/>
      <c r="W214" s="253"/>
      <c r="X214" s="253"/>
      <c r="Y214" s="253"/>
      <c r="Z214" s="253"/>
      <c r="AA214" s="253"/>
      <c r="AB214" s="218"/>
    </row>
    <row r="215">
      <c r="A215" s="118"/>
      <c r="B215" s="118"/>
      <c r="C215" s="143"/>
      <c r="D215" s="118"/>
      <c r="E215" s="118"/>
      <c r="F215" s="262"/>
      <c r="G215" s="264"/>
      <c r="H215" s="264"/>
      <c r="I215" s="267"/>
      <c r="J215" s="118"/>
      <c r="K215" s="136"/>
      <c r="L215" s="118"/>
      <c r="M215" s="136"/>
      <c r="N215" s="118"/>
      <c r="O215" s="136"/>
      <c r="P215" s="272"/>
      <c r="Q215" s="272"/>
      <c r="R215" s="272"/>
      <c r="S215" s="272"/>
      <c r="T215" s="272"/>
      <c r="U215" s="272"/>
      <c r="V215" s="273"/>
      <c r="W215" s="253"/>
      <c r="X215" s="253"/>
      <c r="Y215" s="253"/>
      <c r="Z215" s="253"/>
      <c r="AA215" s="253"/>
      <c r="AB215" s="218"/>
    </row>
    <row r="216">
      <c r="A216" s="118"/>
      <c r="B216" s="118"/>
      <c r="C216" s="143"/>
      <c r="D216" s="118"/>
      <c r="E216" s="118"/>
      <c r="F216" s="262"/>
      <c r="G216" s="264"/>
      <c r="H216" s="264"/>
      <c r="I216" s="267"/>
      <c r="J216" s="118"/>
      <c r="K216" s="136"/>
      <c r="L216" s="118"/>
      <c r="M216" s="136"/>
      <c r="N216" s="118"/>
      <c r="O216" s="136"/>
      <c r="P216" s="272"/>
      <c r="Q216" s="272"/>
      <c r="R216" s="272"/>
      <c r="S216" s="272"/>
      <c r="T216" s="272"/>
      <c r="U216" s="272"/>
      <c r="V216" s="273"/>
      <c r="W216" s="253"/>
      <c r="X216" s="253"/>
      <c r="Y216" s="253"/>
      <c r="Z216" s="253"/>
      <c r="AA216" s="253"/>
      <c r="AB216" s="218"/>
    </row>
    <row r="217">
      <c r="A217" s="118"/>
      <c r="B217" s="118"/>
      <c r="C217" s="143"/>
      <c r="D217" s="118"/>
      <c r="E217" s="118"/>
      <c r="F217" s="262"/>
      <c r="G217" s="264"/>
      <c r="H217" s="264"/>
      <c r="I217" s="267"/>
      <c r="J217" s="118"/>
      <c r="K217" s="136"/>
      <c r="L217" s="118"/>
      <c r="M217" s="136"/>
      <c r="N217" s="118"/>
      <c r="O217" s="136"/>
      <c r="P217" s="272"/>
      <c r="Q217" s="272"/>
      <c r="R217" s="272"/>
      <c r="S217" s="272"/>
      <c r="T217" s="272"/>
      <c r="U217" s="272"/>
      <c r="V217" s="273"/>
      <c r="W217" s="253"/>
      <c r="X217" s="253"/>
      <c r="Y217" s="253"/>
      <c r="Z217" s="253"/>
      <c r="AA217" s="253"/>
      <c r="AB217" s="218"/>
    </row>
    <row r="218">
      <c r="A218" s="118"/>
      <c r="B218" s="118"/>
      <c r="C218" s="143"/>
      <c r="D218" s="118"/>
      <c r="E218" s="118"/>
      <c r="F218" s="262"/>
      <c r="G218" s="264"/>
      <c r="H218" s="264"/>
      <c r="I218" s="267"/>
      <c r="J218" s="118"/>
      <c r="K218" s="136"/>
      <c r="L218" s="118"/>
      <c r="M218" s="136"/>
      <c r="N218" s="118"/>
      <c r="O218" s="136"/>
      <c r="P218" s="272"/>
      <c r="Q218" s="272"/>
      <c r="R218" s="272"/>
      <c r="S218" s="272"/>
      <c r="T218" s="272"/>
      <c r="U218" s="272"/>
      <c r="V218" s="273"/>
      <c r="W218" s="253"/>
      <c r="X218" s="253"/>
      <c r="Y218" s="253"/>
      <c r="Z218" s="253"/>
      <c r="AA218" s="253"/>
      <c r="AB218" s="218"/>
    </row>
    <row r="219">
      <c r="A219" s="118"/>
      <c r="B219" s="118"/>
      <c r="C219" s="143"/>
      <c r="D219" s="118"/>
      <c r="E219" s="118"/>
      <c r="F219" s="262"/>
      <c r="G219" s="264"/>
      <c r="H219" s="264"/>
      <c r="I219" s="267"/>
      <c r="J219" s="118"/>
      <c r="K219" s="136"/>
      <c r="L219" s="118"/>
      <c r="M219" s="136"/>
      <c r="N219" s="118"/>
      <c r="O219" s="136"/>
      <c r="P219" s="272"/>
      <c r="Q219" s="272"/>
      <c r="R219" s="272"/>
      <c r="S219" s="272"/>
      <c r="T219" s="272"/>
      <c r="U219" s="272"/>
      <c r="V219" s="273"/>
      <c r="W219" s="253"/>
      <c r="X219" s="253"/>
      <c r="Y219" s="253"/>
      <c r="Z219" s="253"/>
      <c r="AA219" s="253"/>
      <c r="AB219" s="218"/>
    </row>
    <row r="220">
      <c r="A220" s="118"/>
      <c r="B220" s="118"/>
      <c r="C220" s="143"/>
      <c r="D220" s="118"/>
      <c r="E220" s="118"/>
      <c r="F220" s="262"/>
      <c r="G220" s="264"/>
      <c r="H220" s="264"/>
      <c r="I220" s="267"/>
      <c r="J220" s="118"/>
      <c r="K220" s="136"/>
      <c r="L220" s="118"/>
      <c r="M220" s="136"/>
      <c r="N220" s="118"/>
      <c r="O220" s="136"/>
      <c r="P220" s="272"/>
      <c r="Q220" s="272"/>
      <c r="R220" s="272"/>
      <c r="S220" s="272"/>
      <c r="T220" s="272"/>
      <c r="U220" s="272"/>
      <c r="V220" s="273"/>
      <c r="W220" s="253"/>
      <c r="X220" s="253"/>
      <c r="Y220" s="253"/>
      <c r="Z220" s="253"/>
      <c r="AA220" s="253"/>
      <c r="AB220" s="218"/>
    </row>
    <row r="221">
      <c r="A221" s="118"/>
      <c r="B221" s="118"/>
      <c r="C221" s="143"/>
      <c r="D221" s="118"/>
      <c r="E221" s="118"/>
      <c r="F221" s="262"/>
      <c r="G221" s="264"/>
      <c r="H221" s="264"/>
      <c r="I221" s="267"/>
      <c r="J221" s="118"/>
      <c r="K221" s="136"/>
      <c r="L221" s="118"/>
      <c r="M221" s="136"/>
      <c r="N221" s="118"/>
      <c r="O221" s="136"/>
      <c r="P221" s="272"/>
      <c r="Q221" s="272"/>
      <c r="R221" s="272"/>
      <c r="S221" s="272"/>
      <c r="T221" s="272"/>
      <c r="U221" s="272"/>
      <c r="V221" s="273"/>
      <c r="W221" s="253"/>
      <c r="X221" s="253"/>
      <c r="Y221" s="253"/>
      <c r="Z221" s="253"/>
      <c r="AA221" s="253"/>
      <c r="AB221" s="218"/>
    </row>
    <row r="222">
      <c r="A222" s="118"/>
      <c r="B222" s="118"/>
      <c r="C222" s="143"/>
      <c r="D222" s="118"/>
      <c r="E222" s="118"/>
      <c r="F222" s="262"/>
      <c r="G222" s="264"/>
      <c r="H222" s="264"/>
      <c r="I222" s="267"/>
      <c r="J222" s="118"/>
      <c r="K222" s="136"/>
      <c r="L222" s="118"/>
      <c r="M222" s="136"/>
      <c r="N222" s="118"/>
      <c r="O222" s="136"/>
      <c r="P222" s="272"/>
      <c r="Q222" s="272"/>
      <c r="R222" s="272"/>
      <c r="S222" s="272"/>
      <c r="T222" s="272"/>
      <c r="U222" s="272"/>
      <c r="V222" s="273"/>
      <c r="W222" s="253"/>
      <c r="X222" s="253"/>
      <c r="Y222" s="253"/>
      <c r="Z222" s="253"/>
      <c r="AA222" s="253"/>
      <c r="AB222" s="218"/>
    </row>
    <row r="223">
      <c r="A223" s="118"/>
      <c r="B223" s="118"/>
      <c r="C223" s="143"/>
      <c r="D223" s="118"/>
      <c r="E223" s="118"/>
      <c r="F223" s="262"/>
      <c r="G223" s="264"/>
      <c r="H223" s="264"/>
      <c r="I223" s="267"/>
      <c r="J223" s="118"/>
      <c r="K223" s="136"/>
      <c r="L223" s="118"/>
      <c r="M223" s="136"/>
      <c r="N223" s="118"/>
      <c r="O223" s="136"/>
      <c r="P223" s="272"/>
      <c r="Q223" s="272"/>
      <c r="R223" s="272"/>
      <c r="S223" s="272"/>
      <c r="T223" s="272"/>
      <c r="U223" s="272"/>
      <c r="V223" s="273"/>
      <c r="W223" s="253"/>
      <c r="X223" s="253"/>
      <c r="Y223" s="253"/>
      <c r="Z223" s="253"/>
      <c r="AA223" s="253"/>
      <c r="AB223" s="218"/>
    </row>
    <row r="224">
      <c r="A224" s="118"/>
      <c r="B224" s="118"/>
      <c r="C224" s="143"/>
      <c r="D224" s="118"/>
      <c r="E224" s="118"/>
      <c r="F224" s="262"/>
      <c r="G224" s="264"/>
      <c r="H224" s="264"/>
      <c r="I224" s="267"/>
      <c r="J224" s="118"/>
      <c r="K224" s="136"/>
      <c r="L224" s="118"/>
      <c r="M224" s="136"/>
      <c r="N224" s="118"/>
      <c r="O224" s="136"/>
      <c r="P224" s="272"/>
      <c r="Q224" s="272"/>
      <c r="R224" s="272"/>
      <c r="S224" s="272"/>
      <c r="T224" s="272"/>
      <c r="U224" s="272"/>
      <c r="V224" s="273"/>
      <c r="W224" s="253"/>
      <c r="X224" s="253"/>
      <c r="Y224" s="253"/>
      <c r="Z224" s="253"/>
      <c r="AA224" s="253"/>
      <c r="AB224" s="218"/>
    </row>
    <row r="225">
      <c r="A225" s="118"/>
      <c r="B225" s="118"/>
      <c r="C225" s="143"/>
      <c r="D225" s="118"/>
      <c r="E225" s="118"/>
      <c r="F225" s="262"/>
      <c r="G225" s="264"/>
      <c r="H225" s="264"/>
      <c r="I225" s="267"/>
      <c r="J225" s="118"/>
      <c r="K225" s="136"/>
      <c r="L225" s="118"/>
      <c r="M225" s="136"/>
      <c r="N225" s="118"/>
      <c r="O225" s="136"/>
      <c r="P225" s="272"/>
      <c r="Q225" s="272"/>
      <c r="R225" s="272"/>
      <c r="S225" s="272"/>
      <c r="T225" s="272"/>
      <c r="U225" s="272"/>
      <c r="V225" s="273"/>
      <c r="W225" s="253"/>
      <c r="X225" s="253"/>
      <c r="Y225" s="253"/>
      <c r="Z225" s="253"/>
      <c r="AA225" s="253"/>
      <c r="AB225" s="218"/>
    </row>
    <row r="226">
      <c r="A226" s="118"/>
      <c r="B226" s="118"/>
      <c r="C226" s="143"/>
      <c r="D226" s="118"/>
      <c r="E226" s="118"/>
      <c r="F226" s="262"/>
      <c r="G226" s="264"/>
      <c r="H226" s="264"/>
      <c r="I226" s="267"/>
      <c r="J226" s="118"/>
      <c r="K226" s="136"/>
      <c r="L226" s="118"/>
      <c r="M226" s="136"/>
      <c r="N226" s="118"/>
      <c r="O226" s="136"/>
      <c r="P226" s="272"/>
      <c r="Q226" s="272"/>
      <c r="R226" s="272"/>
      <c r="S226" s="272"/>
      <c r="T226" s="272"/>
      <c r="U226" s="272"/>
      <c r="V226" s="273"/>
      <c r="W226" s="253"/>
      <c r="X226" s="253"/>
      <c r="Y226" s="253"/>
      <c r="Z226" s="253"/>
      <c r="AA226" s="253"/>
      <c r="AB226" s="218"/>
    </row>
    <row r="227">
      <c r="A227" s="118"/>
      <c r="B227" s="118"/>
      <c r="C227" s="143"/>
      <c r="D227" s="118"/>
      <c r="E227" s="118"/>
      <c r="F227" s="262"/>
      <c r="G227" s="264"/>
      <c r="H227" s="264"/>
      <c r="I227" s="267"/>
      <c r="J227" s="118"/>
      <c r="K227" s="136"/>
      <c r="L227" s="118"/>
      <c r="M227" s="136"/>
      <c r="N227" s="118"/>
      <c r="O227" s="136"/>
      <c r="P227" s="272"/>
      <c r="Q227" s="272"/>
      <c r="R227" s="272"/>
      <c r="S227" s="272"/>
      <c r="T227" s="272"/>
      <c r="U227" s="272"/>
      <c r="V227" s="273"/>
      <c r="W227" s="253"/>
      <c r="X227" s="253"/>
      <c r="Y227" s="253"/>
      <c r="Z227" s="253"/>
      <c r="AA227" s="253"/>
      <c r="AB227" s="218"/>
    </row>
    <row r="228">
      <c r="A228" s="118"/>
      <c r="B228" s="118"/>
      <c r="C228" s="143"/>
      <c r="D228" s="118"/>
      <c r="E228" s="118"/>
      <c r="F228" s="262"/>
      <c r="G228" s="264"/>
      <c r="H228" s="264"/>
      <c r="I228" s="267"/>
      <c r="J228" s="118"/>
      <c r="K228" s="136"/>
      <c r="L228" s="118"/>
      <c r="M228" s="136"/>
      <c r="N228" s="118"/>
      <c r="O228" s="136"/>
      <c r="P228" s="272"/>
      <c r="Q228" s="272"/>
      <c r="R228" s="272"/>
      <c r="S228" s="272"/>
      <c r="T228" s="272"/>
      <c r="U228" s="272"/>
      <c r="V228" s="273"/>
      <c r="W228" s="253"/>
      <c r="X228" s="253"/>
      <c r="Y228" s="253"/>
      <c r="Z228" s="253"/>
      <c r="AA228" s="253"/>
      <c r="AB228" s="218"/>
    </row>
    <row r="229">
      <c r="A229" s="118"/>
      <c r="B229" s="118"/>
      <c r="C229" s="143"/>
      <c r="D229" s="118"/>
      <c r="E229" s="118"/>
      <c r="F229" s="262"/>
      <c r="G229" s="264"/>
      <c r="H229" s="264"/>
      <c r="I229" s="267"/>
      <c r="J229" s="118"/>
      <c r="K229" s="136"/>
      <c r="L229" s="118"/>
      <c r="M229" s="136"/>
      <c r="N229" s="118"/>
      <c r="O229" s="136"/>
      <c r="P229" s="272"/>
      <c r="Q229" s="272"/>
      <c r="R229" s="272"/>
      <c r="S229" s="272"/>
      <c r="T229" s="272"/>
      <c r="U229" s="272"/>
      <c r="V229" s="273"/>
      <c r="W229" s="253"/>
      <c r="X229" s="253"/>
      <c r="Y229" s="253"/>
      <c r="Z229" s="253"/>
      <c r="AA229" s="253"/>
      <c r="AB229" s="218"/>
    </row>
    <row r="230">
      <c r="A230" s="118"/>
      <c r="B230" s="118"/>
      <c r="C230" s="143"/>
      <c r="D230" s="118"/>
      <c r="E230" s="118"/>
      <c r="F230" s="262"/>
      <c r="G230" s="264"/>
      <c r="H230" s="264"/>
      <c r="I230" s="267"/>
      <c r="J230" s="118"/>
      <c r="K230" s="136"/>
      <c r="L230" s="118"/>
      <c r="M230" s="136"/>
      <c r="N230" s="118"/>
      <c r="O230" s="136"/>
      <c r="P230" s="272"/>
      <c r="Q230" s="272"/>
      <c r="R230" s="272"/>
      <c r="S230" s="272"/>
      <c r="T230" s="272"/>
      <c r="U230" s="272"/>
      <c r="V230" s="273"/>
      <c r="W230" s="253"/>
      <c r="X230" s="253"/>
      <c r="Y230" s="253"/>
      <c r="Z230" s="253"/>
      <c r="AA230" s="253"/>
      <c r="AB230" s="218"/>
    </row>
    <row r="231">
      <c r="A231" s="118"/>
      <c r="B231" s="118"/>
      <c r="C231" s="143"/>
      <c r="D231" s="118"/>
      <c r="E231" s="118"/>
      <c r="F231" s="262"/>
      <c r="G231" s="264"/>
      <c r="H231" s="264"/>
      <c r="I231" s="267"/>
      <c r="J231" s="118"/>
      <c r="K231" s="136"/>
      <c r="L231" s="118"/>
      <c r="M231" s="136"/>
      <c r="N231" s="118"/>
      <c r="O231" s="136"/>
      <c r="P231" s="272"/>
      <c r="Q231" s="272"/>
      <c r="R231" s="272"/>
      <c r="S231" s="272"/>
      <c r="T231" s="272"/>
      <c r="U231" s="272"/>
      <c r="V231" s="273"/>
      <c r="W231" s="253"/>
      <c r="X231" s="253"/>
      <c r="Y231" s="253"/>
      <c r="Z231" s="253"/>
      <c r="AA231" s="253"/>
      <c r="AB231" s="218"/>
    </row>
    <row r="232">
      <c r="A232" s="118"/>
      <c r="B232" s="118"/>
      <c r="C232" s="143"/>
      <c r="D232" s="118"/>
      <c r="E232" s="118"/>
      <c r="F232" s="262"/>
      <c r="G232" s="264"/>
      <c r="H232" s="264"/>
      <c r="I232" s="267"/>
      <c r="J232" s="118"/>
      <c r="K232" s="136"/>
      <c r="L232" s="118"/>
      <c r="M232" s="136"/>
      <c r="N232" s="118"/>
      <c r="O232" s="136"/>
      <c r="P232" s="272"/>
      <c r="Q232" s="272"/>
      <c r="R232" s="272"/>
      <c r="S232" s="272"/>
      <c r="T232" s="272"/>
      <c r="U232" s="272"/>
      <c r="V232" s="273"/>
      <c r="W232" s="253"/>
      <c r="X232" s="253"/>
      <c r="Y232" s="253"/>
      <c r="Z232" s="253"/>
      <c r="AA232" s="253"/>
      <c r="AB232" s="218"/>
    </row>
    <row r="233">
      <c r="A233" s="118"/>
      <c r="B233" s="118"/>
      <c r="C233" s="143"/>
      <c r="D233" s="118"/>
      <c r="E233" s="118"/>
      <c r="F233" s="262"/>
      <c r="G233" s="264"/>
      <c r="H233" s="264"/>
      <c r="I233" s="267"/>
      <c r="J233" s="118"/>
      <c r="K233" s="136"/>
      <c r="L233" s="118"/>
      <c r="M233" s="136"/>
      <c r="N233" s="118"/>
      <c r="O233" s="136"/>
      <c r="P233" s="272"/>
      <c r="Q233" s="272"/>
      <c r="R233" s="272"/>
      <c r="S233" s="272"/>
      <c r="T233" s="272"/>
      <c r="U233" s="272"/>
      <c r="V233" s="273"/>
      <c r="W233" s="253"/>
      <c r="X233" s="253"/>
      <c r="Y233" s="253"/>
      <c r="Z233" s="253"/>
      <c r="AA233" s="253"/>
      <c r="AB233" s="218"/>
    </row>
    <row r="234">
      <c r="A234" s="118"/>
      <c r="B234" s="118"/>
      <c r="C234" s="143"/>
      <c r="D234" s="118"/>
      <c r="E234" s="118"/>
      <c r="F234" s="262"/>
      <c r="G234" s="264"/>
      <c r="H234" s="264"/>
      <c r="I234" s="267"/>
      <c r="J234" s="118"/>
      <c r="K234" s="136"/>
      <c r="L234" s="118"/>
      <c r="M234" s="136"/>
      <c r="N234" s="118"/>
      <c r="O234" s="136"/>
      <c r="P234" s="272"/>
      <c r="Q234" s="272"/>
      <c r="R234" s="272"/>
      <c r="S234" s="272"/>
      <c r="T234" s="272"/>
      <c r="U234" s="272"/>
      <c r="V234" s="273"/>
      <c r="W234" s="253"/>
      <c r="X234" s="253"/>
      <c r="Y234" s="253"/>
      <c r="Z234" s="253"/>
      <c r="AA234" s="253"/>
      <c r="AB234" s="218"/>
    </row>
    <row r="235">
      <c r="A235" s="118"/>
      <c r="B235" s="118"/>
      <c r="C235" s="143"/>
      <c r="D235" s="118"/>
      <c r="E235" s="118"/>
      <c r="F235" s="262"/>
      <c r="G235" s="264"/>
      <c r="H235" s="264"/>
      <c r="I235" s="267"/>
      <c r="J235" s="118"/>
      <c r="K235" s="136"/>
      <c r="L235" s="118"/>
      <c r="M235" s="136"/>
      <c r="N235" s="118"/>
      <c r="O235" s="136"/>
      <c r="P235" s="272"/>
      <c r="Q235" s="272"/>
      <c r="R235" s="272"/>
      <c r="S235" s="272"/>
      <c r="T235" s="272"/>
      <c r="U235" s="272"/>
      <c r="V235" s="273"/>
      <c r="W235" s="253"/>
      <c r="X235" s="253"/>
      <c r="Y235" s="253"/>
      <c r="Z235" s="253"/>
      <c r="AA235" s="253"/>
      <c r="AB235" s="218"/>
    </row>
    <row r="236">
      <c r="A236" s="118"/>
      <c r="B236" s="118"/>
      <c r="C236" s="143"/>
      <c r="D236" s="118"/>
      <c r="E236" s="118"/>
      <c r="F236" s="262"/>
      <c r="G236" s="264"/>
      <c r="H236" s="264"/>
      <c r="I236" s="267"/>
      <c r="J236" s="118"/>
      <c r="K236" s="136"/>
      <c r="L236" s="118"/>
      <c r="M236" s="136"/>
      <c r="N236" s="118"/>
      <c r="O236" s="136"/>
      <c r="P236" s="272"/>
      <c r="Q236" s="272"/>
      <c r="R236" s="272"/>
      <c r="S236" s="272"/>
      <c r="T236" s="272"/>
      <c r="U236" s="272"/>
      <c r="V236" s="273"/>
      <c r="W236" s="253"/>
      <c r="X236" s="253"/>
      <c r="Y236" s="253"/>
      <c r="Z236" s="253"/>
      <c r="AA236" s="253"/>
      <c r="AB236" s="218"/>
    </row>
    <row r="237">
      <c r="A237" s="118"/>
      <c r="B237" s="118"/>
      <c r="C237" s="143"/>
      <c r="D237" s="118"/>
      <c r="E237" s="118"/>
      <c r="F237" s="262"/>
      <c r="G237" s="264"/>
      <c r="H237" s="264"/>
      <c r="I237" s="267"/>
      <c r="J237" s="118"/>
      <c r="K237" s="136"/>
      <c r="L237" s="118"/>
      <c r="M237" s="136"/>
      <c r="N237" s="118"/>
      <c r="O237" s="136"/>
      <c r="P237" s="272"/>
      <c r="Q237" s="272"/>
      <c r="R237" s="272"/>
      <c r="S237" s="272"/>
      <c r="T237" s="272"/>
      <c r="U237" s="272"/>
      <c r="V237" s="273"/>
      <c r="W237" s="253"/>
      <c r="X237" s="253"/>
      <c r="Y237" s="253"/>
      <c r="Z237" s="253"/>
      <c r="AA237" s="253"/>
      <c r="AB237" s="218"/>
    </row>
    <row r="238">
      <c r="A238" s="118"/>
      <c r="B238" s="118"/>
      <c r="C238" s="143"/>
      <c r="D238" s="118"/>
      <c r="E238" s="118"/>
      <c r="F238" s="262"/>
      <c r="G238" s="264"/>
      <c r="H238" s="264"/>
      <c r="I238" s="267"/>
      <c r="J238" s="118"/>
      <c r="K238" s="136"/>
      <c r="L238" s="118"/>
      <c r="M238" s="136"/>
      <c r="N238" s="118"/>
      <c r="O238" s="136"/>
      <c r="P238" s="272"/>
      <c r="Q238" s="272"/>
      <c r="R238" s="272"/>
      <c r="S238" s="272"/>
      <c r="T238" s="272"/>
      <c r="U238" s="272"/>
      <c r="V238" s="273"/>
      <c r="W238" s="253"/>
      <c r="X238" s="253"/>
      <c r="Y238" s="253"/>
      <c r="Z238" s="253"/>
      <c r="AA238" s="253"/>
      <c r="AB238" s="218"/>
    </row>
    <row r="239">
      <c r="A239" s="118"/>
      <c r="B239" s="118"/>
      <c r="C239" s="143"/>
      <c r="D239" s="118"/>
      <c r="E239" s="118"/>
      <c r="F239" s="262"/>
      <c r="G239" s="264"/>
      <c r="H239" s="264"/>
      <c r="I239" s="267"/>
      <c r="J239" s="118"/>
      <c r="K239" s="136"/>
      <c r="L239" s="118"/>
      <c r="M239" s="136"/>
      <c r="N239" s="118"/>
      <c r="O239" s="136"/>
      <c r="P239" s="272"/>
      <c r="Q239" s="272"/>
      <c r="R239" s="272"/>
      <c r="S239" s="272"/>
      <c r="T239" s="272"/>
      <c r="U239" s="272"/>
      <c r="V239" s="273"/>
      <c r="W239" s="253"/>
      <c r="X239" s="253"/>
      <c r="Y239" s="253"/>
      <c r="Z239" s="253"/>
      <c r="AA239" s="253"/>
      <c r="AB239" s="218"/>
    </row>
    <row r="240">
      <c r="A240" s="118"/>
      <c r="B240" s="118"/>
      <c r="C240" s="143"/>
      <c r="D240" s="118"/>
      <c r="E240" s="118"/>
      <c r="F240" s="262"/>
      <c r="G240" s="264"/>
      <c r="H240" s="264"/>
      <c r="I240" s="267"/>
      <c r="J240" s="118"/>
      <c r="K240" s="136"/>
      <c r="L240" s="118"/>
      <c r="M240" s="136"/>
      <c r="N240" s="118"/>
      <c r="O240" s="136"/>
      <c r="P240" s="272"/>
      <c r="Q240" s="272"/>
      <c r="R240" s="272"/>
      <c r="S240" s="272"/>
      <c r="T240" s="272"/>
      <c r="U240" s="272"/>
      <c r="V240" s="273"/>
      <c r="W240" s="253"/>
      <c r="X240" s="253"/>
      <c r="Y240" s="253"/>
      <c r="Z240" s="253"/>
      <c r="AA240" s="253"/>
      <c r="AB240" s="218"/>
    </row>
    <row r="241">
      <c r="A241" s="118"/>
      <c r="B241" s="118"/>
      <c r="C241" s="143"/>
      <c r="D241" s="118"/>
      <c r="E241" s="118"/>
      <c r="F241" s="262"/>
      <c r="G241" s="264"/>
      <c r="H241" s="264"/>
      <c r="I241" s="267"/>
      <c r="J241" s="118"/>
      <c r="K241" s="136"/>
      <c r="L241" s="118"/>
      <c r="M241" s="136"/>
      <c r="N241" s="118"/>
      <c r="O241" s="136"/>
      <c r="P241" s="272"/>
      <c r="Q241" s="272"/>
      <c r="R241" s="272"/>
      <c r="S241" s="272"/>
      <c r="T241" s="272"/>
      <c r="U241" s="272"/>
      <c r="V241" s="273"/>
      <c r="W241" s="253"/>
      <c r="X241" s="253"/>
      <c r="Y241" s="253"/>
      <c r="Z241" s="253"/>
      <c r="AA241" s="253"/>
      <c r="AB241" s="218"/>
    </row>
    <row r="242">
      <c r="A242" s="118"/>
      <c r="B242" s="118"/>
      <c r="C242" s="143"/>
      <c r="D242" s="118"/>
      <c r="E242" s="118"/>
      <c r="F242" s="262"/>
      <c r="G242" s="264"/>
      <c r="H242" s="264"/>
      <c r="I242" s="267"/>
      <c r="J242" s="118"/>
      <c r="K242" s="136"/>
      <c r="L242" s="118"/>
      <c r="M242" s="136"/>
      <c r="N242" s="118"/>
      <c r="O242" s="136"/>
      <c r="P242" s="272"/>
      <c r="Q242" s="272"/>
      <c r="R242" s="272"/>
      <c r="S242" s="272"/>
      <c r="T242" s="272"/>
      <c r="U242" s="272"/>
      <c r="V242" s="273"/>
      <c r="W242" s="253"/>
      <c r="X242" s="253"/>
      <c r="Y242" s="253"/>
      <c r="Z242" s="253"/>
      <c r="AA242" s="253"/>
      <c r="AB242" s="218"/>
    </row>
    <row r="243">
      <c r="A243" s="118"/>
      <c r="B243" s="118"/>
      <c r="C243" s="143"/>
      <c r="D243" s="118"/>
      <c r="E243" s="118"/>
      <c r="F243" s="262"/>
      <c r="G243" s="264"/>
      <c r="H243" s="264"/>
      <c r="I243" s="267"/>
      <c r="J243" s="118"/>
      <c r="K243" s="136"/>
      <c r="L243" s="118"/>
      <c r="M243" s="136"/>
      <c r="N243" s="118"/>
      <c r="O243" s="136"/>
      <c r="P243" s="272"/>
      <c r="Q243" s="272"/>
      <c r="R243" s="272"/>
      <c r="S243" s="272"/>
      <c r="T243" s="272"/>
      <c r="U243" s="272"/>
      <c r="V243" s="273"/>
      <c r="W243" s="253"/>
      <c r="X243" s="253"/>
      <c r="Y243" s="253"/>
      <c r="Z243" s="253"/>
      <c r="AA243" s="253"/>
      <c r="AB243" s="218"/>
    </row>
    <row r="244">
      <c r="A244" s="118"/>
      <c r="B244" s="118"/>
      <c r="C244" s="143"/>
      <c r="D244" s="118"/>
      <c r="E244" s="118"/>
      <c r="F244" s="262"/>
      <c r="G244" s="264"/>
      <c r="H244" s="264"/>
      <c r="I244" s="267"/>
      <c r="J244" s="118"/>
      <c r="K244" s="136"/>
      <c r="L244" s="118"/>
      <c r="M244" s="136"/>
      <c r="N244" s="118"/>
      <c r="O244" s="136"/>
      <c r="P244" s="272"/>
      <c r="Q244" s="272"/>
      <c r="R244" s="272"/>
      <c r="S244" s="272"/>
      <c r="T244" s="272"/>
      <c r="U244" s="272"/>
      <c r="V244" s="273"/>
      <c r="W244" s="253"/>
      <c r="X244" s="253"/>
      <c r="Y244" s="253"/>
      <c r="Z244" s="253"/>
      <c r="AA244" s="253"/>
      <c r="AB244" s="218"/>
    </row>
    <row r="245">
      <c r="A245" s="118"/>
      <c r="B245" s="118"/>
      <c r="C245" s="143"/>
      <c r="D245" s="118"/>
      <c r="E245" s="118"/>
      <c r="F245" s="262"/>
      <c r="G245" s="264"/>
      <c r="H245" s="264"/>
      <c r="I245" s="267"/>
      <c r="J245" s="118"/>
      <c r="K245" s="136"/>
      <c r="L245" s="118"/>
      <c r="M245" s="136"/>
      <c r="N245" s="118"/>
      <c r="O245" s="136"/>
      <c r="P245" s="272"/>
      <c r="Q245" s="272"/>
      <c r="R245" s="272"/>
      <c r="S245" s="272"/>
      <c r="T245" s="272"/>
      <c r="U245" s="272"/>
      <c r="V245" s="273"/>
      <c r="W245" s="253"/>
      <c r="X245" s="253"/>
      <c r="Y245" s="253"/>
      <c r="Z245" s="253"/>
      <c r="AA245" s="253"/>
      <c r="AB245" s="218"/>
    </row>
    <row r="246">
      <c r="A246" s="118"/>
      <c r="B246" s="118"/>
      <c r="C246" s="143"/>
      <c r="D246" s="118"/>
      <c r="E246" s="118"/>
      <c r="F246" s="262"/>
      <c r="G246" s="264"/>
      <c r="H246" s="264"/>
      <c r="I246" s="267"/>
      <c r="J246" s="118"/>
      <c r="K246" s="136"/>
      <c r="L246" s="118"/>
      <c r="M246" s="136"/>
      <c r="N246" s="118"/>
      <c r="O246" s="136"/>
      <c r="P246" s="272"/>
      <c r="Q246" s="272"/>
      <c r="R246" s="272"/>
      <c r="S246" s="272"/>
      <c r="T246" s="272"/>
      <c r="U246" s="272"/>
      <c r="V246" s="273"/>
      <c r="W246" s="253"/>
      <c r="X246" s="253"/>
      <c r="Y246" s="253"/>
      <c r="Z246" s="253"/>
      <c r="AA246" s="253"/>
      <c r="AB246" s="218"/>
    </row>
    <row r="247">
      <c r="A247" s="118"/>
      <c r="B247" s="118"/>
      <c r="C247" s="143"/>
      <c r="D247" s="118"/>
      <c r="E247" s="118"/>
      <c r="F247" s="262"/>
      <c r="G247" s="264"/>
      <c r="H247" s="264"/>
      <c r="I247" s="267"/>
      <c r="J247" s="118"/>
      <c r="K247" s="136"/>
      <c r="L247" s="118"/>
      <c r="M247" s="136"/>
      <c r="N247" s="118"/>
      <c r="O247" s="136"/>
      <c r="P247" s="272"/>
      <c r="Q247" s="272"/>
      <c r="R247" s="272"/>
      <c r="S247" s="272"/>
      <c r="T247" s="272"/>
      <c r="U247" s="272"/>
      <c r="V247" s="273"/>
      <c r="W247" s="253"/>
      <c r="X247" s="253"/>
      <c r="Y247" s="253"/>
      <c r="Z247" s="253"/>
      <c r="AA247" s="253"/>
      <c r="AB247" s="218"/>
    </row>
    <row r="248">
      <c r="A248" s="118"/>
      <c r="B248" s="118"/>
      <c r="C248" s="143"/>
      <c r="D248" s="118"/>
      <c r="E248" s="118"/>
      <c r="F248" s="262"/>
      <c r="G248" s="264"/>
      <c r="H248" s="264"/>
      <c r="I248" s="267"/>
      <c r="J248" s="118"/>
      <c r="K248" s="136"/>
      <c r="L248" s="118"/>
      <c r="M248" s="136"/>
      <c r="N248" s="118"/>
      <c r="O248" s="136"/>
      <c r="P248" s="272"/>
      <c r="Q248" s="272"/>
      <c r="R248" s="272"/>
      <c r="S248" s="272"/>
      <c r="T248" s="272"/>
      <c r="U248" s="272"/>
      <c r="V248" s="273"/>
      <c r="W248" s="253"/>
      <c r="X248" s="253"/>
      <c r="Y248" s="253"/>
      <c r="Z248" s="253"/>
      <c r="AA248" s="253"/>
      <c r="AB248" s="218"/>
    </row>
    <row r="249">
      <c r="A249" s="118"/>
      <c r="B249" s="118"/>
      <c r="C249" s="143"/>
      <c r="D249" s="118"/>
      <c r="E249" s="118"/>
      <c r="F249" s="262"/>
      <c r="G249" s="264"/>
      <c r="H249" s="264"/>
      <c r="I249" s="267"/>
      <c r="J249" s="118"/>
      <c r="K249" s="136"/>
      <c r="L249" s="118"/>
      <c r="M249" s="136"/>
      <c r="N249" s="118"/>
      <c r="O249" s="136"/>
      <c r="P249" s="272"/>
      <c r="Q249" s="272"/>
      <c r="R249" s="272"/>
      <c r="S249" s="272"/>
      <c r="T249" s="272"/>
      <c r="U249" s="272"/>
      <c r="V249" s="273"/>
      <c r="W249" s="253"/>
      <c r="X249" s="253"/>
      <c r="Y249" s="253"/>
      <c r="Z249" s="253"/>
      <c r="AA249" s="253"/>
      <c r="AB249" s="218"/>
    </row>
    <row r="250">
      <c r="A250" s="118"/>
      <c r="B250" s="118"/>
      <c r="C250" s="143"/>
      <c r="D250" s="118"/>
      <c r="E250" s="118"/>
      <c r="F250" s="262"/>
      <c r="G250" s="264"/>
      <c r="H250" s="264"/>
      <c r="I250" s="267"/>
      <c r="J250" s="118"/>
      <c r="K250" s="136"/>
      <c r="L250" s="118"/>
      <c r="M250" s="136"/>
      <c r="N250" s="118"/>
      <c r="O250" s="136"/>
      <c r="P250" s="272"/>
      <c r="Q250" s="272"/>
      <c r="R250" s="272"/>
      <c r="S250" s="272"/>
      <c r="T250" s="272"/>
      <c r="U250" s="272"/>
      <c r="V250" s="273"/>
      <c r="W250" s="253"/>
      <c r="X250" s="253"/>
      <c r="Y250" s="253"/>
      <c r="Z250" s="253"/>
      <c r="AA250" s="253"/>
      <c r="AB250" s="218"/>
    </row>
    <row r="251">
      <c r="A251" s="118"/>
      <c r="B251" s="118"/>
      <c r="C251" s="143"/>
      <c r="D251" s="118"/>
      <c r="E251" s="118"/>
      <c r="F251" s="262"/>
      <c r="G251" s="264"/>
      <c r="H251" s="264"/>
      <c r="I251" s="267"/>
      <c r="J251" s="118"/>
      <c r="K251" s="136"/>
      <c r="L251" s="118"/>
      <c r="M251" s="136"/>
      <c r="N251" s="118"/>
      <c r="O251" s="136"/>
      <c r="P251" s="272"/>
      <c r="Q251" s="272"/>
      <c r="R251" s="272"/>
      <c r="S251" s="272"/>
      <c r="T251" s="272"/>
      <c r="U251" s="272"/>
      <c r="V251" s="273"/>
      <c r="W251" s="253"/>
      <c r="X251" s="253"/>
      <c r="Y251" s="253"/>
      <c r="Z251" s="253"/>
      <c r="AA251" s="253"/>
      <c r="AB251" s="218"/>
    </row>
    <row r="252">
      <c r="A252" s="118"/>
      <c r="B252" s="118"/>
      <c r="C252" s="143"/>
      <c r="D252" s="118"/>
      <c r="E252" s="118"/>
      <c r="F252" s="262"/>
      <c r="G252" s="264"/>
      <c r="H252" s="264"/>
      <c r="I252" s="267"/>
      <c r="J252" s="118"/>
      <c r="K252" s="136"/>
      <c r="L252" s="118"/>
      <c r="M252" s="136"/>
      <c r="N252" s="118"/>
      <c r="O252" s="136"/>
      <c r="P252" s="272"/>
      <c r="Q252" s="272"/>
      <c r="R252" s="272"/>
      <c r="S252" s="272"/>
      <c r="T252" s="272"/>
      <c r="U252" s="272"/>
      <c r="V252" s="273"/>
      <c r="W252" s="253"/>
      <c r="X252" s="253"/>
      <c r="Y252" s="253"/>
      <c r="Z252" s="253"/>
      <c r="AA252" s="253"/>
      <c r="AB252" s="218"/>
    </row>
    <row r="253">
      <c r="A253" s="118"/>
      <c r="B253" s="118"/>
      <c r="C253" s="143"/>
      <c r="D253" s="118"/>
      <c r="E253" s="118"/>
      <c r="F253" s="262"/>
      <c r="G253" s="264"/>
      <c r="H253" s="264"/>
      <c r="I253" s="267"/>
      <c r="J253" s="118"/>
      <c r="K253" s="136"/>
      <c r="L253" s="118"/>
      <c r="M253" s="136"/>
      <c r="N253" s="118"/>
      <c r="O253" s="136"/>
      <c r="P253" s="272"/>
      <c r="Q253" s="272"/>
      <c r="R253" s="272"/>
      <c r="S253" s="272"/>
      <c r="T253" s="272"/>
      <c r="U253" s="272"/>
      <c r="V253" s="273"/>
      <c r="W253" s="253"/>
      <c r="X253" s="253"/>
      <c r="Y253" s="253"/>
      <c r="Z253" s="253"/>
      <c r="AA253" s="253"/>
      <c r="AB253" s="218"/>
    </row>
    <row r="254">
      <c r="A254" s="118"/>
      <c r="B254" s="118"/>
      <c r="C254" s="143"/>
      <c r="D254" s="118"/>
      <c r="E254" s="118"/>
      <c r="F254" s="262"/>
      <c r="G254" s="264"/>
      <c r="H254" s="264"/>
      <c r="I254" s="267"/>
      <c r="J254" s="118"/>
      <c r="K254" s="136"/>
      <c r="L254" s="118"/>
      <c r="M254" s="136"/>
      <c r="N254" s="118"/>
      <c r="O254" s="136"/>
      <c r="P254" s="272"/>
      <c r="Q254" s="272"/>
      <c r="R254" s="272"/>
      <c r="S254" s="272"/>
      <c r="T254" s="272"/>
      <c r="U254" s="272"/>
      <c r="V254" s="273"/>
      <c r="W254" s="253"/>
      <c r="X254" s="253"/>
      <c r="Y254" s="253"/>
      <c r="Z254" s="253"/>
      <c r="AA254" s="253"/>
      <c r="AB254" s="218"/>
    </row>
    <row r="255">
      <c r="A255" s="118"/>
      <c r="B255" s="118"/>
      <c r="C255" s="143"/>
      <c r="D255" s="118"/>
      <c r="E255" s="118"/>
      <c r="F255" s="262"/>
      <c r="G255" s="264"/>
      <c r="H255" s="264"/>
      <c r="I255" s="267"/>
      <c r="J255" s="118"/>
      <c r="K255" s="136"/>
      <c r="L255" s="118"/>
      <c r="M255" s="136"/>
      <c r="N255" s="118"/>
      <c r="O255" s="136"/>
      <c r="P255" s="272"/>
      <c r="Q255" s="272"/>
      <c r="R255" s="272"/>
      <c r="S255" s="272"/>
      <c r="T255" s="272"/>
      <c r="U255" s="272"/>
      <c r="V255" s="273"/>
      <c r="W255" s="253"/>
      <c r="X255" s="253"/>
      <c r="Y255" s="253"/>
      <c r="Z255" s="253"/>
      <c r="AA255" s="253"/>
      <c r="AB255" s="218"/>
    </row>
    <row r="256">
      <c r="A256" s="118"/>
      <c r="B256" s="118"/>
      <c r="C256" s="143"/>
      <c r="D256" s="118"/>
      <c r="E256" s="118"/>
      <c r="F256" s="262"/>
      <c r="G256" s="264"/>
      <c r="H256" s="264"/>
      <c r="I256" s="267"/>
      <c r="J256" s="118"/>
      <c r="K256" s="136"/>
      <c r="L256" s="118"/>
      <c r="M256" s="136"/>
      <c r="N256" s="118"/>
      <c r="O256" s="136"/>
      <c r="P256" s="272"/>
      <c r="Q256" s="272"/>
      <c r="R256" s="272"/>
      <c r="S256" s="272"/>
      <c r="T256" s="272"/>
      <c r="U256" s="272"/>
      <c r="V256" s="273"/>
      <c r="W256" s="253"/>
      <c r="X256" s="253"/>
      <c r="Y256" s="253"/>
      <c r="Z256" s="253"/>
      <c r="AA256" s="253"/>
      <c r="AB256" s="218"/>
    </row>
    <row r="257">
      <c r="A257" s="118"/>
      <c r="B257" s="118"/>
      <c r="C257" s="143"/>
      <c r="D257" s="118"/>
      <c r="E257" s="118"/>
      <c r="F257" s="262"/>
      <c r="G257" s="264"/>
      <c r="H257" s="264"/>
      <c r="I257" s="267"/>
      <c r="J257" s="118"/>
      <c r="K257" s="136"/>
      <c r="L257" s="118"/>
      <c r="M257" s="136"/>
      <c r="N257" s="118"/>
      <c r="O257" s="136"/>
      <c r="P257" s="272"/>
      <c r="Q257" s="272"/>
      <c r="R257" s="272"/>
      <c r="S257" s="272"/>
      <c r="T257" s="272"/>
      <c r="U257" s="272"/>
      <c r="V257" s="273"/>
      <c r="W257" s="253"/>
      <c r="X257" s="253"/>
      <c r="Y257" s="253"/>
      <c r="Z257" s="253"/>
      <c r="AA257" s="253"/>
      <c r="AB257" s="218"/>
    </row>
    <row r="258">
      <c r="A258" s="118"/>
      <c r="B258" s="118"/>
      <c r="C258" s="143"/>
      <c r="D258" s="118"/>
      <c r="E258" s="118"/>
      <c r="F258" s="262"/>
      <c r="G258" s="264"/>
      <c r="H258" s="264"/>
      <c r="I258" s="267"/>
      <c r="J258" s="118"/>
      <c r="K258" s="136"/>
      <c r="L258" s="118"/>
      <c r="M258" s="136"/>
      <c r="N258" s="118"/>
      <c r="O258" s="136"/>
      <c r="P258" s="272"/>
      <c r="Q258" s="272"/>
      <c r="R258" s="272"/>
      <c r="S258" s="272"/>
      <c r="T258" s="272"/>
      <c r="U258" s="272"/>
      <c r="V258" s="273"/>
      <c r="W258" s="253"/>
      <c r="X258" s="253"/>
      <c r="Y258" s="253"/>
      <c r="Z258" s="253"/>
      <c r="AA258" s="253"/>
      <c r="AB258" s="218"/>
    </row>
    <row r="259">
      <c r="A259" s="118"/>
      <c r="B259" s="118"/>
      <c r="C259" s="143"/>
      <c r="D259" s="118"/>
      <c r="E259" s="118"/>
      <c r="F259" s="262"/>
      <c r="G259" s="264"/>
      <c r="H259" s="264"/>
      <c r="I259" s="267"/>
      <c r="J259" s="118"/>
      <c r="K259" s="136"/>
      <c r="L259" s="118"/>
      <c r="M259" s="136"/>
      <c r="N259" s="118"/>
      <c r="O259" s="136"/>
      <c r="P259" s="272"/>
      <c r="Q259" s="272"/>
      <c r="R259" s="272"/>
      <c r="S259" s="272"/>
      <c r="T259" s="272"/>
      <c r="U259" s="272"/>
      <c r="V259" s="273"/>
      <c r="W259" s="253"/>
      <c r="X259" s="253"/>
      <c r="Y259" s="253"/>
      <c r="Z259" s="253"/>
      <c r="AA259" s="253"/>
      <c r="AB259" s="218"/>
    </row>
    <row r="260">
      <c r="A260" s="118"/>
      <c r="B260" s="118"/>
      <c r="C260" s="143"/>
      <c r="D260" s="118"/>
      <c r="E260" s="118"/>
      <c r="F260" s="262"/>
      <c r="G260" s="264"/>
      <c r="H260" s="264"/>
      <c r="I260" s="267"/>
      <c r="J260" s="118"/>
      <c r="K260" s="136"/>
      <c r="L260" s="118"/>
      <c r="M260" s="136"/>
      <c r="N260" s="118"/>
      <c r="O260" s="136"/>
      <c r="P260" s="272"/>
      <c r="Q260" s="272"/>
      <c r="R260" s="272"/>
      <c r="S260" s="272"/>
      <c r="T260" s="272"/>
      <c r="U260" s="272"/>
      <c r="V260" s="273"/>
      <c r="W260" s="253"/>
      <c r="X260" s="253"/>
      <c r="Y260" s="253"/>
      <c r="Z260" s="253"/>
      <c r="AA260" s="253"/>
      <c r="AB260" s="218"/>
    </row>
    <row r="261">
      <c r="A261" s="118"/>
      <c r="B261" s="118"/>
      <c r="C261" s="143"/>
      <c r="D261" s="118"/>
      <c r="E261" s="118"/>
      <c r="F261" s="262"/>
      <c r="G261" s="264"/>
      <c r="H261" s="264"/>
      <c r="I261" s="267"/>
      <c r="J261" s="118"/>
      <c r="K261" s="136"/>
      <c r="L261" s="118"/>
      <c r="M261" s="136"/>
      <c r="N261" s="118"/>
      <c r="O261" s="136"/>
      <c r="P261" s="272"/>
      <c r="Q261" s="272"/>
      <c r="R261" s="272"/>
      <c r="S261" s="272"/>
      <c r="T261" s="272"/>
      <c r="U261" s="272"/>
      <c r="V261" s="273"/>
      <c r="W261" s="253"/>
      <c r="X261" s="253"/>
      <c r="Y261" s="253"/>
      <c r="Z261" s="253"/>
      <c r="AA261" s="253"/>
      <c r="AB261" s="218"/>
    </row>
    <row r="262">
      <c r="A262" s="118"/>
      <c r="B262" s="118"/>
      <c r="C262" s="143"/>
      <c r="D262" s="118"/>
      <c r="E262" s="118"/>
      <c r="F262" s="262"/>
      <c r="G262" s="264"/>
      <c r="H262" s="264"/>
      <c r="I262" s="267"/>
      <c r="J262" s="118"/>
      <c r="K262" s="136"/>
      <c r="L262" s="118"/>
      <c r="M262" s="136"/>
      <c r="N262" s="118"/>
      <c r="O262" s="136"/>
      <c r="P262" s="272"/>
      <c r="Q262" s="272"/>
      <c r="R262" s="272"/>
      <c r="S262" s="272"/>
      <c r="T262" s="272"/>
      <c r="U262" s="272"/>
      <c r="V262" s="273"/>
      <c r="W262" s="253"/>
      <c r="X262" s="253"/>
      <c r="Y262" s="253"/>
      <c r="Z262" s="253"/>
      <c r="AA262" s="253"/>
      <c r="AB262" s="218"/>
    </row>
    <row r="263">
      <c r="A263" s="118"/>
      <c r="B263" s="118"/>
      <c r="C263" s="143"/>
      <c r="D263" s="118"/>
      <c r="E263" s="118"/>
      <c r="F263" s="262"/>
      <c r="G263" s="264"/>
      <c r="H263" s="264"/>
      <c r="I263" s="267"/>
      <c r="J263" s="118"/>
      <c r="K263" s="136"/>
      <c r="L263" s="118"/>
      <c r="M263" s="136"/>
      <c r="N263" s="118"/>
      <c r="O263" s="136"/>
      <c r="P263" s="272"/>
      <c r="Q263" s="272"/>
      <c r="R263" s="272"/>
      <c r="S263" s="272"/>
      <c r="T263" s="272"/>
      <c r="U263" s="272"/>
      <c r="V263" s="273"/>
      <c r="W263" s="253"/>
      <c r="X263" s="253"/>
      <c r="Y263" s="253"/>
      <c r="Z263" s="253"/>
      <c r="AA263" s="253"/>
      <c r="AB263" s="218"/>
    </row>
    <row r="264">
      <c r="A264" s="118"/>
      <c r="B264" s="118"/>
      <c r="C264" s="143"/>
      <c r="D264" s="118"/>
      <c r="E264" s="118"/>
      <c r="F264" s="262"/>
      <c r="G264" s="264"/>
      <c r="H264" s="264"/>
      <c r="I264" s="267"/>
      <c r="J264" s="118"/>
      <c r="K264" s="136"/>
      <c r="L264" s="118"/>
      <c r="M264" s="136"/>
      <c r="N264" s="118"/>
      <c r="O264" s="136"/>
      <c r="P264" s="272"/>
      <c r="Q264" s="272"/>
      <c r="R264" s="272"/>
      <c r="S264" s="272"/>
      <c r="T264" s="272"/>
      <c r="U264" s="272"/>
      <c r="V264" s="273"/>
      <c r="W264" s="253"/>
      <c r="X264" s="253"/>
      <c r="Y264" s="253"/>
      <c r="Z264" s="253"/>
      <c r="AA264" s="253"/>
      <c r="AB264" s="218"/>
    </row>
    <row r="265">
      <c r="A265" s="118"/>
      <c r="B265" s="118"/>
      <c r="C265" s="143"/>
      <c r="D265" s="118"/>
      <c r="E265" s="118"/>
      <c r="F265" s="262"/>
      <c r="G265" s="264"/>
      <c r="H265" s="264"/>
      <c r="I265" s="267"/>
      <c r="J265" s="118"/>
      <c r="K265" s="136"/>
      <c r="L265" s="118"/>
      <c r="M265" s="136"/>
      <c r="N265" s="118"/>
      <c r="O265" s="136"/>
      <c r="P265" s="272"/>
      <c r="Q265" s="272"/>
      <c r="R265" s="272"/>
      <c r="S265" s="272"/>
      <c r="T265" s="272"/>
      <c r="U265" s="272"/>
      <c r="V265" s="273"/>
      <c r="W265" s="253"/>
      <c r="X265" s="253"/>
      <c r="Y265" s="253"/>
      <c r="Z265" s="253"/>
      <c r="AA265" s="253"/>
      <c r="AB265" s="218"/>
    </row>
    <row r="266">
      <c r="A266" s="118"/>
      <c r="B266" s="118"/>
      <c r="C266" s="143"/>
      <c r="D266" s="118"/>
      <c r="E266" s="118"/>
      <c r="F266" s="262"/>
      <c r="G266" s="264"/>
      <c r="H266" s="264"/>
      <c r="I266" s="267"/>
      <c r="J266" s="118"/>
      <c r="K266" s="136"/>
      <c r="L266" s="118"/>
      <c r="M266" s="136"/>
      <c r="N266" s="118"/>
      <c r="O266" s="136"/>
      <c r="P266" s="272"/>
      <c r="Q266" s="272"/>
      <c r="R266" s="272"/>
      <c r="S266" s="272"/>
      <c r="T266" s="272"/>
      <c r="U266" s="272"/>
      <c r="V266" s="273"/>
      <c r="W266" s="253"/>
      <c r="X266" s="253"/>
      <c r="Y266" s="253"/>
      <c r="Z266" s="253"/>
      <c r="AA266" s="253"/>
      <c r="AB266" s="218"/>
    </row>
    <row r="267">
      <c r="A267" s="118"/>
      <c r="B267" s="118"/>
      <c r="C267" s="143"/>
      <c r="D267" s="118"/>
      <c r="E267" s="118"/>
      <c r="F267" s="262"/>
      <c r="G267" s="264"/>
      <c r="H267" s="264"/>
      <c r="I267" s="267"/>
      <c r="J267" s="118"/>
      <c r="K267" s="136"/>
      <c r="L267" s="118"/>
      <c r="M267" s="136"/>
      <c r="N267" s="118"/>
      <c r="O267" s="136"/>
      <c r="P267" s="272"/>
      <c r="Q267" s="272"/>
      <c r="R267" s="272"/>
      <c r="S267" s="272"/>
      <c r="T267" s="272"/>
      <c r="U267" s="272"/>
      <c r="V267" s="273"/>
      <c r="W267" s="253"/>
      <c r="X267" s="253"/>
      <c r="Y267" s="253"/>
      <c r="Z267" s="253"/>
      <c r="AA267" s="253"/>
      <c r="AB267" s="218"/>
    </row>
    <row r="268">
      <c r="A268" s="118"/>
      <c r="B268" s="118"/>
      <c r="C268" s="143"/>
      <c r="D268" s="118"/>
      <c r="E268" s="118"/>
      <c r="F268" s="262"/>
      <c r="G268" s="264"/>
      <c r="H268" s="264"/>
      <c r="I268" s="267"/>
      <c r="J268" s="118"/>
      <c r="K268" s="136"/>
      <c r="L268" s="118"/>
      <c r="M268" s="136"/>
      <c r="N268" s="118"/>
      <c r="O268" s="136"/>
      <c r="P268" s="272"/>
      <c r="Q268" s="272"/>
      <c r="R268" s="272"/>
      <c r="S268" s="272"/>
      <c r="T268" s="272"/>
      <c r="U268" s="272"/>
      <c r="V268" s="273"/>
      <c r="W268" s="253"/>
      <c r="X268" s="253"/>
      <c r="Y268" s="253"/>
      <c r="Z268" s="253"/>
      <c r="AA268" s="253"/>
      <c r="AB268" s="218"/>
    </row>
    <row r="269">
      <c r="A269" s="118"/>
      <c r="B269" s="118"/>
      <c r="C269" s="143"/>
      <c r="D269" s="118"/>
      <c r="E269" s="118"/>
      <c r="F269" s="262"/>
      <c r="G269" s="264"/>
      <c r="H269" s="264"/>
      <c r="I269" s="267"/>
      <c r="J269" s="118"/>
      <c r="K269" s="136"/>
      <c r="L269" s="118"/>
      <c r="M269" s="136"/>
      <c r="N269" s="118"/>
      <c r="O269" s="136"/>
      <c r="P269" s="272"/>
      <c r="Q269" s="272"/>
      <c r="R269" s="272"/>
      <c r="S269" s="272"/>
      <c r="T269" s="272"/>
      <c r="U269" s="272"/>
      <c r="V269" s="273"/>
      <c r="W269" s="253"/>
      <c r="X269" s="253"/>
      <c r="Y269" s="253"/>
      <c r="Z269" s="253"/>
      <c r="AA269" s="253"/>
      <c r="AB269" s="218"/>
    </row>
    <row r="270">
      <c r="A270" s="118"/>
      <c r="B270" s="118"/>
      <c r="C270" s="143"/>
      <c r="D270" s="118"/>
      <c r="E270" s="118"/>
      <c r="F270" s="262"/>
      <c r="G270" s="264"/>
      <c r="H270" s="264"/>
      <c r="I270" s="267"/>
      <c r="J270" s="118"/>
      <c r="K270" s="136"/>
      <c r="L270" s="118"/>
      <c r="M270" s="136"/>
      <c r="N270" s="118"/>
      <c r="O270" s="136"/>
      <c r="P270" s="272"/>
      <c r="Q270" s="272"/>
      <c r="R270" s="272"/>
      <c r="S270" s="272"/>
      <c r="T270" s="272"/>
      <c r="U270" s="272"/>
      <c r="V270" s="273"/>
      <c r="W270" s="253"/>
      <c r="X270" s="253"/>
      <c r="Y270" s="253"/>
      <c r="Z270" s="253"/>
      <c r="AA270" s="253"/>
      <c r="AB270" s="218"/>
    </row>
    <row r="271">
      <c r="A271" s="118"/>
      <c r="B271" s="118"/>
      <c r="C271" s="143"/>
      <c r="D271" s="118"/>
      <c r="E271" s="118"/>
      <c r="F271" s="262"/>
      <c r="G271" s="264"/>
      <c r="H271" s="264"/>
      <c r="I271" s="267"/>
      <c r="J271" s="118"/>
      <c r="K271" s="136"/>
      <c r="L271" s="118"/>
      <c r="M271" s="136"/>
      <c r="N271" s="118"/>
      <c r="O271" s="136"/>
      <c r="P271" s="272"/>
      <c r="Q271" s="272"/>
      <c r="R271" s="272"/>
      <c r="S271" s="272"/>
      <c r="T271" s="272"/>
      <c r="U271" s="272"/>
      <c r="V271" s="273"/>
      <c r="W271" s="253"/>
      <c r="X271" s="253"/>
      <c r="Y271" s="253"/>
      <c r="Z271" s="253"/>
      <c r="AA271" s="253"/>
      <c r="AB271" s="218"/>
    </row>
    <row r="272">
      <c r="A272" s="118"/>
      <c r="B272" s="118"/>
      <c r="C272" s="143"/>
      <c r="D272" s="118"/>
      <c r="E272" s="118"/>
      <c r="F272" s="262"/>
      <c r="G272" s="264"/>
      <c r="H272" s="264"/>
      <c r="I272" s="267"/>
      <c r="J272" s="118"/>
      <c r="K272" s="136"/>
      <c r="L272" s="118"/>
      <c r="M272" s="136"/>
      <c r="N272" s="118"/>
      <c r="O272" s="136"/>
      <c r="P272" s="272"/>
      <c r="Q272" s="272"/>
      <c r="R272" s="272"/>
      <c r="S272" s="272"/>
      <c r="T272" s="272"/>
      <c r="U272" s="272"/>
      <c r="V272" s="273"/>
      <c r="W272" s="253"/>
      <c r="X272" s="253"/>
      <c r="Y272" s="253"/>
      <c r="Z272" s="253"/>
      <c r="AA272" s="253"/>
      <c r="AB272" s="218"/>
    </row>
    <row r="273">
      <c r="A273" s="118"/>
      <c r="B273" s="118"/>
      <c r="C273" s="143"/>
      <c r="D273" s="118"/>
      <c r="E273" s="118"/>
      <c r="F273" s="262"/>
      <c r="G273" s="264"/>
      <c r="H273" s="264"/>
      <c r="I273" s="267"/>
      <c r="J273" s="118"/>
      <c r="K273" s="136"/>
      <c r="L273" s="118"/>
      <c r="M273" s="136"/>
      <c r="N273" s="118"/>
      <c r="O273" s="136"/>
      <c r="P273" s="272"/>
      <c r="Q273" s="272"/>
      <c r="R273" s="272"/>
      <c r="S273" s="272"/>
      <c r="T273" s="272"/>
      <c r="U273" s="272"/>
      <c r="V273" s="273"/>
      <c r="W273" s="253"/>
      <c r="X273" s="253"/>
      <c r="Y273" s="253"/>
      <c r="Z273" s="253"/>
      <c r="AA273" s="253"/>
      <c r="AB273" s="218"/>
    </row>
    <row r="274">
      <c r="A274" s="118"/>
      <c r="B274" s="118"/>
      <c r="C274" s="143"/>
      <c r="D274" s="118"/>
      <c r="E274" s="118"/>
      <c r="F274" s="262"/>
      <c r="G274" s="264"/>
      <c r="H274" s="264"/>
      <c r="I274" s="267"/>
      <c r="J274" s="118"/>
      <c r="K274" s="136"/>
      <c r="L274" s="118"/>
      <c r="M274" s="136"/>
      <c r="N274" s="118"/>
      <c r="O274" s="136"/>
      <c r="P274" s="272"/>
      <c r="Q274" s="272"/>
      <c r="R274" s="272"/>
      <c r="S274" s="272"/>
      <c r="T274" s="272"/>
      <c r="U274" s="272"/>
      <c r="V274" s="273"/>
      <c r="W274" s="253"/>
      <c r="X274" s="253"/>
      <c r="Y274" s="253"/>
      <c r="Z274" s="253"/>
      <c r="AA274" s="253"/>
      <c r="AB274" s="218"/>
    </row>
    <row r="275">
      <c r="A275" s="118"/>
      <c r="B275" s="118"/>
      <c r="C275" s="143"/>
      <c r="D275" s="118"/>
      <c r="E275" s="118"/>
      <c r="F275" s="262"/>
      <c r="G275" s="264"/>
      <c r="H275" s="264"/>
      <c r="I275" s="267"/>
      <c r="J275" s="118"/>
      <c r="K275" s="136"/>
      <c r="L275" s="118"/>
      <c r="M275" s="136"/>
      <c r="N275" s="118"/>
      <c r="O275" s="136"/>
      <c r="P275" s="272"/>
      <c r="Q275" s="272"/>
      <c r="R275" s="272"/>
      <c r="S275" s="272"/>
      <c r="T275" s="272"/>
      <c r="U275" s="272"/>
      <c r="V275" s="273"/>
      <c r="W275" s="253"/>
      <c r="X275" s="253"/>
      <c r="Y275" s="253"/>
      <c r="Z275" s="253"/>
      <c r="AA275" s="253"/>
      <c r="AB275" s="218"/>
    </row>
    <row r="276">
      <c r="A276" s="118"/>
      <c r="B276" s="118"/>
      <c r="C276" s="143"/>
      <c r="D276" s="118"/>
      <c r="E276" s="118"/>
      <c r="F276" s="262"/>
      <c r="G276" s="264"/>
      <c r="H276" s="264"/>
      <c r="I276" s="267"/>
      <c r="J276" s="118"/>
      <c r="K276" s="136"/>
      <c r="L276" s="118"/>
      <c r="M276" s="136"/>
      <c r="N276" s="118"/>
      <c r="O276" s="136"/>
      <c r="P276" s="272"/>
      <c r="Q276" s="272"/>
      <c r="R276" s="272"/>
      <c r="S276" s="272"/>
      <c r="T276" s="272"/>
      <c r="U276" s="272"/>
      <c r="V276" s="273"/>
      <c r="W276" s="253"/>
      <c r="X276" s="253"/>
      <c r="Y276" s="253"/>
      <c r="Z276" s="253"/>
      <c r="AA276" s="253"/>
      <c r="AB276" s="218"/>
    </row>
    <row r="277">
      <c r="A277" s="118"/>
      <c r="B277" s="118"/>
      <c r="C277" s="143"/>
      <c r="D277" s="118"/>
      <c r="E277" s="118"/>
      <c r="F277" s="262"/>
      <c r="G277" s="264"/>
      <c r="H277" s="264"/>
      <c r="I277" s="267"/>
      <c r="J277" s="118"/>
      <c r="K277" s="136"/>
      <c r="L277" s="118"/>
      <c r="M277" s="136"/>
      <c r="N277" s="118"/>
      <c r="O277" s="136"/>
      <c r="P277" s="272"/>
      <c r="Q277" s="272"/>
      <c r="R277" s="272"/>
      <c r="S277" s="272"/>
      <c r="T277" s="272"/>
      <c r="U277" s="272"/>
      <c r="V277" s="273"/>
      <c r="W277" s="253"/>
      <c r="X277" s="253"/>
      <c r="Y277" s="253"/>
      <c r="Z277" s="253"/>
      <c r="AA277" s="253"/>
      <c r="AB277" s="218"/>
    </row>
    <row r="278">
      <c r="A278" s="118"/>
      <c r="B278" s="118"/>
      <c r="C278" s="143"/>
      <c r="D278" s="118"/>
      <c r="E278" s="118"/>
      <c r="F278" s="262"/>
      <c r="G278" s="264"/>
      <c r="H278" s="264"/>
      <c r="I278" s="267"/>
      <c r="J278" s="118"/>
      <c r="K278" s="136"/>
      <c r="L278" s="118"/>
      <c r="M278" s="136"/>
      <c r="N278" s="118"/>
      <c r="O278" s="136"/>
      <c r="P278" s="272"/>
      <c r="Q278" s="272"/>
      <c r="R278" s="272"/>
      <c r="S278" s="272"/>
      <c r="T278" s="272"/>
      <c r="U278" s="272"/>
      <c r="V278" s="273"/>
      <c r="W278" s="253"/>
      <c r="X278" s="253"/>
      <c r="Y278" s="253"/>
      <c r="Z278" s="253"/>
      <c r="AA278" s="253"/>
      <c r="AB278" s="218"/>
    </row>
    <row r="279">
      <c r="A279" s="118"/>
      <c r="B279" s="118"/>
      <c r="C279" s="143"/>
      <c r="D279" s="118"/>
      <c r="E279" s="118"/>
      <c r="F279" s="262"/>
      <c r="G279" s="264"/>
      <c r="H279" s="264"/>
      <c r="I279" s="267"/>
      <c r="J279" s="118"/>
      <c r="K279" s="136"/>
      <c r="L279" s="118"/>
      <c r="M279" s="136"/>
      <c r="N279" s="118"/>
      <c r="O279" s="136"/>
      <c r="P279" s="272"/>
      <c r="Q279" s="272"/>
      <c r="R279" s="272"/>
      <c r="S279" s="272"/>
      <c r="T279" s="272"/>
      <c r="U279" s="272"/>
      <c r="V279" s="273"/>
      <c r="W279" s="253"/>
      <c r="X279" s="253"/>
      <c r="Y279" s="253"/>
      <c r="Z279" s="253"/>
      <c r="AA279" s="253"/>
      <c r="AB279" s="218"/>
    </row>
    <row r="280">
      <c r="A280" s="118"/>
      <c r="B280" s="118"/>
      <c r="C280" s="143"/>
      <c r="D280" s="118"/>
      <c r="E280" s="118"/>
      <c r="F280" s="262"/>
      <c r="G280" s="264"/>
      <c r="H280" s="264"/>
      <c r="I280" s="267"/>
      <c r="J280" s="118"/>
      <c r="K280" s="136"/>
      <c r="L280" s="118"/>
      <c r="M280" s="136"/>
      <c r="N280" s="118"/>
      <c r="O280" s="136"/>
      <c r="P280" s="272"/>
      <c r="Q280" s="272"/>
      <c r="R280" s="272"/>
      <c r="S280" s="272"/>
      <c r="T280" s="272"/>
      <c r="U280" s="272"/>
      <c r="V280" s="273"/>
      <c r="W280" s="253"/>
      <c r="X280" s="253"/>
      <c r="Y280" s="253"/>
      <c r="Z280" s="253"/>
      <c r="AA280" s="253"/>
      <c r="AB280" s="218"/>
    </row>
    <row r="281">
      <c r="A281" s="118"/>
      <c r="B281" s="118"/>
      <c r="C281" s="143"/>
      <c r="D281" s="118"/>
      <c r="E281" s="118"/>
      <c r="F281" s="262"/>
      <c r="G281" s="264"/>
      <c r="H281" s="264"/>
      <c r="I281" s="267"/>
      <c r="J281" s="118"/>
      <c r="K281" s="136"/>
      <c r="L281" s="118"/>
      <c r="M281" s="136"/>
      <c r="N281" s="118"/>
      <c r="O281" s="136"/>
      <c r="P281" s="272"/>
      <c r="Q281" s="272"/>
      <c r="R281" s="272"/>
      <c r="S281" s="272"/>
      <c r="T281" s="272"/>
      <c r="U281" s="272"/>
      <c r="V281" s="273"/>
      <c r="W281" s="253"/>
      <c r="X281" s="253"/>
      <c r="Y281" s="253"/>
      <c r="Z281" s="253"/>
      <c r="AA281" s="253"/>
      <c r="AB281" s="218"/>
    </row>
    <row r="282">
      <c r="A282" s="118"/>
      <c r="B282" s="118"/>
      <c r="C282" s="143"/>
      <c r="D282" s="118"/>
      <c r="E282" s="118"/>
      <c r="F282" s="262"/>
      <c r="G282" s="264"/>
      <c r="H282" s="264"/>
      <c r="I282" s="267"/>
      <c r="J282" s="118"/>
      <c r="K282" s="136"/>
      <c r="L282" s="118"/>
      <c r="M282" s="136"/>
      <c r="N282" s="118"/>
      <c r="O282" s="136"/>
      <c r="P282" s="272"/>
      <c r="Q282" s="272"/>
      <c r="R282" s="272"/>
      <c r="S282" s="272"/>
      <c r="T282" s="272"/>
      <c r="U282" s="272"/>
      <c r="V282" s="273"/>
      <c r="W282" s="253"/>
      <c r="X282" s="253"/>
      <c r="Y282" s="253"/>
      <c r="Z282" s="253"/>
      <c r="AA282" s="253"/>
      <c r="AB282" s="218"/>
    </row>
    <row r="283">
      <c r="A283" s="118"/>
      <c r="B283" s="118"/>
      <c r="C283" s="143"/>
      <c r="D283" s="118"/>
      <c r="E283" s="118"/>
      <c r="F283" s="262"/>
      <c r="G283" s="264"/>
      <c r="H283" s="264"/>
      <c r="I283" s="267"/>
      <c r="J283" s="118"/>
      <c r="K283" s="136"/>
      <c r="L283" s="118"/>
      <c r="M283" s="136"/>
      <c r="N283" s="118"/>
      <c r="O283" s="136"/>
      <c r="P283" s="272"/>
      <c r="Q283" s="272"/>
      <c r="R283" s="272"/>
      <c r="S283" s="272"/>
      <c r="T283" s="272"/>
      <c r="U283" s="272"/>
      <c r="V283" s="273"/>
      <c r="W283" s="253"/>
      <c r="X283" s="253"/>
      <c r="Y283" s="253"/>
      <c r="Z283" s="253"/>
      <c r="AA283" s="253"/>
      <c r="AB283" s="218"/>
    </row>
    <row r="284">
      <c r="A284" s="118"/>
      <c r="B284" s="118"/>
      <c r="C284" s="143"/>
      <c r="D284" s="118"/>
      <c r="E284" s="118"/>
      <c r="F284" s="262"/>
      <c r="G284" s="264"/>
      <c r="H284" s="264"/>
      <c r="I284" s="267"/>
      <c r="J284" s="118"/>
      <c r="K284" s="136"/>
      <c r="L284" s="118"/>
      <c r="M284" s="136"/>
      <c r="N284" s="118"/>
      <c r="O284" s="136"/>
      <c r="P284" s="272"/>
      <c r="Q284" s="272"/>
      <c r="R284" s="272"/>
      <c r="S284" s="272"/>
      <c r="T284" s="272"/>
      <c r="U284" s="272"/>
      <c r="V284" s="273"/>
      <c r="W284" s="253"/>
      <c r="X284" s="253"/>
      <c r="Y284" s="253"/>
      <c r="Z284" s="253"/>
      <c r="AA284" s="253"/>
      <c r="AB284" s="218"/>
    </row>
    <row r="285">
      <c r="A285" s="118"/>
      <c r="B285" s="118"/>
      <c r="C285" s="143"/>
      <c r="D285" s="118"/>
      <c r="E285" s="118"/>
      <c r="F285" s="262"/>
      <c r="G285" s="264"/>
      <c r="H285" s="264"/>
      <c r="I285" s="267"/>
      <c r="J285" s="118"/>
      <c r="K285" s="136"/>
      <c r="L285" s="118"/>
      <c r="M285" s="136"/>
      <c r="N285" s="118"/>
      <c r="O285" s="136"/>
      <c r="P285" s="272"/>
      <c r="Q285" s="272"/>
      <c r="R285" s="272"/>
      <c r="S285" s="272"/>
      <c r="T285" s="272"/>
      <c r="U285" s="272"/>
      <c r="V285" s="273"/>
      <c r="W285" s="253"/>
      <c r="X285" s="253"/>
      <c r="Y285" s="253"/>
      <c r="Z285" s="253"/>
      <c r="AA285" s="253"/>
      <c r="AB285" s="218"/>
    </row>
    <row r="286">
      <c r="A286" s="118"/>
      <c r="B286" s="118"/>
      <c r="C286" s="143"/>
      <c r="D286" s="118"/>
      <c r="E286" s="118"/>
      <c r="F286" s="262"/>
      <c r="G286" s="264"/>
      <c r="H286" s="264"/>
      <c r="I286" s="267"/>
      <c r="J286" s="118"/>
      <c r="K286" s="136"/>
      <c r="L286" s="118"/>
      <c r="M286" s="136"/>
      <c r="N286" s="118"/>
      <c r="O286" s="136"/>
      <c r="P286" s="272"/>
      <c r="Q286" s="272"/>
      <c r="R286" s="272"/>
      <c r="S286" s="272"/>
      <c r="T286" s="272"/>
      <c r="U286" s="272"/>
      <c r="V286" s="273"/>
      <c r="W286" s="253"/>
      <c r="X286" s="253"/>
      <c r="Y286" s="253"/>
      <c r="Z286" s="253"/>
      <c r="AA286" s="253"/>
      <c r="AB286" s="218"/>
    </row>
    <row r="287">
      <c r="A287" s="118"/>
      <c r="B287" s="118"/>
      <c r="C287" s="143"/>
      <c r="D287" s="118"/>
      <c r="E287" s="118"/>
      <c r="F287" s="262"/>
      <c r="G287" s="264"/>
      <c r="H287" s="264"/>
      <c r="I287" s="267"/>
      <c r="J287" s="118"/>
      <c r="K287" s="136"/>
      <c r="L287" s="118"/>
      <c r="M287" s="136"/>
      <c r="N287" s="118"/>
      <c r="O287" s="136"/>
      <c r="P287" s="272"/>
      <c r="Q287" s="272"/>
      <c r="R287" s="272"/>
      <c r="S287" s="272"/>
      <c r="T287" s="272"/>
      <c r="U287" s="272"/>
      <c r="V287" s="273"/>
      <c r="W287" s="253"/>
      <c r="X287" s="253"/>
      <c r="Y287" s="253"/>
      <c r="Z287" s="253"/>
      <c r="AA287" s="253"/>
      <c r="AB287" s="218"/>
    </row>
    <row r="288">
      <c r="A288" s="118"/>
      <c r="B288" s="118"/>
      <c r="C288" s="143"/>
      <c r="D288" s="118"/>
      <c r="E288" s="118"/>
      <c r="F288" s="262"/>
      <c r="G288" s="264"/>
      <c r="H288" s="264"/>
      <c r="I288" s="267"/>
      <c r="J288" s="118"/>
      <c r="K288" s="136"/>
      <c r="L288" s="118"/>
      <c r="M288" s="136"/>
      <c r="N288" s="118"/>
      <c r="O288" s="136"/>
      <c r="P288" s="272"/>
      <c r="Q288" s="272"/>
      <c r="R288" s="272"/>
      <c r="S288" s="272"/>
      <c r="T288" s="272"/>
      <c r="U288" s="272"/>
      <c r="V288" s="273"/>
      <c r="W288" s="253"/>
      <c r="X288" s="253"/>
      <c r="Y288" s="253"/>
      <c r="Z288" s="253"/>
      <c r="AA288" s="253"/>
      <c r="AB288" s="218"/>
    </row>
    <row r="289">
      <c r="A289" s="118"/>
      <c r="B289" s="118"/>
      <c r="C289" s="143"/>
      <c r="D289" s="118"/>
      <c r="E289" s="118"/>
      <c r="F289" s="262"/>
      <c r="G289" s="264"/>
      <c r="H289" s="264"/>
      <c r="I289" s="267"/>
      <c r="J289" s="118"/>
      <c r="K289" s="136"/>
      <c r="L289" s="118"/>
      <c r="M289" s="136"/>
      <c r="N289" s="118"/>
      <c r="O289" s="136"/>
      <c r="P289" s="272"/>
      <c r="Q289" s="272"/>
      <c r="R289" s="272"/>
      <c r="S289" s="272"/>
      <c r="T289" s="272"/>
      <c r="U289" s="272"/>
      <c r="V289" s="273"/>
      <c r="W289" s="253"/>
      <c r="X289" s="253"/>
      <c r="Y289" s="253"/>
      <c r="Z289" s="253"/>
      <c r="AA289" s="253"/>
      <c r="AB289" s="218"/>
    </row>
    <row r="290">
      <c r="A290" s="118"/>
      <c r="B290" s="118"/>
      <c r="C290" s="143"/>
      <c r="D290" s="118"/>
      <c r="E290" s="118"/>
      <c r="F290" s="262"/>
      <c r="G290" s="264"/>
      <c r="H290" s="264"/>
      <c r="I290" s="267"/>
      <c r="J290" s="118"/>
      <c r="K290" s="136"/>
      <c r="L290" s="118"/>
      <c r="M290" s="136"/>
      <c r="N290" s="118"/>
      <c r="O290" s="136"/>
      <c r="P290" s="272"/>
      <c r="Q290" s="272"/>
      <c r="R290" s="272"/>
      <c r="S290" s="272"/>
      <c r="T290" s="272"/>
      <c r="U290" s="272"/>
      <c r="V290" s="273"/>
      <c r="W290" s="253"/>
      <c r="X290" s="253"/>
      <c r="Y290" s="253"/>
      <c r="Z290" s="253"/>
      <c r="AA290" s="253"/>
      <c r="AB290" s="218"/>
    </row>
    <row r="291">
      <c r="A291" s="118"/>
      <c r="B291" s="118"/>
      <c r="C291" s="143"/>
      <c r="D291" s="118"/>
      <c r="E291" s="118"/>
      <c r="F291" s="262"/>
      <c r="G291" s="264"/>
      <c r="H291" s="264"/>
      <c r="I291" s="267"/>
      <c r="J291" s="118"/>
      <c r="K291" s="136"/>
      <c r="L291" s="118"/>
      <c r="M291" s="136"/>
      <c r="N291" s="118"/>
      <c r="O291" s="136"/>
      <c r="P291" s="272"/>
      <c r="Q291" s="272"/>
      <c r="R291" s="272"/>
      <c r="S291" s="272"/>
      <c r="T291" s="272"/>
      <c r="U291" s="272"/>
      <c r="V291" s="273"/>
      <c r="W291" s="253"/>
      <c r="X291" s="253"/>
      <c r="Y291" s="253"/>
      <c r="Z291" s="253"/>
      <c r="AA291" s="253"/>
      <c r="AB291" s="218"/>
    </row>
    <row r="292">
      <c r="A292" s="118"/>
      <c r="B292" s="118"/>
      <c r="C292" s="143"/>
      <c r="D292" s="118"/>
      <c r="E292" s="118"/>
      <c r="F292" s="262"/>
      <c r="G292" s="264"/>
      <c r="H292" s="264"/>
      <c r="I292" s="267"/>
      <c r="J292" s="118"/>
      <c r="K292" s="136"/>
      <c r="L292" s="118"/>
      <c r="M292" s="136"/>
      <c r="N292" s="118"/>
      <c r="O292" s="136"/>
      <c r="P292" s="272"/>
      <c r="Q292" s="272"/>
      <c r="R292" s="272"/>
      <c r="S292" s="272"/>
      <c r="T292" s="272"/>
      <c r="U292" s="272"/>
      <c r="V292" s="273"/>
      <c r="W292" s="253"/>
      <c r="X292" s="253"/>
      <c r="Y292" s="253"/>
      <c r="Z292" s="253"/>
      <c r="AA292" s="253"/>
      <c r="AB292" s="218"/>
    </row>
    <row r="293">
      <c r="A293" s="118"/>
      <c r="B293" s="118"/>
      <c r="C293" s="143"/>
      <c r="D293" s="118"/>
      <c r="E293" s="118"/>
      <c r="F293" s="262"/>
      <c r="G293" s="264"/>
      <c r="H293" s="264"/>
      <c r="I293" s="267"/>
      <c r="J293" s="118"/>
      <c r="K293" s="136"/>
      <c r="L293" s="118"/>
      <c r="M293" s="136"/>
      <c r="N293" s="118"/>
      <c r="O293" s="136"/>
      <c r="P293" s="272"/>
      <c r="Q293" s="272"/>
      <c r="R293" s="272"/>
      <c r="S293" s="272"/>
      <c r="T293" s="272"/>
      <c r="U293" s="272"/>
      <c r="V293" s="273"/>
      <c r="W293" s="253"/>
      <c r="X293" s="253"/>
      <c r="Y293" s="253"/>
      <c r="Z293" s="253"/>
      <c r="AA293" s="253"/>
      <c r="AB293" s="218"/>
    </row>
    <row r="294">
      <c r="A294" s="118"/>
      <c r="B294" s="118"/>
      <c r="C294" s="143"/>
      <c r="D294" s="118"/>
      <c r="E294" s="118"/>
      <c r="F294" s="262"/>
      <c r="G294" s="264"/>
      <c r="H294" s="264"/>
      <c r="I294" s="267"/>
      <c r="J294" s="118"/>
      <c r="K294" s="136"/>
      <c r="L294" s="118"/>
      <c r="M294" s="136"/>
      <c r="N294" s="118"/>
      <c r="O294" s="136"/>
      <c r="P294" s="272"/>
      <c r="Q294" s="272"/>
      <c r="R294" s="272"/>
      <c r="S294" s="272"/>
      <c r="T294" s="272"/>
      <c r="U294" s="272"/>
      <c r="V294" s="273"/>
      <c r="W294" s="253"/>
      <c r="X294" s="253"/>
      <c r="Y294" s="253"/>
      <c r="Z294" s="253"/>
      <c r="AA294" s="253"/>
      <c r="AB294" s="218"/>
    </row>
    <row r="295">
      <c r="A295" s="118"/>
      <c r="B295" s="118"/>
      <c r="C295" s="143"/>
      <c r="D295" s="118"/>
      <c r="E295" s="118"/>
      <c r="F295" s="262"/>
      <c r="G295" s="264"/>
      <c r="H295" s="264"/>
      <c r="I295" s="267"/>
      <c r="J295" s="118"/>
      <c r="K295" s="136"/>
      <c r="L295" s="118"/>
      <c r="M295" s="136"/>
      <c r="N295" s="118"/>
      <c r="O295" s="136"/>
      <c r="P295" s="272"/>
      <c r="Q295" s="272"/>
      <c r="R295" s="272"/>
      <c r="S295" s="272"/>
      <c r="T295" s="272"/>
      <c r="U295" s="272"/>
      <c r="V295" s="273"/>
      <c r="W295" s="253"/>
      <c r="X295" s="253"/>
      <c r="Y295" s="253"/>
      <c r="Z295" s="253"/>
      <c r="AA295" s="253"/>
      <c r="AB295" s="218"/>
    </row>
    <row r="296">
      <c r="A296" s="118"/>
      <c r="B296" s="118"/>
      <c r="C296" s="143"/>
      <c r="D296" s="118"/>
      <c r="E296" s="118"/>
      <c r="F296" s="262"/>
      <c r="G296" s="264"/>
      <c r="H296" s="264"/>
      <c r="I296" s="267"/>
      <c r="J296" s="118"/>
      <c r="K296" s="136"/>
      <c r="L296" s="118"/>
      <c r="M296" s="136"/>
      <c r="N296" s="118"/>
      <c r="O296" s="136"/>
      <c r="P296" s="272"/>
      <c r="Q296" s="272"/>
      <c r="R296" s="272"/>
      <c r="S296" s="272"/>
      <c r="T296" s="272"/>
      <c r="U296" s="272"/>
      <c r="V296" s="273"/>
      <c r="W296" s="253"/>
      <c r="X296" s="253"/>
      <c r="Y296" s="253"/>
      <c r="Z296" s="253"/>
      <c r="AA296" s="253"/>
      <c r="AB296" s="218"/>
    </row>
    <row r="297">
      <c r="A297" s="118"/>
      <c r="B297" s="118"/>
      <c r="C297" s="143"/>
      <c r="D297" s="118"/>
      <c r="E297" s="118"/>
      <c r="F297" s="262"/>
      <c r="G297" s="264"/>
      <c r="H297" s="264"/>
      <c r="I297" s="267"/>
      <c r="J297" s="118"/>
      <c r="K297" s="136"/>
      <c r="L297" s="118"/>
      <c r="M297" s="136"/>
      <c r="N297" s="118"/>
      <c r="O297" s="136"/>
      <c r="P297" s="272"/>
      <c r="Q297" s="272"/>
      <c r="R297" s="272"/>
      <c r="S297" s="272"/>
      <c r="T297" s="272"/>
      <c r="U297" s="272"/>
      <c r="V297" s="273"/>
      <c r="W297" s="253"/>
      <c r="X297" s="253"/>
      <c r="Y297" s="253"/>
      <c r="Z297" s="253"/>
      <c r="AA297" s="253"/>
      <c r="AB297" s="218"/>
    </row>
    <row r="298">
      <c r="A298" s="118"/>
      <c r="B298" s="118"/>
      <c r="C298" s="143"/>
      <c r="D298" s="118"/>
      <c r="E298" s="118"/>
      <c r="F298" s="262"/>
      <c r="G298" s="264"/>
      <c r="H298" s="264"/>
      <c r="I298" s="267"/>
      <c r="J298" s="118"/>
      <c r="K298" s="136"/>
      <c r="L298" s="118"/>
      <c r="M298" s="136"/>
      <c r="N298" s="118"/>
      <c r="O298" s="136"/>
      <c r="P298" s="272"/>
      <c r="Q298" s="272"/>
      <c r="R298" s="272"/>
      <c r="S298" s="272"/>
      <c r="T298" s="272"/>
      <c r="U298" s="272"/>
      <c r="V298" s="273"/>
      <c r="W298" s="253"/>
      <c r="X298" s="253"/>
      <c r="Y298" s="253"/>
      <c r="Z298" s="253"/>
      <c r="AA298" s="253"/>
      <c r="AB298" s="218"/>
    </row>
    <row r="299">
      <c r="A299" s="118"/>
      <c r="B299" s="118"/>
      <c r="C299" s="143"/>
      <c r="D299" s="118"/>
      <c r="E299" s="118"/>
      <c r="F299" s="262"/>
      <c r="G299" s="264"/>
      <c r="H299" s="264"/>
      <c r="I299" s="267"/>
      <c r="J299" s="118"/>
      <c r="K299" s="136"/>
      <c r="L299" s="118"/>
      <c r="M299" s="136"/>
      <c r="N299" s="118"/>
      <c r="O299" s="136"/>
      <c r="P299" s="272"/>
      <c r="Q299" s="272"/>
      <c r="R299" s="272"/>
      <c r="S299" s="272"/>
      <c r="T299" s="272"/>
      <c r="U299" s="272"/>
      <c r="V299" s="273"/>
      <c r="W299" s="253"/>
      <c r="X299" s="253"/>
      <c r="Y299" s="253"/>
      <c r="Z299" s="253"/>
      <c r="AA299" s="253"/>
      <c r="AB299" s="218"/>
    </row>
    <row r="300">
      <c r="A300" s="118"/>
      <c r="B300" s="118"/>
      <c r="C300" s="143"/>
      <c r="D300" s="118"/>
      <c r="E300" s="118"/>
      <c r="F300" s="262"/>
      <c r="G300" s="264"/>
      <c r="H300" s="264"/>
      <c r="I300" s="267"/>
      <c r="J300" s="118"/>
      <c r="K300" s="136"/>
      <c r="L300" s="118"/>
      <c r="M300" s="136"/>
      <c r="N300" s="118"/>
      <c r="O300" s="136"/>
      <c r="P300" s="272"/>
      <c r="Q300" s="272"/>
      <c r="R300" s="272"/>
      <c r="S300" s="272"/>
      <c r="T300" s="272"/>
      <c r="U300" s="272"/>
      <c r="V300" s="273"/>
      <c r="W300" s="253"/>
      <c r="X300" s="253"/>
      <c r="Y300" s="253"/>
      <c r="Z300" s="253"/>
      <c r="AA300" s="253"/>
      <c r="AB300" s="218"/>
    </row>
    <row r="301">
      <c r="A301" s="118"/>
      <c r="B301" s="118"/>
      <c r="C301" s="143"/>
      <c r="D301" s="118"/>
      <c r="E301" s="118"/>
      <c r="F301" s="262"/>
      <c r="G301" s="264"/>
      <c r="H301" s="264"/>
      <c r="I301" s="267"/>
      <c r="J301" s="118"/>
      <c r="K301" s="136"/>
      <c r="L301" s="118"/>
      <c r="M301" s="136"/>
      <c r="N301" s="118"/>
      <c r="O301" s="136"/>
      <c r="P301" s="272"/>
      <c r="Q301" s="272"/>
      <c r="R301" s="272"/>
      <c r="S301" s="272"/>
      <c r="T301" s="272"/>
      <c r="U301" s="272"/>
      <c r="V301" s="273"/>
      <c r="W301" s="253"/>
      <c r="X301" s="253"/>
      <c r="Y301" s="253"/>
      <c r="Z301" s="253"/>
      <c r="AA301" s="253"/>
      <c r="AB301" s="218"/>
    </row>
    <row r="302">
      <c r="A302" s="118"/>
      <c r="B302" s="118"/>
      <c r="C302" s="143"/>
      <c r="D302" s="118"/>
      <c r="E302" s="118"/>
      <c r="F302" s="262"/>
      <c r="G302" s="264"/>
      <c r="H302" s="264"/>
      <c r="I302" s="267"/>
      <c r="J302" s="118"/>
      <c r="K302" s="136"/>
      <c r="L302" s="118"/>
      <c r="M302" s="136"/>
      <c r="N302" s="118"/>
      <c r="O302" s="136"/>
      <c r="P302" s="272"/>
      <c r="Q302" s="272"/>
      <c r="R302" s="272"/>
      <c r="S302" s="272"/>
      <c r="T302" s="272"/>
      <c r="U302" s="272"/>
      <c r="V302" s="273"/>
      <c r="W302" s="253"/>
      <c r="X302" s="253"/>
      <c r="Y302" s="253"/>
      <c r="Z302" s="253"/>
      <c r="AA302" s="253"/>
      <c r="AB302" s="218"/>
    </row>
    <row r="303">
      <c r="A303" s="118"/>
      <c r="B303" s="118"/>
      <c r="C303" s="143"/>
      <c r="D303" s="118"/>
      <c r="E303" s="118"/>
      <c r="F303" s="262"/>
      <c r="G303" s="264"/>
      <c r="H303" s="264"/>
      <c r="I303" s="267"/>
      <c r="J303" s="118"/>
      <c r="K303" s="136"/>
      <c r="L303" s="118"/>
      <c r="M303" s="136"/>
      <c r="N303" s="118"/>
      <c r="O303" s="136"/>
      <c r="P303" s="272"/>
      <c r="Q303" s="272"/>
      <c r="R303" s="272"/>
      <c r="S303" s="272"/>
      <c r="T303" s="272"/>
      <c r="U303" s="272"/>
      <c r="V303" s="273"/>
      <c r="W303" s="253"/>
      <c r="X303" s="253"/>
      <c r="Y303" s="253"/>
      <c r="Z303" s="253"/>
      <c r="AA303" s="253"/>
      <c r="AB303" s="218"/>
    </row>
    <row r="304">
      <c r="A304" s="118"/>
      <c r="B304" s="118"/>
      <c r="C304" s="143"/>
      <c r="D304" s="118"/>
      <c r="E304" s="118"/>
      <c r="F304" s="262"/>
      <c r="G304" s="264"/>
      <c r="H304" s="264"/>
      <c r="I304" s="267"/>
      <c r="J304" s="118"/>
      <c r="K304" s="136"/>
      <c r="L304" s="118"/>
      <c r="M304" s="136"/>
      <c r="N304" s="118"/>
      <c r="O304" s="136"/>
      <c r="P304" s="272"/>
      <c r="Q304" s="272"/>
      <c r="R304" s="272"/>
      <c r="S304" s="272"/>
      <c r="T304" s="272"/>
      <c r="U304" s="272"/>
      <c r="V304" s="273"/>
      <c r="W304" s="253"/>
      <c r="X304" s="253"/>
      <c r="Y304" s="253"/>
      <c r="Z304" s="253"/>
      <c r="AA304" s="253"/>
      <c r="AB304" s="218"/>
    </row>
    <row r="305">
      <c r="A305" s="118"/>
      <c r="B305" s="118"/>
      <c r="C305" s="143"/>
      <c r="D305" s="118"/>
      <c r="E305" s="118"/>
      <c r="F305" s="262"/>
      <c r="G305" s="264"/>
      <c r="H305" s="264"/>
      <c r="I305" s="267"/>
      <c r="J305" s="118"/>
      <c r="K305" s="136"/>
      <c r="L305" s="118"/>
      <c r="M305" s="136"/>
      <c r="N305" s="118"/>
      <c r="O305" s="136"/>
      <c r="P305" s="272"/>
      <c r="Q305" s="272"/>
      <c r="R305" s="272"/>
      <c r="S305" s="272"/>
      <c r="T305" s="272"/>
      <c r="U305" s="272"/>
      <c r="V305" s="273"/>
      <c r="W305" s="253"/>
      <c r="X305" s="253"/>
      <c r="Y305" s="253"/>
      <c r="Z305" s="253"/>
      <c r="AA305" s="253"/>
      <c r="AB305" s="218"/>
    </row>
    <row r="306">
      <c r="A306" s="118"/>
      <c r="B306" s="118"/>
      <c r="C306" s="143"/>
      <c r="D306" s="118"/>
      <c r="E306" s="118"/>
      <c r="F306" s="262"/>
      <c r="G306" s="264"/>
      <c r="H306" s="264"/>
      <c r="I306" s="267"/>
      <c r="J306" s="118"/>
      <c r="K306" s="136"/>
      <c r="L306" s="118"/>
      <c r="M306" s="136"/>
      <c r="N306" s="118"/>
      <c r="O306" s="136"/>
      <c r="P306" s="272"/>
      <c r="Q306" s="272"/>
      <c r="R306" s="272"/>
      <c r="S306" s="272"/>
      <c r="T306" s="272"/>
      <c r="U306" s="272"/>
      <c r="V306" s="273"/>
      <c r="W306" s="253"/>
      <c r="X306" s="253"/>
      <c r="Y306" s="253"/>
      <c r="Z306" s="253"/>
      <c r="AA306" s="253"/>
      <c r="AB306" s="218"/>
    </row>
    <row r="307">
      <c r="A307" s="118"/>
      <c r="B307" s="118"/>
      <c r="C307" s="143"/>
      <c r="D307" s="118"/>
      <c r="E307" s="118"/>
      <c r="F307" s="262"/>
      <c r="G307" s="264"/>
      <c r="H307" s="264"/>
      <c r="I307" s="267"/>
      <c r="J307" s="118"/>
      <c r="K307" s="136"/>
      <c r="L307" s="118"/>
      <c r="M307" s="136"/>
      <c r="N307" s="118"/>
      <c r="O307" s="136"/>
      <c r="P307" s="272"/>
      <c r="Q307" s="272"/>
      <c r="R307" s="272"/>
      <c r="S307" s="272"/>
      <c r="T307" s="272"/>
      <c r="U307" s="272"/>
      <c r="V307" s="273"/>
      <c r="W307" s="253"/>
      <c r="X307" s="253"/>
      <c r="Y307" s="253"/>
      <c r="Z307" s="253"/>
      <c r="AA307" s="253"/>
      <c r="AB307" s="218"/>
    </row>
    <row r="308">
      <c r="A308" s="118"/>
      <c r="B308" s="118"/>
      <c r="C308" s="143"/>
      <c r="D308" s="118"/>
      <c r="E308" s="118"/>
      <c r="F308" s="262"/>
      <c r="G308" s="264"/>
      <c r="H308" s="264"/>
      <c r="I308" s="267"/>
      <c r="J308" s="118"/>
      <c r="K308" s="136"/>
      <c r="L308" s="118"/>
      <c r="M308" s="136"/>
      <c r="N308" s="118"/>
      <c r="O308" s="136"/>
      <c r="P308" s="272"/>
      <c r="Q308" s="272"/>
      <c r="R308" s="272"/>
      <c r="S308" s="272"/>
      <c r="T308" s="272"/>
      <c r="U308" s="272"/>
      <c r="V308" s="273"/>
      <c r="W308" s="253"/>
      <c r="X308" s="253"/>
      <c r="Y308" s="253"/>
      <c r="Z308" s="253"/>
      <c r="AA308" s="253"/>
      <c r="AB308" s="218"/>
    </row>
    <row r="309">
      <c r="A309" s="118"/>
      <c r="B309" s="118"/>
      <c r="C309" s="143"/>
      <c r="D309" s="118"/>
      <c r="E309" s="118"/>
      <c r="F309" s="262"/>
      <c r="G309" s="264"/>
      <c r="H309" s="264"/>
      <c r="I309" s="267"/>
      <c r="J309" s="118"/>
      <c r="K309" s="136"/>
      <c r="L309" s="118"/>
      <c r="M309" s="136"/>
      <c r="N309" s="118"/>
      <c r="O309" s="136"/>
      <c r="P309" s="272"/>
      <c r="Q309" s="272"/>
      <c r="R309" s="272"/>
      <c r="S309" s="272"/>
      <c r="T309" s="272"/>
      <c r="U309" s="272"/>
      <c r="V309" s="273"/>
      <c r="W309" s="253"/>
      <c r="X309" s="253"/>
      <c r="Y309" s="253"/>
      <c r="Z309" s="253"/>
      <c r="AA309" s="253"/>
      <c r="AB309" s="218"/>
    </row>
    <row r="310">
      <c r="A310" s="118"/>
      <c r="B310" s="118"/>
      <c r="C310" s="143"/>
      <c r="D310" s="118"/>
      <c r="E310" s="118"/>
      <c r="F310" s="262"/>
      <c r="G310" s="264"/>
      <c r="H310" s="264"/>
      <c r="I310" s="267"/>
      <c r="J310" s="118"/>
      <c r="K310" s="136"/>
      <c r="L310" s="118"/>
      <c r="M310" s="136"/>
      <c r="N310" s="118"/>
      <c r="O310" s="136"/>
      <c r="P310" s="272"/>
      <c r="Q310" s="272"/>
      <c r="R310" s="272"/>
      <c r="S310" s="272"/>
      <c r="T310" s="272"/>
      <c r="U310" s="272"/>
      <c r="V310" s="273"/>
      <c r="W310" s="253"/>
      <c r="X310" s="253"/>
      <c r="Y310" s="253"/>
      <c r="Z310" s="253"/>
      <c r="AA310" s="253"/>
      <c r="AB310" s="218"/>
    </row>
    <row r="311">
      <c r="A311" s="118"/>
      <c r="B311" s="118"/>
      <c r="C311" s="143"/>
      <c r="D311" s="118"/>
      <c r="E311" s="118"/>
      <c r="F311" s="262"/>
      <c r="G311" s="264"/>
      <c r="H311" s="264"/>
      <c r="I311" s="267"/>
      <c r="J311" s="118"/>
      <c r="K311" s="136"/>
      <c r="L311" s="118"/>
      <c r="M311" s="136"/>
      <c r="N311" s="118"/>
      <c r="O311" s="136"/>
      <c r="P311" s="272"/>
      <c r="Q311" s="272"/>
      <c r="R311" s="272"/>
      <c r="S311" s="272"/>
      <c r="T311" s="272"/>
      <c r="U311" s="272"/>
      <c r="V311" s="273"/>
      <c r="W311" s="253"/>
      <c r="X311" s="253"/>
      <c r="Y311" s="253"/>
      <c r="Z311" s="253"/>
      <c r="AA311" s="253"/>
      <c r="AB311" s="218"/>
    </row>
    <row r="312">
      <c r="A312" s="118"/>
      <c r="B312" s="118"/>
      <c r="C312" s="143"/>
      <c r="D312" s="118"/>
      <c r="E312" s="118"/>
      <c r="F312" s="262"/>
      <c r="G312" s="264"/>
      <c r="H312" s="264"/>
      <c r="I312" s="267"/>
      <c r="J312" s="118"/>
      <c r="K312" s="136"/>
      <c r="L312" s="118"/>
      <c r="M312" s="136"/>
      <c r="N312" s="118"/>
      <c r="O312" s="136"/>
      <c r="P312" s="272"/>
      <c r="Q312" s="272"/>
      <c r="R312" s="272"/>
      <c r="S312" s="272"/>
      <c r="T312" s="272"/>
      <c r="U312" s="272"/>
      <c r="V312" s="273"/>
      <c r="W312" s="253"/>
      <c r="X312" s="253"/>
      <c r="Y312" s="253"/>
      <c r="Z312" s="253"/>
      <c r="AA312" s="253"/>
      <c r="AB312" s="218"/>
    </row>
    <row r="313">
      <c r="A313" s="118"/>
      <c r="B313" s="118"/>
      <c r="C313" s="143"/>
      <c r="D313" s="118"/>
      <c r="E313" s="118"/>
      <c r="F313" s="262"/>
      <c r="G313" s="264"/>
      <c r="H313" s="264"/>
      <c r="I313" s="267"/>
      <c r="J313" s="118"/>
      <c r="K313" s="136"/>
      <c r="L313" s="118"/>
      <c r="M313" s="136"/>
      <c r="N313" s="118"/>
      <c r="O313" s="136"/>
      <c r="P313" s="272"/>
      <c r="Q313" s="272"/>
      <c r="R313" s="272"/>
      <c r="S313" s="272"/>
      <c r="T313" s="272"/>
      <c r="U313" s="272"/>
      <c r="V313" s="273"/>
      <c r="W313" s="253"/>
      <c r="X313" s="253"/>
      <c r="Y313" s="253"/>
      <c r="Z313" s="253"/>
      <c r="AA313" s="253"/>
      <c r="AB313" s="218"/>
    </row>
    <row r="314">
      <c r="A314" s="118"/>
      <c r="B314" s="118"/>
      <c r="C314" s="143"/>
      <c r="D314" s="118"/>
      <c r="E314" s="118"/>
      <c r="F314" s="262"/>
      <c r="G314" s="264"/>
      <c r="H314" s="264"/>
      <c r="I314" s="267"/>
      <c r="J314" s="118"/>
      <c r="K314" s="136"/>
      <c r="L314" s="118"/>
      <c r="M314" s="136"/>
      <c r="N314" s="118"/>
      <c r="O314" s="136"/>
      <c r="P314" s="272"/>
      <c r="Q314" s="272"/>
      <c r="R314" s="272"/>
      <c r="S314" s="272"/>
      <c r="T314" s="272"/>
      <c r="U314" s="272"/>
      <c r="V314" s="273"/>
      <c r="W314" s="253"/>
      <c r="X314" s="253"/>
      <c r="Y314" s="253"/>
      <c r="Z314" s="253"/>
      <c r="AA314" s="253"/>
      <c r="AB314" s="218"/>
    </row>
    <row r="315">
      <c r="A315" s="118"/>
      <c r="B315" s="118"/>
      <c r="C315" s="143"/>
      <c r="D315" s="118"/>
      <c r="E315" s="118"/>
      <c r="F315" s="262"/>
      <c r="G315" s="264"/>
      <c r="H315" s="264"/>
      <c r="I315" s="267"/>
      <c r="J315" s="118"/>
      <c r="K315" s="136"/>
      <c r="L315" s="118"/>
      <c r="M315" s="136"/>
      <c r="N315" s="118"/>
      <c r="O315" s="136"/>
      <c r="P315" s="272"/>
      <c r="Q315" s="272"/>
      <c r="R315" s="272"/>
      <c r="S315" s="272"/>
      <c r="T315" s="272"/>
      <c r="U315" s="272"/>
      <c r="V315" s="273"/>
      <c r="W315" s="253"/>
      <c r="X315" s="253"/>
      <c r="Y315" s="253"/>
      <c r="Z315" s="253"/>
      <c r="AA315" s="253"/>
      <c r="AB315" s="218"/>
    </row>
    <row r="316">
      <c r="A316" s="118"/>
      <c r="B316" s="118"/>
      <c r="C316" s="143"/>
      <c r="D316" s="118"/>
      <c r="E316" s="118"/>
      <c r="F316" s="262"/>
      <c r="G316" s="264"/>
      <c r="H316" s="264"/>
      <c r="I316" s="267"/>
      <c r="J316" s="118"/>
      <c r="K316" s="136"/>
      <c r="L316" s="118"/>
      <c r="M316" s="136"/>
      <c r="N316" s="118"/>
      <c r="O316" s="136"/>
      <c r="P316" s="272"/>
      <c r="Q316" s="272"/>
      <c r="R316" s="272"/>
      <c r="S316" s="272"/>
      <c r="T316" s="272"/>
      <c r="U316" s="272"/>
      <c r="V316" s="273"/>
      <c r="W316" s="253"/>
      <c r="X316" s="253"/>
      <c r="Y316" s="253"/>
      <c r="Z316" s="253"/>
      <c r="AA316" s="253"/>
      <c r="AB316" s="218"/>
    </row>
    <row r="317">
      <c r="A317" s="118"/>
      <c r="B317" s="118"/>
      <c r="C317" s="143"/>
      <c r="D317" s="118"/>
      <c r="E317" s="118"/>
      <c r="F317" s="262"/>
      <c r="G317" s="264"/>
      <c r="H317" s="264"/>
      <c r="I317" s="267"/>
      <c r="J317" s="118"/>
      <c r="K317" s="136"/>
      <c r="L317" s="118"/>
      <c r="M317" s="136"/>
      <c r="N317" s="118"/>
      <c r="O317" s="136"/>
      <c r="P317" s="272"/>
      <c r="Q317" s="272"/>
      <c r="R317" s="272"/>
      <c r="S317" s="272"/>
      <c r="T317" s="272"/>
      <c r="U317" s="272"/>
      <c r="V317" s="273"/>
      <c r="W317" s="253"/>
      <c r="X317" s="253"/>
      <c r="Y317" s="253"/>
      <c r="Z317" s="253"/>
      <c r="AA317" s="253"/>
      <c r="AB317" s="218"/>
    </row>
    <row r="318">
      <c r="A318" s="118"/>
      <c r="B318" s="118"/>
      <c r="C318" s="143"/>
      <c r="D318" s="118"/>
      <c r="E318" s="118"/>
      <c r="F318" s="262"/>
      <c r="G318" s="264"/>
      <c r="H318" s="264"/>
      <c r="I318" s="267"/>
      <c r="J318" s="118"/>
      <c r="K318" s="136"/>
      <c r="L318" s="118"/>
      <c r="M318" s="136"/>
      <c r="N318" s="118"/>
      <c r="O318" s="136"/>
      <c r="P318" s="272"/>
      <c r="Q318" s="272"/>
      <c r="R318" s="272"/>
      <c r="S318" s="272"/>
      <c r="T318" s="272"/>
      <c r="U318" s="272"/>
      <c r="V318" s="273"/>
      <c r="W318" s="253"/>
      <c r="X318" s="253"/>
      <c r="Y318" s="253"/>
      <c r="Z318" s="253"/>
      <c r="AA318" s="253"/>
      <c r="AB318" s="218"/>
    </row>
    <row r="319">
      <c r="A319" s="118"/>
      <c r="B319" s="118"/>
      <c r="C319" s="143"/>
      <c r="D319" s="118"/>
      <c r="E319" s="118"/>
      <c r="F319" s="262"/>
      <c r="G319" s="264"/>
      <c r="H319" s="264"/>
      <c r="I319" s="267"/>
      <c r="J319" s="118"/>
      <c r="K319" s="136"/>
      <c r="L319" s="118"/>
      <c r="M319" s="136"/>
      <c r="N319" s="118"/>
      <c r="O319" s="136"/>
      <c r="P319" s="272"/>
      <c r="Q319" s="272"/>
      <c r="R319" s="272"/>
      <c r="S319" s="272"/>
      <c r="T319" s="272"/>
      <c r="U319" s="272"/>
      <c r="V319" s="273"/>
      <c r="W319" s="253"/>
      <c r="X319" s="253"/>
      <c r="Y319" s="253"/>
      <c r="Z319" s="253"/>
      <c r="AA319" s="253"/>
      <c r="AB319" s="218"/>
    </row>
    <row r="320">
      <c r="A320" s="118"/>
      <c r="B320" s="118"/>
      <c r="C320" s="143"/>
      <c r="D320" s="118"/>
      <c r="E320" s="118"/>
      <c r="F320" s="262"/>
      <c r="G320" s="264"/>
      <c r="H320" s="264"/>
      <c r="I320" s="267"/>
      <c r="J320" s="118"/>
      <c r="K320" s="136"/>
      <c r="L320" s="118"/>
      <c r="M320" s="136"/>
      <c r="N320" s="118"/>
      <c r="O320" s="136"/>
      <c r="P320" s="272"/>
      <c r="Q320" s="272"/>
      <c r="R320" s="272"/>
      <c r="S320" s="272"/>
      <c r="T320" s="272"/>
      <c r="U320" s="272"/>
      <c r="V320" s="273"/>
      <c r="W320" s="253"/>
      <c r="X320" s="253"/>
      <c r="Y320" s="253"/>
      <c r="Z320" s="253"/>
      <c r="AA320" s="253"/>
      <c r="AB320" s="218"/>
    </row>
    <row r="321">
      <c r="A321" s="118"/>
      <c r="B321" s="118"/>
      <c r="C321" s="143"/>
      <c r="D321" s="118"/>
      <c r="E321" s="118"/>
      <c r="F321" s="262"/>
      <c r="G321" s="264"/>
      <c r="H321" s="264"/>
      <c r="I321" s="267"/>
      <c r="J321" s="118"/>
      <c r="K321" s="136"/>
      <c r="L321" s="118"/>
      <c r="M321" s="136"/>
      <c r="N321" s="118"/>
      <c r="O321" s="136"/>
      <c r="P321" s="272"/>
      <c r="Q321" s="272"/>
      <c r="R321" s="272"/>
      <c r="S321" s="272"/>
      <c r="T321" s="272"/>
      <c r="U321" s="272"/>
      <c r="V321" s="273"/>
      <c r="W321" s="253"/>
      <c r="X321" s="253"/>
      <c r="Y321" s="253"/>
      <c r="Z321" s="253"/>
      <c r="AA321" s="253"/>
      <c r="AB321" s="218"/>
    </row>
    <row r="322">
      <c r="A322" s="118"/>
      <c r="B322" s="118"/>
      <c r="C322" s="143"/>
      <c r="D322" s="118"/>
      <c r="E322" s="118"/>
      <c r="F322" s="262"/>
      <c r="G322" s="264"/>
      <c r="H322" s="264"/>
      <c r="I322" s="267"/>
      <c r="J322" s="118"/>
      <c r="K322" s="136"/>
      <c r="L322" s="118"/>
      <c r="M322" s="136"/>
      <c r="N322" s="118"/>
      <c r="O322" s="136"/>
      <c r="P322" s="272"/>
      <c r="Q322" s="272"/>
      <c r="R322" s="272"/>
      <c r="S322" s="272"/>
      <c r="T322" s="272"/>
      <c r="U322" s="272"/>
      <c r="V322" s="273"/>
      <c r="W322" s="253"/>
      <c r="X322" s="253"/>
      <c r="Y322" s="253"/>
      <c r="Z322" s="253"/>
      <c r="AA322" s="253"/>
      <c r="AB322" s="218"/>
    </row>
    <row r="323">
      <c r="A323" s="118"/>
      <c r="B323" s="118"/>
      <c r="C323" s="143"/>
      <c r="D323" s="118"/>
      <c r="E323" s="118"/>
      <c r="F323" s="262"/>
      <c r="G323" s="264"/>
      <c r="H323" s="264"/>
      <c r="I323" s="267"/>
      <c r="J323" s="118"/>
      <c r="K323" s="136"/>
      <c r="L323" s="118"/>
      <c r="M323" s="136"/>
      <c r="N323" s="118"/>
      <c r="O323" s="136"/>
      <c r="P323" s="272"/>
      <c r="Q323" s="272"/>
      <c r="R323" s="272"/>
      <c r="S323" s="272"/>
      <c r="T323" s="272"/>
      <c r="U323" s="272"/>
      <c r="V323" s="273"/>
      <c r="W323" s="253"/>
      <c r="X323" s="253"/>
      <c r="Y323" s="253"/>
      <c r="Z323" s="253"/>
      <c r="AA323" s="253"/>
      <c r="AB323" s="218"/>
    </row>
    <row r="324">
      <c r="A324" s="118"/>
      <c r="B324" s="118"/>
      <c r="C324" s="143"/>
      <c r="D324" s="118"/>
      <c r="E324" s="118"/>
      <c r="F324" s="262"/>
      <c r="G324" s="264"/>
      <c r="H324" s="264"/>
      <c r="I324" s="267"/>
      <c r="J324" s="118"/>
      <c r="K324" s="136"/>
      <c r="L324" s="118"/>
      <c r="M324" s="136"/>
      <c r="N324" s="118"/>
      <c r="O324" s="136"/>
      <c r="P324" s="272"/>
      <c r="Q324" s="272"/>
      <c r="R324" s="272"/>
      <c r="S324" s="272"/>
      <c r="T324" s="272"/>
      <c r="U324" s="272"/>
      <c r="V324" s="273"/>
      <c r="W324" s="253"/>
      <c r="X324" s="253"/>
      <c r="Y324" s="253"/>
      <c r="Z324" s="253"/>
      <c r="AA324" s="253"/>
      <c r="AB324" s="218"/>
    </row>
    <row r="325">
      <c r="A325" s="118"/>
      <c r="B325" s="118"/>
      <c r="C325" s="143"/>
      <c r="D325" s="118"/>
      <c r="E325" s="118"/>
      <c r="F325" s="262"/>
      <c r="G325" s="264"/>
      <c r="H325" s="264"/>
      <c r="I325" s="267"/>
      <c r="J325" s="118"/>
      <c r="K325" s="136"/>
      <c r="L325" s="118"/>
      <c r="M325" s="136"/>
      <c r="N325" s="118"/>
      <c r="O325" s="136"/>
      <c r="P325" s="272"/>
      <c r="Q325" s="272"/>
      <c r="R325" s="272"/>
      <c r="S325" s="272"/>
      <c r="T325" s="272"/>
      <c r="U325" s="272"/>
      <c r="V325" s="273"/>
      <c r="W325" s="253"/>
      <c r="X325" s="253"/>
      <c r="Y325" s="253"/>
      <c r="Z325" s="253"/>
      <c r="AA325" s="253"/>
      <c r="AB325" s="218"/>
    </row>
    <row r="326">
      <c r="A326" s="118"/>
      <c r="B326" s="118"/>
      <c r="C326" s="143"/>
      <c r="D326" s="118"/>
      <c r="E326" s="118"/>
      <c r="F326" s="262"/>
      <c r="G326" s="264"/>
      <c r="H326" s="264"/>
      <c r="I326" s="267"/>
      <c r="J326" s="118"/>
      <c r="K326" s="136"/>
      <c r="L326" s="118"/>
      <c r="M326" s="136"/>
      <c r="N326" s="118"/>
      <c r="O326" s="136"/>
      <c r="P326" s="272"/>
      <c r="Q326" s="272"/>
      <c r="R326" s="272"/>
      <c r="S326" s="272"/>
      <c r="T326" s="272"/>
      <c r="U326" s="272"/>
      <c r="V326" s="273"/>
      <c r="W326" s="253"/>
      <c r="X326" s="253"/>
      <c r="Y326" s="253"/>
      <c r="Z326" s="253"/>
      <c r="AA326" s="253"/>
      <c r="AB326" s="218"/>
    </row>
    <row r="327">
      <c r="A327" s="118"/>
      <c r="B327" s="118"/>
      <c r="C327" s="143"/>
      <c r="D327" s="118"/>
      <c r="E327" s="118"/>
      <c r="F327" s="262"/>
      <c r="G327" s="264"/>
      <c r="H327" s="264"/>
      <c r="I327" s="267"/>
      <c r="J327" s="118"/>
      <c r="K327" s="136"/>
      <c r="L327" s="118"/>
      <c r="M327" s="136"/>
      <c r="N327" s="118"/>
      <c r="O327" s="136"/>
      <c r="P327" s="272"/>
      <c r="Q327" s="272"/>
      <c r="R327" s="272"/>
      <c r="S327" s="272"/>
      <c r="T327" s="272"/>
      <c r="U327" s="272"/>
      <c r="V327" s="273"/>
      <c r="W327" s="253"/>
      <c r="X327" s="253"/>
      <c r="Y327" s="253"/>
      <c r="Z327" s="253"/>
      <c r="AA327" s="253"/>
      <c r="AB327" s="218"/>
    </row>
    <row r="328">
      <c r="A328" s="118"/>
      <c r="B328" s="118"/>
      <c r="C328" s="143"/>
      <c r="D328" s="118"/>
      <c r="E328" s="118"/>
      <c r="F328" s="262"/>
      <c r="G328" s="264"/>
      <c r="H328" s="264"/>
      <c r="I328" s="267"/>
      <c r="J328" s="118"/>
      <c r="K328" s="136"/>
      <c r="L328" s="118"/>
      <c r="M328" s="136"/>
      <c r="N328" s="118"/>
      <c r="O328" s="136"/>
      <c r="P328" s="272"/>
      <c r="Q328" s="272"/>
      <c r="R328" s="272"/>
      <c r="S328" s="272"/>
      <c r="T328" s="272"/>
      <c r="U328" s="272"/>
      <c r="V328" s="273"/>
      <c r="W328" s="253"/>
      <c r="X328" s="253"/>
      <c r="Y328" s="253"/>
      <c r="Z328" s="253"/>
      <c r="AA328" s="253"/>
      <c r="AB328" s="218"/>
    </row>
    <row r="329">
      <c r="A329" s="118"/>
      <c r="B329" s="118"/>
      <c r="C329" s="143"/>
      <c r="D329" s="118"/>
      <c r="E329" s="118"/>
      <c r="F329" s="262"/>
      <c r="G329" s="264"/>
      <c r="H329" s="264"/>
      <c r="I329" s="267"/>
      <c r="J329" s="118"/>
      <c r="K329" s="136"/>
      <c r="L329" s="118"/>
      <c r="M329" s="136"/>
      <c r="N329" s="118"/>
      <c r="O329" s="136"/>
      <c r="P329" s="272"/>
      <c r="Q329" s="272"/>
      <c r="R329" s="272"/>
      <c r="S329" s="272"/>
      <c r="T329" s="272"/>
      <c r="U329" s="272"/>
      <c r="V329" s="273"/>
      <c r="W329" s="253"/>
      <c r="X329" s="253"/>
      <c r="Y329" s="253"/>
      <c r="Z329" s="253"/>
      <c r="AA329" s="253"/>
      <c r="AB329" s="218"/>
    </row>
    <row r="330">
      <c r="A330" s="118"/>
      <c r="B330" s="118"/>
      <c r="C330" s="143"/>
      <c r="D330" s="118"/>
      <c r="E330" s="118"/>
      <c r="F330" s="262"/>
      <c r="G330" s="264"/>
      <c r="H330" s="264"/>
      <c r="I330" s="267"/>
      <c r="J330" s="118"/>
      <c r="K330" s="136"/>
      <c r="L330" s="118"/>
      <c r="M330" s="136"/>
      <c r="N330" s="118"/>
      <c r="O330" s="136"/>
      <c r="P330" s="272"/>
      <c r="Q330" s="272"/>
      <c r="R330" s="272"/>
      <c r="S330" s="272"/>
      <c r="T330" s="272"/>
      <c r="U330" s="272"/>
      <c r="V330" s="273"/>
      <c r="W330" s="253"/>
      <c r="X330" s="253"/>
      <c r="Y330" s="253"/>
      <c r="Z330" s="253"/>
      <c r="AA330" s="253"/>
      <c r="AB330" s="218"/>
    </row>
    <row r="331">
      <c r="A331" s="118"/>
      <c r="B331" s="118"/>
      <c r="C331" s="143"/>
      <c r="D331" s="118"/>
      <c r="E331" s="118"/>
      <c r="F331" s="262"/>
      <c r="G331" s="264"/>
      <c r="H331" s="264"/>
      <c r="I331" s="267"/>
      <c r="J331" s="118"/>
      <c r="K331" s="136"/>
      <c r="L331" s="118"/>
      <c r="M331" s="136"/>
      <c r="N331" s="118"/>
      <c r="O331" s="136"/>
      <c r="P331" s="272"/>
      <c r="Q331" s="272"/>
      <c r="R331" s="272"/>
      <c r="S331" s="272"/>
      <c r="T331" s="272"/>
      <c r="U331" s="272"/>
      <c r="V331" s="273"/>
      <c r="W331" s="253"/>
      <c r="X331" s="253"/>
      <c r="Y331" s="253"/>
      <c r="Z331" s="253"/>
      <c r="AA331" s="253"/>
      <c r="AB331" s="218"/>
    </row>
    <row r="332">
      <c r="A332" s="118"/>
      <c r="B332" s="118"/>
      <c r="C332" s="143"/>
      <c r="D332" s="118"/>
      <c r="E332" s="118"/>
      <c r="F332" s="262"/>
      <c r="G332" s="264"/>
      <c r="H332" s="264"/>
      <c r="I332" s="267"/>
      <c r="J332" s="118"/>
      <c r="K332" s="136"/>
      <c r="L332" s="118"/>
      <c r="M332" s="136"/>
      <c r="N332" s="118"/>
      <c r="O332" s="136"/>
      <c r="P332" s="272"/>
      <c r="Q332" s="272"/>
      <c r="R332" s="272"/>
      <c r="S332" s="272"/>
      <c r="T332" s="272"/>
      <c r="U332" s="272"/>
      <c r="V332" s="273"/>
      <c r="W332" s="253"/>
      <c r="X332" s="253"/>
      <c r="Y332" s="253"/>
      <c r="Z332" s="253"/>
      <c r="AA332" s="253"/>
      <c r="AB332" s="218"/>
    </row>
    <row r="333">
      <c r="A333" s="118"/>
      <c r="B333" s="118"/>
      <c r="C333" s="143"/>
      <c r="D333" s="118"/>
      <c r="E333" s="118"/>
      <c r="F333" s="262"/>
      <c r="G333" s="264"/>
      <c r="H333" s="264"/>
      <c r="I333" s="267"/>
      <c r="J333" s="118"/>
      <c r="K333" s="136"/>
      <c r="L333" s="118"/>
      <c r="M333" s="136"/>
      <c r="N333" s="118"/>
      <c r="O333" s="136"/>
      <c r="P333" s="272"/>
      <c r="Q333" s="272"/>
      <c r="R333" s="272"/>
      <c r="S333" s="272"/>
      <c r="T333" s="272"/>
      <c r="U333" s="272"/>
      <c r="V333" s="273"/>
      <c r="W333" s="253"/>
      <c r="X333" s="253"/>
      <c r="Y333" s="253"/>
      <c r="Z333" s="253"/>
      <c r="AA333" s="253"/>
      <c r="AB333" s="218"/>
    </row>
    <row r="334">
      <c r="A334" s="118"/>
      <c r="B334" s="118"/>
      <c r="C334" s="143"/>
      <c r="D334" s="118"/>
      <c r="E334" s="118"/>
      <c r="F334" s="262"/>
      <c r="G334" s="264"/>
      <c r="H334" s="264"/>
      <c r="I334" s="267"/>
      <c r="J334" s="118"/>
      <c r="K334" s="136"/>
      <c r="L334" s="118"/>
      <c r="M334" s="136"/>
      <c r="N334" s="118"/>
      <c r="O334" s="136"/>
      <c r="P334" s="272"/>
      <c r="Q334" s="272"/>
      <c r="R334" s="272"/>
      <c r="S334" s="272"/>
      <c r="T334" s="272"/>
      <c r="U334" s="272"/>
      <c r="V334" s="273"/>
      <c r="W334" s="253"/>
      <c r="X334" s="253"/>
      <c r="Y334" s="253"/>
      <c r="Z334" s="253"/>
      <c r="AA334" s="253"/>
      <c r="AB334" s="218"/>
    </row>
    <row r="335">
      <c r="A335" s="118"/>
      <c r="B335" s="118"/>
      <c r="C335" s="143"/>
      <c r="D335" s="118"/>
      <c r="E335" s="118"/>
      <c r="F335" s="262"/>
      <c r="G335" s="264"/>
      <c r="H335" s="264"/>
      <c r="I335" s="267"/>
      <c r="J335" s="118"/>
      <c r="K335" s="136"/>
      <c r="L335" s="118"/>
      <c r="M335" s="136"/>
      <c r="N335" s="118"/>
      <c r="O335" s="136"/>
      <c r="P335" s="272"/>
      <c r="Q335" s="272"/>
      <c r="R335" s="272"/>
      <c r="S335" s="272"/>
      <c r="T335" s="272"/>
      <c r="U335" s="272"/>
      <c r="V335" s="273"/>
      <c r="W335" s="253"/>
      <c r="X335" s="253"/>
      <c r="Y335" s="253"/>
      <c r="Z335" s="253"/>
      <c r="AA335" s="253"/>
      <c r="AB335" s="218"/>
    </row>
    <row r="336">
      <c r="A336" s="118"/>
      <c r="B336" s="118"/>
      <c r="C336" s="143"/>
      <c r="D336" s="118"/>
      <c r="E336" s="118"/>
      <c r="F336" s="262"/>
      <c r="G336" s="264"/>
      <c r="H336" s="264"/>
      <c r="I336" s="267"/>
      <c r="J336" s="118"/>
      <c r="K336" s="136"/>
      <c r="L336" s="118"/>
      <c r="M336" s="136"/>
      <c r="N336" s="118"/>
      <c r="O336" s="136"/>
      <c r="P336" s="272"/>
      <c r="Q336" s="272"/>
      <c r="R336" s="272"/>
      <c r="S336" s="272"/>
      <c r="T336" s="272"/>
      <c r="U336" s="272"/>
      <c r="V336" s="273"/>
      <c r="W336" s="253"/>
      <c r="X336" s="253"/>
      <c r="Y336" s="253"/>
      <c r="Z336" s="253"/>
      <c r="AA336" s="253"/>
      <c r="AB336" s="218"/>
    </row>
    <row r="337">
      <c r="A337" s="118"/>
      <c r="B337" s="118"/>
      <c r="C337" s="143"/>
      <c r="D337" s="118"/>
      <c r="E337" s="118"/>
      <c r="F337" s="262"/>
      <c r="G337" s="264"/>
      <c r="H337" s="264"/>
      <c r="I337" s="267"/>
      <c r="J337" s="118"/>
      <c r="K337" s="136"/>
      <c r="L337" s="118"/>
      <c r="M337" s="136"/>
      <c r="N337" s="118"/>
      <c r="O337" s="136"/>
      <c r="P337" s="272"/>
      <c r="Q337" s="272"/>
      <c r="R337" s="272"/>
      <c r="S337" s="272"/>
      <c r="T337" s="272"/>
      <c r="U337" s="272"/>
      <c r="V337" s="273"/>
      <c r="W337" s="253"/>
      <c r="X337" s="253"/>
      <c r="Y337" s="253"/>
      <c r="Z337" s="253"/>
      <c r="AA337" s="253"/>
      <c r="AB337" s="218"/>
    </row>
    <row r="338">
      <c r="A338" s="118"/>
      <c r="B338" s="118"/>
      <c r="C338" s="143"/>
      <c r="D338" s="118"/>
      <c r="E338" s="118"/>
      <c r="F338" s="262"/>
      <c r="G338" s="264"/>
      <c r="H338" s="264"/>
      <c r="I338" s="267"/>
      <c r="J338" s="118"/>
      <c r="K338" s="136"/>
      <c r="L338" s="118"/>
      <c r="M338" s="136"/>
      <c r="N338" s="118"/>
      <c r="O338" s="136"/>
      <c r="P338" s="272"/>
      <c r="Q338" s="272"/>
      <c r="R338" s="272"/>
      <c r="S338" s="272"/>
      <c r="T338" s="272"/>
      <c r="U338" s="272"/>
      <c r="V338" s="273"/>
      <c r="W338" s="253"/>
      <c r="X338" s="253"/>
      <c r="Y338" s="253"/>
      <c r="Z338" s="253"/>
      <c r="AA338" s="253"/>
      <c r="AB338" s="218"/>
    </row>
    <row r="339">
      <c r="A339" s="118"/>
      <c r="B339" s="118"/>
      <c r="C339" s="143"/>
      <c r="D339" s="118"/>
      <c r="E339" s="118"/>
      <c r="F339" s="262"/>
      <c r="G339" s="264"/>
      <c r="H339" s="264"/>
      <c r="I339" s="267"/>
      <c r="J339" s="118"/>
      <c r="K339" s="136"/>
      <c r="L339" s="118"/>
      <c r="M339" s="136"/>
      <c r="N339" s="118"/>
      <c r="O339" s="136"/>
      <c r="P339" s="272"/>
      <c r="Q339" s="272"/>
      <c r="R339" s="272"/>
      <c r="S339" s="272"/>
      <c r="T339" s="272"/>
      <c r="U339" s="272"/>
      <c r="V339" s="273"/>
      <c r="W339" s="253"/>
      <c r="X339" s="253"/>
      <c r="Y339" s="253"/>
      <c r="Z339" s="253"/>
      <c r="AA339" s="253"/>
      <c r="AB339" s="218"/>
    </row>
    <row r="340">
      <c r="A340" s="118"/>
      <c r="B340" s="118"/>
      <c r="C340" s="143"/>
      <c r="D340" s="118"/>
      <c r="E340" s="118"/>
      <c r="F340" s="262"/>
      <c r="G340" s="264"/>
      <c r="H340" s="264"/>
      <c r="I340" s="267"/>
      <c r="J340" s="118"/>
      <c r="K340" s="136"/>
      <c r="L340" s="118"/>
      <c r="M340" s="136"/>
      <c r="N340" s="118"/>
      <c r="O340" s="136"/>
      <c r="P340" s="272"/>
      <c r="Q340" s="272"/>
      <c r="R340" s="272"/>
      <c r="S340" s="272"/>
      <c r="T340" s="272"/>
      <c r="U340" s="272"/>
      <c r="V340" s="273"/>
      <c r="W340" s="253"/>
      <c r="X340" s="253"/>
      <c r="Y340" s="253"/>
      <c r="Z340" s="253"/>
      <c r="AA340" s="253"/>
      <c r="AB340" s="218"/>
    </row>
    <row r="341">
      <c r="A341" s="118"/>
      <c r="B341" s="118"/>
      <c r="C341" s="143"/>
      <c r="D341" s="118"/>
      <c r="E341" s="118"/>
      <c r="F341" s="262"/>
      <c r="G341" s="264"/>
      <c r="H341" s="264"/>
      <c r="I341" s="267"/>
      <c r="J341" s="118"/>
      <c r="K341" s="136"/>
      <c r="L341" s="118"/>
      <c r="M341" s="136"/>
      <c r="N341" s="118"/>
      <c r="O341" s="136"/>
      <c r="P341" s="272"/>
      <c r="Q341" s="272"/>
      <c r="R341" s="272"/>
      <c r="S341" s="272"/>
      <c r="T341" s="272"/>
      <c r="U341" s="272"/>
      <c r="V341" s="273"/>
      <c r="W341" s="253"/>
      <c r="X341" s="253"/>
      <c r="Y341" s="253"/>
      <c r="Z341" s="253"/>
      <c r="AA341" s="253"/>
      <c r="AB341" s="218"/>
    </row>
    <row r="342">
      <c r="A342" s="118"/>
      <c r="B342" s="118"/>
      <c r="C342" s="143"/>
      <c r="D342" s="118"/>
      <c r="E342" s="118"/>
      <c r="F342" s="262"/>
      <c r="G342" s="264"/>
      <c r="H342" s="264"/>
      <c r="I342" s="267"/>
      <c r="J342" s="118"/>
      <c r="K342" s="136"/>
      <c r="L342" s="118"/>
      <c r="M342" s="136"/>
      <c r="N342" s="118"/>
      <c r="O342" s="136"/>
      <c r="P342" s="272"/>
      <c r="Q342" s="272"/>
      <c r="R342" s="272"/>
      <c r="S342" s="272"/>
      <c r="T342" s="272"/>
      <c r="U342" s="272"/>
      <c r="V342" s="273"/>
      <c r="W342" s="253"/>
      <c r="X342" s="253"/>
      <c r="Y342" s="253"/>
      <c r="Z342" s="253"/>
      <c r="AA342" s="253"/>
      <c r="AB342" s="218"/>
    </row>
    <row r="343">
      <c r="A343" s="118"/>
      <c r="B343" s="118"/>
      <c r="C343" s="143"/>
      <c r="D343" s="118"/>
      <c r="E343" s="118"/>
      <c r="F343" s="262"/>
      <c r="G343" s="264"/>
      <c r="H343" s="264"/>
      <c r="I343" s="267"/>
      <c r="J343" s="118"/>
      <c r="K343" s="136"/>
      <c r="L343" s="118"/>
      <c r="M343" s="136"/>
      <c r="N343" s="118"/>
      <c r="O343" s="136"/>
      <c r="P343" s="272"/>
      <c r="Q343" s="272"/>
      <c r="R343" s="272"/>
      <c r="S343" s="272"/>
      <c r="T343" s="272"/>
      <c r="U343" s="272"/>
      <c r="V343" s="273"/>
      <c r="W343" s="253"/>
      <c r="X343" s="253"/>
      <c r="Y343" s="253"/>
      <c r="Z343" s="253"/>
      <c r="AA343" s="253"/>
      <c r="AB343" s="218"/>
    </row>
    <row r="344">
      <c r="A344" s="118"/>
      <c r="B344" s="118"/>
      <c r="C344" s="143"/>
      <c r="D344" s="118"/>
      <c r="E344" s="118"/>
      <c r="F344" s="262"/>
      <c r="G344" s="264"/>
      <c r="H344" s="264"/>
      <c r="I344" s="267"/>
      <c r="J344" s="118"/>
      <c r="K344" s="136"/>
      <c r="L344" s="118"/>
      <c r="M344" s="136"/>
      <c r="N344" s="118"/>
      <c r="O344" s="136"/>
      <c r="P344" s="272"/>
      <c r="Q344" s="272"/>
      <c r="R344" s="272"/>
      <c r="S344" s="272"/>
      <c r="T344" s="272"/>
      <c r="U344" s="272"/>
      <c r="V344" s="273"/>
      <c r="W344" s="253"/>
      <c r="X344" s="253"/>
      <c r="Y344" s="253"/>
      <c r="Z344" s="253"/>
      <c r="AA344" s="253"/>
      <c r="AB344" s="218"/>
    </row>
    <row r="345">
      <c r="A345" s="118"/>
      <c r="B345" s="118"/>
      <c r="C345" s="143"/>
      <c r="D345" s="118"/>
      <c r="E345" s="118"/>
      <c r="F345" s="262"/>
      <c r="G345" s="264"/>
      <c r="H345" s="264"/>
      <c r="I345" s="267"/>
      <c r="J345" s="118"/>
      <c r="K345" s="136"/>
      <c r="L345" s="118"/>
      <c r="M345" s="136"/>
      <c r="N345" s="118"/>
      <c r="O345" s="136"/>
      <c r="P345" s="272"/>
      <c r="Q345" s="272"/>
      <c r="R345" s="272"/>
      <c r="S345" s="272"/>
      <c r="T345" s="272"/>
      <c r="U345" s="272"/>
      <c r="V345" s="273"/>
      <c r="W345" s="253"/>
      <c r="X345" s="253"/>
      <c r="Y345" s="253"/>
      <c r="Z345" s="253"/>
      <c r="AA345" s="253"/>
      <c r="AB345" s="218"/>
    </row>
    <row r="346">
      <c r="A346" s="118"/>
      <c r="B346" s="118"/>
      <c r="C346" s="143"/>
      <c r="D346" s="118"/>
      <c r="E346" s="118"/>
      <c r="F346" s="262"/>
      <c r="G346" s="264"/>
      <c r="H346" s="264"/>
      <c r="I346" s="267"/>
      <c r="J346" s="118"/>
      <c r="K346" s="136"/>
      <c r="L346" s="118"/>
      <c r="M346" s="136"/>
      <c r="N346" s="118"/>
      <c r="O346" s="136"/>
      <c r="P346" s="272"/>
      <c r="Q346" s="272"/>
      <c r="R346" s="272"/>
      <c r="S346" s="272"/>
      <c r="T346" s="272"/>
      <c r="U346" s="272"/>
      <c r="V346" s="273"/>
      <c r="W346" s="253"/>
      <c r="X346" s="253"/>
      <c r="Y346" s="253"/>
      <c r="Z346" s="253"/>
      <c r="AA346" s="253"/>
      <c r="AB346" s="218"/>
    </row>
    <row r="347">
      <c r="A347" s="118"/>
      <c r="B347" s="118"/>
      <c r="C347" s="143"/>
      <c r="D347" s="118"/>
      <c r="E347" s="118"/>
      <c r="F347" s="262"/>
      <c r="G347" s="264"/>
      <c r="H347" s="264"/>
      <c r="I347" s="267"/>
      <c r="J347" s="118"/>
      <c r="K347" s="136"/>
      <c r="L347" s="118"/>
      <c r="M347" s="136"/>
      <c r="N347" s="118"/>
      <c r="O347" s="136"/>
      <c r="P347" s="272"/>
      <c r="Q347" s="272"/>
      <c r="R347" s="272"/>
      <c r="S347" s="272"/>
      <c r="T347" s="272"/>
      <c r="U347" s="272"/>
      <c r="V347" s="273"/>
      <c r="W347" s="253"/>
      <c r="X347" s="253"/>
      <c r="Y347" s="253"/>
      <c r="Z347" s="253"/>
      <c r="AA347" s="253"/>
      <c r="AB347" s="218"/>
    </row>
    <row r="348">
      <c r="A348" s="118"/>
      <c r="B348" s="118"/>
      <c r="C348" s="143"/>
      <c r="D348" s="118"/>
      <c r="E348" s="118"/>
      <c r="F348" s="262"/>
      <c r="G348" s="264"/>
      <c r="H348" s="264"/>
      <c r="I348" s="267"/>
      <c r="J348" s="118"/>
      <c r="K348" s="136"/>
      <c r="L348" s="118"/>
      <c r="M348" s="136"/>
      <c r="N348" s="118"/>
      <c r="O348" s="136"/>
      <c r="P348" s="272"/>
      <c r="Q348" s="272"/>
      <c r="R348" s="272"/>
      <c r="S348" s="272"/>
      <c r="T348" s="272"/>
      <c r="U348" s="272"/>
      <c r="V348" s="273"/>
      <c r="W348" s="253"/>
      <c r="X348" s="253"/>
      <c r="Y348" s="253"/>
      <c r="Z348" s="253"/>
      <c r="AA348" s="253"/>
      <c r="AB348" s="218"/>
    </row>
    <row r="349">
      <c r="A349" s="118"/>
      <c r="B349" s="118"/>
      <c r="C349" s="143"/>
      <c r="D349" s="118"/>
      <c r="E349" s="118"/>
      <c r="F349" s="262"/>
      <c r="G349" s="264"/>
      <c r="H349" s="264"/>
      <c r="I349" s="267"/>
      <c r="J349" s="118"/>
      <c r="K349" s="136"/>
      <c r="L349" s="118"/>
      <c r="M349" s="136"/>
      <c r="N349" s="118"/>
      <c r="O349" s="136"/>
      <c r="P349" s="272"/>
      <c r="Q349" s="272"/>
      <c r="R349" s="272"/>
      <c r="S349" s="272"/>
      <c r="T349" s="272"/>
      <c r="U349" s="272"/>
      <c r="V349" s="273"/>
      <c r="W349" s="253"/>
      <c r="X349" s="253"/>
      <c r="Y349" s="253"/>
      <c r="Z349" s="253"/>
      <c r="AA349" s="253"/>
      <c r="AB349" s="218"/>
    </row>
    <row r="350">
      <c r="A350" s="118"/>
      <c r="B350" s="118"/>
      <c r="C350" s="143"/>
      <c r="D350" s="118"/>
      <c r="E350" s="118"/>
      <c r="F350" s="262"/>
      <c r="G350" s="264"/>
      <c r="H350" s="264"/>
      <c r="I350" s="267"/>
      <c r="J350" s="118"/>
      <c r="K350" s="136"/>
      <c r="L350" s="118"/>
      <c r="M350" s="136"/>
      <c r="N350" s="118"/>
      <c r="O350" s="136"/>
      <c r="P350" s="272"/>
      <c r="Q350" s="272"/>
      <c r="R350" s="272"/>
      <c r="S350" s="272"/>
      <c r="T350" s="272"/>
      <c r="U350" s="272"/>
      <c r="V350" s="273"/>
      <c r="W350" s="253"/>
      <c r="X350" s="253"/>
      <c r="Y350" s="253"/>
      <c r="Z350" s="253"/>
      <c r="AA350" s="253"/>
      <c r="AB350" s="218"/>
    </row>
    <row r="351">
      <c r="A351" s="118"/>
      <c r="B351" s="118"/>
      <c r="C351" s="143"/>
      <c r="D351" s="118"/>
      <c r="E351" s="118"/>
      <c r="F351" s="262"/>
      <c r="G351" s="264"/>
      <c r="H351" s="264"/>
      <c r="I351" s="267"/>
      <c r="J351" s="118"/>
      <c r="K351" s="136"/>
      <c r="L351" s="118"/>
      <c r="M351" s="136"/>
      <c r="N351" s="118"/>
      <c r="O351" s="136"/>
      <c r="P351" s="272"/>
      <c r="Q351" s="272"/>
      <c r="R351" s="272"/>
      <c r="S351" s="272"/>
      <c r="T351" s="272"/>
      <c r="U351" s="272"/>
      <c r="V351" s="273"/>
      <c r="W351" s="253"/>
      <c r="X351" s="253"/>
      <c r="Y351" s="253"/>
      <c r="Z351" s="253"/>
      <c r="AA351" s="253"/>
      <c r="AB351" s="218"/>
    </row>
    <row r="352">
      <c r="A352" s="118"/>
      <c r="B352" s="118"/>
      <c r="C352" s="143"/>
      <c r="D352" s="118"/>
      <c r="E352" s="118"/>
      <c r="F352" s="262"/>
      <c r="G352" s="264"/>
      <c r="H352" s="264"/>
      <c r="I352" s="267"/>
      <c r="J352" s="118"/>
      <c r="K352" s="136"/>
      <c r="L352" s="118"/>
      <c r="M352" s="136"/>
      <c r="N352" s="118"/>
      <c r="O352" s="136"/>
      <c r="P352" s="272"/>
      <c r="Q352" s="272"/>
      <c r="R352" s="272"/>
      <c r="S352" s="272"/>
      <c r="T352" s="272"/>
      <c r="U352" s="272"/>
      <c r="V352" s="273"/>
      <c r="W352" s="253"/>
      <c r="X352" s="253"/>
      <c r="Y352" s="253"/>
      <c r="Z352" s="253"/>
      <c r="AA352" s="253"/>
      <c r="AB352" s="218"/>
    </row>
    <row r="353">
      <c r="A353" s="118"/>
      <c r="B353" s="118"/>
      <c r="C353" s="143"/>
      <c r="D353" s="118"/>
      <c r="E353" s="118"/>
      <c r="F353" s="262"/>
      <c r="G353" s="264"/>
      <c r="H353" s="264"/>
      <c r="I353" s="267"/>
      <c r="J353" s="118"/>
      <c r="K353" s="136"/>
      <c r="L353" s="118"/>
      <c r="M353" s="136"/>
      <c r="N353" s="118"/>
      <c r="O353" s="136"/>
      <c r="P353" s="272"/>
      <c r="Q353" s="272"/>
      <c r="R353" s="272"/>
      <c r="S353" s="272"/>
      <c r="T353" s="272"/>
      <c r="U353" s="272"/>
      <c r="V353" s="273"/>
      <c r="W353" s="253"/>
      <c r="X353" s="253"/>
      <c r="Y353" s="253"/>
      <c r="Z353" s="253"/>
      <c r="AA353" s="253"/>
      <c r="AB353" s="218"/>
    </row>
    <row r="354">
      <c r="A354" s="118"/>
      <c r="B354" s="118"/>
      <c r="C354" s="143"/>
      <c r="D354" s="118"/>
      <c r="E354" s="118"/>
      <c r="F354" s="262"/>
      <c r="G354" s="264"/>
      <c r="H354" s="264"/>
      <c r="I354" s="267"/>
      <c r="J354" s="118"/>
      <c r="K354" s="136"/>
      <c r="L354" s="118"/>
      <c r="M354" s="136"/>
      <c r="N354" s="118"/>
      <c r="O354" s="136"/>
      <c r="P354" s="272"/>
      <c r="Q354" s="272"/>
      <c r="R354" s="272"/>
      <c r="S354" s="272"/>
      <c r="T354" s="272"/>
      <c r="U354" s="272"/>
      <c r="V354" s="273"/>
      <c r="W354" s="253"/>
      <c r="X354" s="253"/>
      <c r="Y354" s="253"/>
      <c r="Z354" s="253"/>
      <c r="AA354" s="253"/>
      <c r="AB354" s="218"/>
    </row>
    <row r="355">
      <c r="A355" s="118"/>
      <c r="B355" s="118"/>
      <c r="C355" s="143"/>
      <c r="D355" s="118"/>
      <c r="E355" s="118"/>
      <c r="F355" s="262"/>
      <c r="G355" s="264"/>
      <c r="H355" s="264"/>
      <c r="I355" s="267"/>
      <c r="J355" s="118"/>
      <c r="K355" s="136"/>
      <c r="L355" s="118"/>
      <c r="M355" s="136"/>
      <c r="N355" s="118"/>
      <c r="O355" s="136"/>
      <c r="P355" s="272"/>
      <c r="Q355" s="272"/>
      <c r="R355" s="272"/>
      <c r="S355" s="272"/>
      <c r="T355" s="272"/>
      <c r="U355" s="272"/>
      <c r="V355" s="273"/>
      <c r="W355" s="253"/>
      <c r="X355" s="253"/>
      <c r="Y355" s="253"/>
      <c r="Z355" s="253"/>
      <c r="AA355" s="253"/>
      <c r="AB355" s="218"/>
    </row>
    <row r="356">
      <c r="A356" s="118"/>
      <c r="B356" s="118"/>
      <c r="C356" s="143"/>
      <c r="D356" s="118"/>
      <c r="E356" s="118"/>
      <c r="F356" s="262"/>
      <c r="G356" s="264"/>
      <c r="H356" s="264"/>
      <c r="I356" s="267"/>
      <c r="J356" s="118"/>
      <c r="K356" s="136"/>
      <c r="L356" s="118"/>
      <c r="M356" s="136"/>
      <c r="N356" s="118"/>
      <c r="O356" s="136"/>
      <c r="P356" s="272"/>
      <c r="Q356" s="272"/>
      <c r="R356" s="272"/>
      <c r="S356" s="272"/>
      <c r="T356" s="272"/>
      <c r="U356" s="272"/>
      <c r="V356" s="273"/>
      <c r="W356" s="253"/>
      <c r="X356" s="253"/>
      <c r="Y356" s="253"/>
      <c r="Z356" s="253"/>
      <c r="AA356" s="253"/>
      <c r="AB356" s="218"/>
    </row>
    <row r="357">
      <c r="A357" s="118"/>
      <c r="B357" s="118"/>
      <c r="C357" s="143"/>
      <c r="D357" s="118"/>
      <c r="E357" s="118"/>
      <c r="F357" s="262"/>
      <c r="G357" s="264"/>
      <c r="H357" s="264"/>
      <c r="I357" s="267"/>
      <c r="J357" s="118"/>
      <c r="K357" s="136"/>
      <c r="L357" s="118"/>
      <c r="M357" s="136"/>
      <c r="N357" s="118"/>
      <c r="O357" s="136"/>
      <c r="P357" s="272"/>
      <c r="Q357" s="272"/>
      <c r="R357" s="272"/>
      <c r="S357" s="272"/>
      <c r="T357" s="272"/>
      <c r="U357" s="272"/>
      <c r="V357" s="273"/>
      <c r="W357" s="253"/>
      <c r="X357" s="253"/>
      <c r="Y357" s="253"/>
      <c r="Z357" s="253"/>
      <c r="AA357" s="253"/>
      <c r="AB357" s="218"/>
    </row>
    <row r="358">
      <c r="A358" s="118"/>
      <c r="B358" s="118"/>
      <c r="C358" s="143"/>
      <c r="D358" s="118"/>
      <c r="E358" s="118"/>
      <c r="F358" s="262"/>
      <c r="G358" s="264"/>
      <c r="H358" s="264"/>
      <c r="I358" s="267"/>
      <c r="J358" s="118"/>
      <c r="K358" s="136"/>
      <c r="L358" s="118"/>
      <c r="M358" s="136"/>
      <c r="N358" s="118"/>
      <c r="O358" s="136"/>
      <c r="P358" s="272"/>
      <c r="Q358" s="272"/>
      <c r="R358" s="272"/>
      <c r="S358" s="272"/>
      <c r="T358" s="272"/>
      <c r="U358" s="272"/>
      <c r="V358" s="273"/>
      <c r="W358" s="253"/>
      <c r="X358" s="253"/>
      <c r="Y358" s="253"/>
      <c r="Z358" s="253"/>
      <c r="AA358" s="253"/>
      <c r="AB358" s="218"/>
    </row>
    <row r="359">
      <c r="A359" s="118"/>
      <c r="B359" s="118"/>
      <c r="C359" s="143"/>
      <c r="D359" s="118"/>
      <c r="E359" s="118"/>
      <c r="F359" s="262"/>
      <c r="G359" s="264"/>
      <c r="H359" s="264"/>
      <c r="I359" s="267"/>
      <c r="J359" s="118"/>
      <c r="K359" s="136"/>
      <c r="L359" s="118"/>
      <c r="M359" s="136"/>
      <c r="N359" s="118"/>
      <c r="O359" s="136"/>
      <c r="P359" s="272"/>
      <c r="Q359" s="272"/>
      <c r="R359" s="272"/>
      <c r="S359" s="272"/>
      <c r="T359" s="272"/>
      <c r="U359" s="272"/>
      <c r="V359" s="273"/>
      <c r="W359" s="253"/>
      <c r="X359" s="253"/>
      <c r="Y359" s="253"/>
      <c r="Z359" s="253"/>
      <c r="AA359" s="253"/>
      <c r="AB359" s="218"/>
    </row>
    <row r="360">
      <c r="A360" s="118"/>
      <c r="B360" s="118"/>
      <c r="C360" s="143"/>
      <c r="D360" s="118"/>
      <c r="E360" s="118"/>
      <c r="F360" s="262"/>
      <c r="G360" s="264"/>
      <c r="H360" s="264"/>
      <c r="I360" s="267"/>
      <c r="J360" s="118"/>
      <c r="K360" s="136"/>
      <c r="L360" s="118"/>
      <c r="M360" s="136"/>
      <c r="N360" s="118"/>
      <c r="O360" s="136"/>
      <c r="P360" s="272"/>
      <c r="Q360" s="272"/>
      <c r="R360" s="272"/>
      <c r="S360" s="272"/>
      <c r="T360" s="272"/>
      <c r="U360" s="272"/>
      <c r="V360" s="273"/>
      <c r="W360" s="253"/>
      <c r="X360" s="253"/>
      <c r="Y360" s="253"/>
      <c r="Z360" s="253"/>
      <c r="AA360" s="253"/>
      <c r="AB360" s="218"/>
    </row>
    <row r="361">
      <c r="A361" s="118"/>
      <c r="B361" s="118"/>
      <c r="C361" s="143"/>
      <c r="D361" s="118"/>
      <c r="E361" s="118"/>
      <c r="F361" s="262"/>
      <c r="G361" s="264"/>
      <c r="H361" s="264"/>
      <c r="I361" s="267"/>
      <c r="J361" s="118"/>
      <c r="K361" s="136"/>
      <c r="L361" s="118"/>
      <c r="M361" s="136"/>
      <c r="N361" s="118"/>
      <c r="O361" s="136"/>
      <c r="P361" s="272"/>
      <c r="Q361" s="272"/>
      <c r="R361" s="272"/>
      <c r="S361" s="272"/>
      <c r="T361" s="272"/>
      <c r="U361" s="272"/>
      <c r="V361" s="273"/>
      <c r="W361" s="253"/>
      <c r="X361" s="253"/>
      <c r="Y361" s="253"/>
      <c r="Z361" s="253"/>
      <c r="AA361" s="253"/>
      <c r="AB361" s="218"/>
    </row>
    <row r="362">
      <c r="A362" s="118"/>
      <c r="B362" s="118"/>
      <c r="C362" s="143"/>
      <c r="D362" s="118"/>
      <c r="E362" s="118"/>
      <c r="F362" s="262"/>
      <c r="G362" s="264"/>
      <c r="H362" s="264"/>
      <c r="I362" s="267"/>
      <c r="J362" s="118"/>
      <c r="K362" s="136"/>
      <c r="L362" s="118"/>
      <c r="M362" s="136"/>
      <c r="N362" s="118"/>
      <c r="O362" s="136"/>
      <c r="P362" s="272"/>
      <c r="Q362" s="272"/>
      <c r="R362" s="272"/>
      <c r="S362" s="272"/>
      <c r="T362" s="272"/>
      <c r="U362" s="272"/>
      <c r="V362" s="273"/>
      <c r="W362" s="253"/>
      <c r="X362" s="253"/>
      <c r="Y362" s="253"/>
      <c r="Z362" s="253"/>
      <c r="AA362" s="253"/>
      <c r="AB362" s="218"/>
    </row>
    <row r="363">
      <c r="A363" s="118"/>
      <c r="B363" s="118"/>
      <c r="C363" s="143"/>
      <c r="D363" s="118"/>
      <c r="E363" s="118"/>
      <c r="F363" s="262"/>
      <c r="G363" s="264"/>
      <c r="H363" s="264"/>
      <c r="I363" s="267"/>
      <c r="J363" s="118"/>
      <c r="K363" s="136"/>
      <c r="L363" s="118"/>
      <c r="M363" s="136"/>
      <c r="N363" s="118"/>
      <c r="O363" s="136"/>
      <c r="P363" s="272"/>
      <c r="Q363" s="272"/>
      <c r="R363" s="272"/>
      <c r="S363" s="272"/>
      <c r="T363" s="272"/>
      <c r="U363" s="272"/>
      <c r="V363" s="273"/>
      <c r="W363" s="253"/>
      <c r="X363" s="253"/>
      <c r="Y363" s="253"/>
      <c r="Z363" s="253"/>
      <c r="AA363" s="253"/>
      <c r="AB363" s="218"/>
    </row>
    <row r="364">
      <c r="A364" s="118"/>
      <c r="B364" s="118"/>
      <c r="C364" s="143"/>
      <c r="D364" s="118"/>
      <c r="E364" s="118"/>
      <c r="F364" s="262"/>
      <c r="G364" s="264"/>
      <c r="H364" s="264"/>
      <c r="I364" s="267"/>
      <c r="J364" s="118"/>
      <c r="K364" s="136"/>
      <c r="L364" s="118"/>
      <c r="M364" s="136"/>
      <c r="N364" s="118"/>
      <c r="O364" s="136"/>
      <c r="P364" s="272"/>
      <c r="Q364" s="272"/>
      <c r="R364" s="272"/>
      <c r="S364" s="272"/>
      <c r="T364" s="272"/>
      <c r="U364" s="272"/>
      <c r="V364" s="273"/>
      <c r="W364" s="253"/>
      <c r="X364" s="253"/>
      <c r="Y364" s="253"/>
      <c r="Z364" s="253"/>
      <c r="AA364" s="253"/>
      <c r="AB364" s="218"/>
    </row>
    <row r="365">
      <c r="A365" s="118"/>
      <c r="B365" s="118"/>
      <c r="C365" s="143"/>
      <c r="D365" s="118"/>
      <c r="E365" s="118"/>
      <c r="F365" s="262"/>
      <c r="G365" s="264"/>
      <c r="H365" s="264"/>
      <c r="I365" s="267"/>
      <c r="J365" s="118"/>
      <c r="K365" s="136"/>
      <c r="L365" s="118"/>
      <c r="M365" s="136"/>
      <c r="N365" s="118"/>
      <c r="O365" s="136"/>
      <c r="P365" s="272"/>
      <c r="Q365" s="272"/>
      <c r="R365" s="272"/>
      <c r="S365" s="272"/>
      <c r="T365" s="272"/>
      <c r="U365" s="272"/>
      <c r="V365" s="273"/>
      <c r="W365" s="253"/>
      <c r="X365" s="253"/>
      <c r="Y365" s="253"/>
      <c r="Z365" s="253"/>
      <c r="AA365" s="253"/>
      <c r="AB365" s="218"/>
    </row>
    <row r="366">
      <c r="A366" s="118"/>
      <c r="B366" s="118"/>
      <c r="C366" s="143"/>
      <c r="D366" s="118"/>
      <c r="E366" s="118"/>
      <c r="F366" s="262"/>
      <c r="G366" s="264"/>
      <c r="H366" s="264"/>
      <c r="I366" s="267"/>
      <c r="J366" s="118"/>
      <c r="K366" s="136"/>
      <c r="L366" s="118"/>
      <c r="M366" s="136"/>
      <c r="N366" s="118"/>
      <c r="O366" s="136"/>
      <c r="P366" s="272"/>
      <c r="Q366" s="272"/>
      <c r="R366" s="272"/>
      <c r="S366" s="272"/>
      <c r="T366" s="272"/>
      <c r="U366" s="272"/>
      <c r="V366" s="273"/>
      <c r="W366" s="253"/>
      <c r="X366" s="253"/>
      <c r="Y366" s="253"/>
      <c r="Z366" s="253"/>
      <c r="AA366" s="253"/>
      <c r="AB366" s="218"/>
    </row>
    <row r="367">
      <c r="A367" s="118"/>
      <c r="B367" s="118"/>
      <c r="C367" s="143"/>
      <c r="D367" s="118"/>
      <c r="E367" s="118"/>
      <c r="F367" s="262"/>
      <c r="G367" s="264"/>
      <c r="H367" s="264"/>
      <c r="I367" s="267"/>
      <c r="J367" s="118"/>
      <c r="K367" s="136"/>
      <c r="L367" s="118"/>
      <c r="M367" s="136"/>
      <c r="N367" s="118"/>
      <c r="O367" s="136"/>
      <c r="P367" s="272"/>
      <c r="Q367" s="272"/>
      <c r="R367" s="272"/>
      <c r="S367" s="272"/>
      <c r="T367" s="272"/>
      <c r="U367" s="272"/>
      <c r="V367" s="273"/>
      <c r="W367" s="253"/>
      <c r="X367" s="253"/>
      <c r="Y367" s="253"/>
      <c r="Z367" s="253"/>
      <c r="AA367" s="253"/>
      <c r="AB367" s="218"/>
    </row>
    <row r="368">
      <c r="A368" s="118"/>
      <c r="B368" s="118"/>
      <c r="C368" s="143"/>
      <c r="D368" s="118"/>
      <c r="E368" s="118"/>
      <c r="F368" s="262"/>
      <c r="G368" s="264"/>
      <c r="H368" s="264"/>
      <c r="I368" s="267"/>
      <c r="J368" s="118"/>
      <c r="K368" s="136"/>
      <c r="L368" s="118"/>
      <c r="M368" s="136"/>
      <c r="N368" s="118"/>
      <c r="O368" s="136"/>
      <c r="P368" s="272"/>
      <c r="Q368" s="272"/>
      <c r="R368" s="272"/>
      <c r="S368" s="272"/>
      <c r="T368" s="272"/>
      <c r="U368" s="272"/>
      <c r="V368" s="273"/>
      <c r="W368" s="253"/>
      <c r="X368" s="253"/>
      <c r="Y368" s="253"/>
      <c r="Z368" s="253"/>
      <c r="AA368" s="253"/>
      <c r="AB368" s="218"/>
    </row>
    <row r="369">
      <c r="A369" s="118"/>
      <c r="B369" s="118"/>
      <c r="C369" s="143"/>
      <c r="D369" s="118"/>
      <c r="E369" s="118"/>
      <c r="F369" s="262"/>
      <c r="G369" s="264"/>
      <c r="H369" s="264"/>
      <c r="I369" s="267"/>
      <c r="J369" s="118"/>
      <c r="K369" s="136"/>
      <c r="L369" s="118"/>
      <c r="M369" s="136"/>
      <c r="N369" s="118"/>
      <c r="O369" s="136"/>
      <c r="P369" s="272"/>
      <c r="Q369" s="272"/>
      <c r="R369" s="272"/>
      <c r="S369" s="272"/>
      <c r="T369" s="272"/>
      <c r="U369" s="272"/>
      <c r="V369" s="273"/>
      <c r="W369" s="253"/>
      <c r="X369" s="253"/>
      <c r="Y369" s="253"/>
      <c r="Z369" s="253"/>
      <c r="AA369" s="253"/>
      <c r="AB369" s="218"/>
    </row>
    <row r="370">
      <c r="A370" s="118"/>
      <c r="B370" s="118"/>
      <c r="C370" s="143"/>
      <c r="D370" s="118"/>
      <c r="E370" s="118"/>
      <c r="F370" s="262"/>
      <c r="G370" s="264"/>
      <c r="H370" s="264"/>
      <c r="I370" s="267"/>
      <c r="J370" s="118"/>
      <c r="K370" s="136"/>
      <c r="L370" s="118"/>
      <c r="M370" s="136"/>
      <c r="N370" s="118"/>
      <c r="O370" s="136"/>
      <c r="P370" s="272"/>
      <c r="Q370" s="272"/>
      <c r="R370" s="272"/>
      <c r="S370" s="272"/>
      <c r="T370" s="272"/>
      <c r="U370" s="272"/>
      <c r="V370" s="273"/>
      <c r="W370" s="253"/>
      <c r="X370" s="253"/>
      <c r="Y370" s="253"/>
      <c r="Z370" s="253"/>
      <c r="AA370" s="253"/>
      <c r="AB370" s="218"/>
    </row>
    <row r="371">
      <c r="A371" s="118"/>
      <c r="B371" s="118"/>
      <c r="C371" s="143"/>
      <c r="D371" s="118"/>
      <c r="E371" s="118"/>
      <c r="F371" s="262"/>
      <c r="G371" s="264"/>
      <c r="H371" s="264"/>
      <c r="I371" s="267"/>
      <c r="J371" s="118"/>
      <c r="K371" s="136"/>
      <c r="L371" s="118"/>
      <c r="M371" s="136"/>
      <c r="N371" s="118"/>
      <c r="O371" s="136"/>
      <c r="P371" s="272"/>
      <c r="Q371" s="272"/>
      <c r="R371" s="272"/>
      <c r="S371" s="272"/>
      <c r="T371" s="272"/>
      <c r="U371" s="272"/>
      <c r="V371" s="273"/>
      <c r="W371" s="253"/>
      <c r="X371" s="253"/>
      <c r="Y371" s="253"/>
      <c r="Z371" s="253"/>
      <c r="AA371" s="253"/>
      <c r="AB371" s="218"/>
    </row>
    <row r="372">
      <c r="A372" s="118"/>
      <c r="B372" s="118"/>
      <c r="C372" s="143"/>
      <c r="D372" s="118"/>
      <c r="E372" s="118"/>
      <c r="F372" s="262"/>
      <c r="G372" s="264"/>
      <c r="H372" s="264"/>
      <c r="I372" s="267"/>
      <c r="J372" s="118"/>
      <c r="K372" s="136"/>
      <c r="L372" s="118"/>
      <c r="M372" s="136"/>
      <c r="N372" s="118"/>
      <c r="O372" s="136"/>
      <c r="P372" s="272"/>
      <c r="Q372" s="272"/>
      <c r="R372" s="272"/>
      <c r="S372" s="272"/>
      <c r="T372" s="272"/>
      <c r="U372" s="272"/>
      <c r="V372" s="273"/>
      <c r="W372" s="253"/>
      <c r="X372" s="253"/>
      <c r="Y372" s="253"/>
      <c r="Z372" s="253"/>
      <c r="AA372" s="253"/>
      <c r="AB372" s="218"/>
    </row>
    <row r="373">
      <c r="A373" s="118"/>
      <c r="B373" s="118"/>
      <c r="C373" s="143"/>
      <c r="D373" s="118"/>
      <c r="E373" s="118"/>
      <c r="F373" s="262"/>
      <c r="G373" s="264"/>
      <c r="H373" s="264"/>
      <c r="I373" s="267"/>
      <c r="J373" s="118"/>
      <c r="K373" s="136"/>
      <c r="L373" s="118"/>
      <c r="M373" s="136"/>
      <c r="N373" s="118"/>
      <c r="O373" s="136"/>
      <c r="P373" s="272"/>
      <c r="Q373" s="272"/>
      <c r="R373" s="272"/>
      <c r="S373" s="272"/>
      <c r="T373" s="272"/>
      <c r="U373" s="272"/>
      <c r="V373" s="273"/>
      <c r="W373" s="253"/>
      <c r="X373" s="253"/>
      <c r="Y373" s="253"/>
      <c r="Z373" s="253"/>
      <c r="AA373" s="253"/>
      <c r="AB373" s="218"/>
    </row>
    <row r="374">
      <c r="A374" s="118"/>
      <c r="B374" s="118"/>
      <c r="C374" s="143"/>
      <c r="D374" s="118"/>
      <c r="E374" s="118"/>
      <c r="F374" s="262"/>
      <c r="G374" s="264"/>
      <c r="H374" s="264"/>
      <c r="I374" s="267"/>
      <c r="J374" s="118"/>
      <c r="K374" s="136"/>
      <c r="L374" s="118"/>
      <c r="M374" s="136"/>
      <c r="N374" s="118"/>
      <c r="O374" s="136"/>
      <c r="P374" s="272"/>
      <c r="Q374" s="272"/>
      <c r="R374" s="272"/>
      <c r="S374" s="272"/>
      <c r="T374" s="272"/>
      <c r="U374" s="272"/>
      <c r="V374" s="273"/>
      <c r="W374" s="253"/>
      <c r="X374" s="253"/>
      <c r="Y374" s="253"/>
      <c r="Z374" s="253"/>
      <c r="AA374" s="253"/>
      <c r="AB374" s="218"/>
    </row>
    <row r="375">
      <c r="A375" s="118"/>
      <c r="B375" s="118"/>
      <c r="C375" s="143"/>
      <c r="D375" s="118"/>
      <c r="E375" s="118"/>
      <c r="F375" s="262"/>
      <c r="G375" s="264"/>
      <c r="H375" s="264"/>
      <c r="I375" s="267"/>
      <c r="J375" s="118"/>
      <c r="K375" s="136"/>
      <c r="L375" s="118"/>
      <c r="M375" s="136"/>
      <c r="N375" s="118"/>
      <c r="O375" s="136"/>
      <c r="P375" s="272"/>
      <c r="Q375" s="272"/>
      <c r="R375" s="272"/>
      <c r="S375" s="272"/>
      <c r="T375" s="272"/>
      <c r="U375" s="272"/>
      <c r="V375" s="273"/>
      <c r="W375" s="253"/>
      <c r="X375" s="253"/>
      <c r="Y375" s="253"/>
      <c r="Z375" s="253"/>
      <c r="AA375" s="253"/>
      <c r="AB375" s="218"/>
    </row>
    <row r="376">
      <c r="A376" s="118"/>
      <c r="B376" s="118"/>
      <c r="C376" s="143"/>
      <c r="D376" s="118"/>
      <c r="E376" s="118"/>
      <c r="F376" s="262"/>
      <c r="G376" s="264"/>
      <c r="H376" s="264"/>
      <c r="I376" s="267"/>
      <c r="J376" s="118"/>
      <c r="K376" s="136"/>
      <c r="L376" s="118"/>
      <c r="M376" s="136"/>
      <c r="N376" s="118"/>
      <c r="O376" s="136"/>
      <c r="P376" s="272"/>
      <c r="Q376" s="272"/>
      <c r="R376" s="272"/>
      <c r="S376" s="272"/>
      <c r="T376" s="272"/>
      <c r="U376" s="272"/>
      <c r="V376" s="273"/>
      <c r="W376" s="253"/>
      <c r="X376" s="253"/>
      <c r="Y376" s="253"/>
      <c r="Z376" s="253"/>
      <c r="AA376" s="253"/>
      <c r="AB376" s="218"/>
    </row>
    <row r="377">
      <c r="A377" s="118"/>
      <c r="B377" s="118"/>
      <c r="C377" s="143"/>
      <c r="D377" s="118"/>
      <c r="E377" s="118"/>
      <c r="F377" s="262"/>
      <c r="G377" s="264"/>
      <c r="H377" s="264"/>
      <c r="I377" s="267"/>
      <c r="J377" s="118"/>
      <c r="K377" s="136"/>
      <c r="L377" s="118"/>
      <c r="M377" s="136"/>
      <c r="N377" s="118"/>
      <c r="O377" s="136"/>
      <c r="P377" s="272"/>
      <c r="Q377" s="272"/>
      <c r="R377" s="272"/>
      <c r="S377" s="272"/>
      <c r="T377" s="272"/>
      <c r="U377" s="272"/>
      <c r="V377" s="273"/>
      <c r="W377" s="253"/>
      <c r="X377" s="253"/>
      <c r="Y377" s="253"/>
      <c r="Z377" s="253"/>
      <c r="AA377" s="253"/>
      <c r="AB377" s="218"/>
    </row>
    <row r="378">
      <c r="A378" s="118"/>
      <c r="B378" s="118"/>
      <c r="C378" s="143"/>
      <c r="D378" s="118"/>
      <c r="E378" s="118"/>
      <c r="F378" s="262"/>
      <c r="G378" s="264"/>
      <c r="H378" s="264"/>
      <c r="I378" s="267"/>
      <c r="J378" s="118"/>
      <c r="K378" s="136"/>
      <c r="L378" s="118"/>
      <c r="M378" s="136"/>
      <c r="N378" s="118"/>
      <c r="O378" s="136"/>
      <c r="P378" s="272"/>
      <c r="Q378" s="272"/>
      <c r="R378" s="272"/>
      <c r="S378" s="272"/>
      <c r="T378" s="272"/>
      <c r="U378" s="272"/>
      <c r="V378" s="273"/>
      <c r="W378" s="253"/>
      <c r="X378" s="253"/>
      <c r="Y378" s="253"/>
      <c r="Z378" s="253"/>
      <c r="AA378" s="253"/>
      <c r="AB378" s="218"/>
    </row>
    <row r="379">
      <c r="A379" s="118"/>
      <c r="B379" s="118"/>
      <c r="C379" s="143"/>
      <c r="D379" s="118"/>
      <c r="E379" s="118"/>
      <c r="F379" s="262"/>
      <c r="G379" s="264"/>
      <c r="H379" s="264"/>
      <c r="I379" s="267"/>
      <c r="J379" s="118"/>
      <c r="K379" s="136"/>
      <c r="L379" s="118"/>
      <c r="M379" s="136"/>
      <c r="N379" s="118"/>
      <c r="O379" s="136"/>
      <c r="P379" s="272"/>
      <c r="Q379" s="272"/>
      <c r="R379" s="272"/>
      <c r="S379" s="272"/>
      <c r="T379" s="272"/>
      <c r="U379" s="272"/>
      <c r="V379" s="273"/>
      <c r="W379" s="253"/>
      <c r="X379" s="253"/>
      <c r="Y379" s="253"/>
      <c r="Z379" s="253"/>
      <c r="AA379" s="253"/>
      <c r="AB379" s="218"/>
    </row>
    <row r="380">
      <c r="A380" s="118"/>
      <c r="B380" s="118"/>
      <c r="C380" s="143"/>
      <c r="D380" s="118"/>
      <c r="E380" s="118"/>
      <c r="F380" s="262"/>
      <c r="G380" s="264"/>
      <c r="H380" s="264"/>
      <c r="I380" s="267"/>
      <c r="J380" s="118"/>
      <c r="K380" s="136"/>
      <c r="L380" s="118"/>
      <c r="M380" s="136"/>
      <c r="N380" s="118"/>
      <c r="O380" s="136"/>
      <c r="P380" s="272"/>
      <c r="Q380" s="272"/>
      <c r="R380" s="272"/>
      <c r="S380" s="272"/>
      <c r="T380" s="272"/>
      <c r="U380" s="272"/>
      <c r="V380" s="273"/>
      <c r="W380" s="253"/>
      <c r="X380" s="253"/>
      <c r="Y380" s="253"/>
      <c r="Z380" s="253"/>
      <c r="AA380" s="253"/>
      <c r="AB380" s="218"/>
    </row>
    <row r="381">
      <c r="A381" s="118"/>
      <c r="B381" s="118"/>
      <c r="C381" s="143"/>
      <c r="D381" s="118"/>
      <c r="E381" s="118"/>
      <c r="F381" s="262"/>
      <c r="G381" s="264"/>
      <c r="H381" s="264"/>
      <c r="I381" s="267"/>
      <c r="J381" s="118"/>
      <c r="K381" s="136"/>
      <c r="L381" s="118"/>
      <c r="M381" s="136"/>
      <c r="N381" s="118"/>
      <c r="O381" s="136"/>
      <c r="P381" s="272"/>
      <c r="Q381" s="272"/>
      <c r="R381" s="272"/>
      <c r="S381" s="272"/>
      <c r="T381" s="272"/>
      <c r="U381" s="272"/>
      <c r="V381" s="273"/>
      <c r="W381" s="253"/>
      <c r="X381" s="253"/>
      <c r="Y381" s="253"/>
      <c r="Z381" s="253"/>
      <c r="AA381" s="253"/>
      <c r="AB381" s="218"/>
    </row>
    <row r="382">
      <c r="A382" s="118"/>
      <c r="B382" s="118"/>
      <c r="C382" s="143"/>
      <c r="D382" s="118"/>
      <c r="E382" s="118"/>
      <c r="F382" s="262"/>
      <c r="G382" s="264"/>
      <c r="H382" s="264"/>
      <c r="I382" s="267"/>
      <c r="J382" s="118"/>
      <c r="K382" s="136"/>
      <c r="L382" s="118"/>
      <c r="M382" s="136"/>
      <c r="N382" s="118"/>
      <c r="O382" s="136"/>
      <c r="P382" s="272"/>
      <c r="Q382" s="272"/>
      <c r="R382" s="272"/>
      <c r="S382" s="272"/>
      <c r="T382" s="272"/>
      <c r="U382" s="272"/>
      <c r="V382" s="273"/>
      <c r="W382" s="253"/>
      <c r="X382" s="253"/>
      <c r="Y382" s="253"/>
      <c r="Z382" s="253"/>
      <c r="AA382" s="253"/>
      <c r="AB382" s="218"/>
    </row>
    <row r="383">
      <c r="A383" s="118"/>
      <c r="B383" s="118"/>
      <c r="C383" s="143"/>
      <c r="D383" s="118"/>
      <c r="E383" s="118"/>
      <c r="F383" s="262"/>
      <c r="G383" s="264"/>
      <c r="H383" s="264"/>
      <c r="I383" s="267"/>
      <c r="J383" s="118"/>
      <c r="K383" s="136"/>
      <c r="L383" s="118"/>
      <c r="M383" s="136"/>
      <c r="N383" s="118"/>
      <c r="O383" s="136"/>
      <c r="P383" s="272"/>
      <c r="Q383" s="272"/>
      <c r="R383" s="272"/>
      <c r="S383" s="272"/>
      <c r="T383" s="272"/>
      <c r="U383" s="272"/>
      <c r="V383" s="273"/>
      <c r="W383" s="253"/>
      <c r="X383" s="253"/>
      <c r="Y383" s="253"/>
      <c r="Z383" s="253"/>
      <c r="AA383" s="253"/>
      <c r="AB383" s="218"/>
    </row>
    <row r="384">
      <c r="A384" s="118"/>
      <c r="B384" s="118"/>
      <c r="C384" s="143"/>
      <c r="D384" s="118"/>
      <c r="E384" s="118"/>
      <c r="F384" s="262"/>
      <c r="G384" s="264"/>
      <c r="H384" s="264"/>
      <c r="I384" s="267"/>
      <c r="J384" s="118"/>
      <c r="K384" s="136"/>
      <c r="L384" s="118"/>
      <c r="M384" s="136"/>
      <c r="N384" s="118"/>
      <c r="O384" s="136"/>
      <c r="P384" s="272"/>
      <c r="Q384" s="272"/>
      <c r="R384" s="272"/>
      <c r="S384" s="272"/>
      <c r="T384" s="272"/>
      <c r="U384" s="272"/>
      <c r="V384" s="273"/>
      <c r="W384" s="253"/>
      <c r="X384" s="253"/>
      <c r="Y384" s="253"/>
      <c r="Z384" s="253"/>
      <c r="AA384" s="253"/>
      <c r="AB384" s="218"/>
    </row>
    <row r="385">
      <c r="A385" s="118"/>
      <c r="B385" s="118"/>
      <c r="C385" s="143"/>
      <c r="D385" s="118"/>
      <c r="E385" s="118"/>
      <c r="F385" s="262"/>
      <c r="G385" s="264"/>
      <c r="H385" s="264"/>
      <c r="I385" s="267"/>
      <c r="J385" s="118"/>
      <c r="K385" s="136"/>
      <c r="L385" s="118"/>
      <c r="M385" s="136"/>
      <c r="N385" s="118"/>
      <c r="O385" s="136"/>
      <c r="P385" s="272"/>
      <c r="Q385" s="272"/>
      <c r="R385" s="272"/>
      <c r="S385" s="272"/>
      <c r="T385" s="272"/>
      <c r="U385" s="272"/>
      <c r="V385" s="273"/>
      <c r="W385" s="253"/>
      <c r="X385" s="253"/>
      <c r="Y385" s="253"/>
      <c r="Z385" s="253"/>
      <c r="AA385" s="253"/>
      <c r="AB385" s="218"/>
    </row>
    <row r="386">
      <c r="A386" s="118"/>
      <c r="B386" s="118"/>
      <c r="C386" s="143"/>
      <c r="D386" s="118"/>
      <c r="E386" s="118"/>
      <c r="F386" s="262"/>
      <c r="G386" s="264"/>
      <c r="H386" s="264"/>
      <c r="I386" s="267"/>
      <c r="J386" s="118"/>
      <c r="K386" s="136"/>
      <c r="L386" s="118"/>
      <c r="M386" s="136"/>
      <c r="N386" s="118"/>
      <c r="O386" s="136"/>
      <c r="P386" s="272"/>
      <c r="Q386" s="272"/>
      <c r="R386" s="272"/>
      <c r="S386" s="272"/>
      <c r="T386" s="272"/>
      <c r="U386" s="272"/>
      <c r="V386" s="273"/>
      <c r="W386" s="253"/>
      <c r="X386" s="253"/>
      <c r="Y386" s="253"/>
      <c r="Z386" s="253"/>
      <c r="AA386" s="253"/>
      <c r="AB386" s="218"/>
    </row>
    <row r="387">
      <c r="A387" s="118"/>
      <c r="B387" s="118"/>
      <c r="C387" s="143"/>
      <c r="D387" s="118"/>
      <c r="E387" s="118"/>
      <c r="F387" s="262"/>
      <c r="G387" s="264"/>
      <c r="H387" s="264"/>
      <c r="I387" s="267"/>
      <c r="J387" s="118"/>
      <c r="K387" s="136"/>
      <c r="L387" s="118"/>
      <c r="M387" s="136"/>
      <c r="N387" s="118"/>
      <c r="O387" s="136"/>
      <c r="P387" s="272"/>
      <c r="Q387" s="272"/>
      <c r="R387" s="272"/>
      <c r="S387" s="272"/>
      <c r="T387" s="272"/>
      <c r="U387" s="272"/>
      <c r="V387" s="273"/>
      <c r="W387" s="253"/>
      <c r="X387" s="253"/>
      <c r="Y387" s="253"/>
      <c r="Z387" s="253"/>
      <c r="AA387" s="253"/>
      <c r="AB387" s="218"/>
    </row>
    <row r="388">
      <c r="A388" s="118"/>
      <c r="B388" s="118"/>
      <c r="C388" s="143"/>
      <c r="D388" s="118"/>
      <c r="E388" s="118"/>
      <c r="F388" s="262"/>
      <c r="G388" s="264"/>
      <c r="H388" s="264"/>
      <c r="I388" s="267"/>
      <c r="J388" s="118"/>
      <c r="K388" s="136"/>
      <c r="L388" s="118"/>
      <c r="M388" s="136"/>
      <c r="N388" s="118"/>
      <c r="O388" s="136"/>
      <c r="P388" s="272"/>
      <c r="Q388" s="272"/>
      <c r="R388" s="272"/>
      <c r="S388" s="272"/>
      <c r="T388" s="272"/>
      <c r="U388" s="272"/>
      <c r="V388" s="273"/>
      <c r="W388" s="253"/>
      <c r="X388" s="253"/>
      <c r="Y388" s="253"/>
      <c r="Z388" s="253"/>
      <c r="AA388" s="253"/>
      <c r="AB388" s="218"/>
    </row>
    <row r="389">
      <c r="A389" s="118"/>
      <c r="B389" s="118"/>
      <c r="C389" s="143"/>
      <c r="D389" s="118"/>
      <c r="E389" s="118"/>
      <c r="F389" s="262"/>
      <c r="G389" s="264"/>
      <c r="H389" s="264"/>
      <c r="I389" s="267"/>
      <c r="J389" s="118"/>
      <c r="K389" s="136"/>
      <c r="L389" s="118"/>
      <c r="M389" s="136"/>
      <c r="N389" s="118"/>
      <c r="O389" s="136"/>
      <c r="P389" s="272"/>
      <c r="Q389" s="272"/>
      <c r="R389" s="272"/>
      <c r="S389" s="272"/>
      <c r="T389" s="272"/>
      <c r="U389" s="272"/>
      <c r="V389" s="273"/>
      <c r="W389" s="253"/>
      <c r="X389" s="253"/>
      <c r="Y389" s="253"/>
      <c r="Z389" s="253"/>
      <c r="AA389" s="253"/>
      <c r="AB389" s="218"/>
    </row>
    <row r="390">
      <c r="A390" s="118"/>
      <c r="B390" s="118"/>
      <c r="C390" s="143"/>
      <c r="D390" s="118"/>
      <c r="E390" s="118"/>
      <c r="F390" s="262"/>
      <c r="G390" s="264"/>
      <c r="H390" s="264"/>
      <c r="I390" s="267"/>
      <c r="J390" s="118"/>
      <c r="K390" s="136"/>
      <c r="L390" s="118"/>
      <c r="M390" s="136"/>
      <c r="N390" s="118"/>
      <c r="O390" s="136"/>
      <c r="P390" s="272"/>
      <c r="Q390" s="272"/>
      <c r="R390" s="272"/>
      <c r="S390" s="272"/>
      <c r="T390" s="272"/>
      <c r="U390" s="272"/>
      <c r="V390" s="273"/>
      <c r="W390" s="253"/>
      <c r="X390" s="253"/>
      <c r="Y390" s="253"/>
      <c r="Z390" s="253"/>
      <c r="AA390" s="253"/>
      <c r="AB390" s="218"/>
    </row>
    <row r="391">
      <c r="A391" s="118"/>
      <c r="B391" s="118"/>
      <c r="C391" s="143"/>
      <c r="D391" s="118"/>
      <c r="E391" s="118"/>
      <c r="F391" s="262"/>
      <c r="G391" s="264"/>
      <c r="H391" s="264"/>
      <c r="I391" s="267"/>
      <c r="J391" s="118"/>
      <c r="K391" s="136"/>
      <c r="L391" s="118"/>
      <c r="M391" s="136"/>
      <c r="N391" s="118"/>
      <c r="O391" s="136"/>
      <c r="P391" s="272"/>
      <c r="Q391" s="272"/>
      <c r="R391" s="272"/>
      <c r="S391" s="272"/>
      <c r="T391" s="272"/>
      <c r="U391" s="272"/>
      <c r="V391" s="273"/>
      <c r="W391" s="253"/>
      <c r="X391" s="253"/>
      <c r="Y391" s="253"/>
      <c r="Z391" s="253"/>
      <c r="AA391" s="253"/>
      <c r="AB391" s="218"/>
    </row>
    <row r="392">
      <c r="A392" s="118"/>
      <c r="B392" s="118"/>
      <c r="C392" s="143"/>
      <c r="D392" s="118"/>
      <c r="E392" s="118"/>
      <c r="F392" s="262"/>
      <c r="G392" s="264"/>
      <c r="H392" s="264"/>
      <c r="I392" s="267"/>
      <c r="J392" s="118"/>
      <c r="K392" s="136"/>
      <c r="L392" s="118"/>
      <c r="M392" s="136"/>
      <c r="N392" s="118"/>
      <c r="O392" s="136"/>
      <c r="P392" s="272"/>
      <c r="Q392" s="272"/>
      <c r="R392" s="272"/>
      <c r="S392" s="272"/>
      <c r="T392" s="272"/>
      <c r="U392" s="272"/>
      <c r="V392" s="273"/>
      <c r="W392" s="253"/>
      <c r="X392" s="253"/>
      <c r="Y392" s="253"/>
      <c r="Z392" s="253"/>
      <c r="AA392" s="253"/>
      <c r="AB392" s="218"/>
    </row>
    <row r="393">
      <c r="A393" s="118"/>
      <c r="B393" s="118"/>
      <c r="C393" s="143"/>
      <c r="D393" s="118"/>
      <c r="E393" s="118"/>
      <c r="F393" s="262"/>
      <c r="G393" s="264"/>
      <c r="H393" s="264"/>
      <c r="I393" s="267"/>
      <c r="J393" s="118"/>
      <c r="K393" s="136"/>
      <c r="L393" s="118"/>
      <c r="M393" s="136"/>
      <c r="N393" s="118"/>
      <c r="O393" s="136"/>
      <c r="P393" s="272"/>
      <c r="Q393" s="272"/>
      <c r="R393" s="272"/>
      <c r="S393" s="272"/>
      <c r="T393" s="272"/>
      <c r="U393" s="272"/>
      <c r="V393" s="273"/>
      <c r="W393" s="253"/>
      <c r="X393" s="253"/>
      <c r="Y393" s="253"/>
      <c r="Z393" s="253"/>
      <c r="AA393" s="253"/>
      <c r="AB393" s="218"/>
    </row>
    <row r="394">
      <c r="A394" s="118"/>
      <c r="B394" s="118"/>
      <c r="C394" s="143"/>
      <c r="D394" s="118"/>
      <c r="E394" s="118"/>
      <c r="F394" s="262"/>
      <c r="G394" s="264"/>
      <c r="H394" s="264"/>
      <c r="I394" s="267"/>
      <c r="J394" s="118"/>
      <c r="K394" s="136"/>
      <c r="L394" s="118"/>
      <c r="M394" s="136"/>
      <c r="N394" s="118"/>
      <c r="O394" s="136"/>
      <c r="P394" s="272"/>
      <c r="Q394" s="272"/>
      <c r="R394" s="272"/>
      <c r="S394" s="272"/>
      <c r="T394" s="272"/>
      <c r="U394" s="272"/>
      <c r="V394" s="273"/>
      <c r="W394" s="253"/>
      <c r="X394" s="253"/>
      <c r="Y394" s="253"/>
      <c r="Z394" s="253"/>
      <c r="AA394" s="253"/>
      <c r="AB394" s="218"/>
    </row>
    <row r="395">
      <c r="A395" s="118"/>
      <c r="B395" s="118"/>
      <c r="C395" s="143"/>
      <c r="D395" s="118"/>
      <c r="E395" s="118"/>
      <c r="F395" s="262"/>
      <c r="G395" s="264"/>
      <c r="H395" s="264"/>
      <c r="I395" s="267"/>
      <c r="J395" s="118"/>
      <c r="K395" s="136"/>
      <c r="L395" s="118"/>
      <c r="M395" s="136"/>
      <c r="N395" s="118"/>
      <c r="O395" s="136"/>
      <c r="P395" s="272"/>
      <c r="Q395" s="272"/>
      <c r="R395" s="272"/>
      <c r="S395" s="272"/>
      <c r="T395" s="272"/>
      <c r="U395" s="272"/>
      <c r="V395" s="273"/>
      <c r="W395" s="253"/>
      <c r="X395" s="253"/>
      <c r="Y395" s="253"/>
      <c r="Z395" s="253"/>
      <c r="AA395" s="253"/>
      <c r="AB395" s="218"/>
    </row>
    <row r="396">
      <c r="A396" s="118"/>
      <c r="B396" s="118"/>
      <c r="C396" s="143"/>
      <c r="D396" s="118"/>
      <c r="E396" s="118"/>
      <c r="F396" s="262"/>
      <c r="G396" s="264"/>
      <c r="H396" s="264"/>
      <c r="I396" s="267"/>
      <c r="J396" s="118"/>
      <c r="K396" s="136"/>
      <c r="L396" s="118"/>
      <c r="M396" s="136"/>
      <c r="N396" s="118"/>
      <c r="O396" s="136"/>
      <c r="P396" s="272"/>
      <c r="Q396" s="272"/>
      <c r="R396" s="272"/>
      <c r="S396" s="272"/>
      <c r="T396" s="272"/>
      <c r="U396" s="272"/>
      <c r="V396" s="273"/>
      <c r="W396" s="253"/>
      <c r="X396" s="253"/>
      <c r="Y396" s="253"/>
      <c r="Z396" s="253"/>
      <c r="AA396" s="253"/>
      <c r="AB396" s="218"/>
    </row>
    <row r="397">
      <c r="A397" s="118"/>
      <c r="B397" s="118"/>
      <c r="C397" s="143"/>
      <c r="D397" s="118"/>
      <c r="E397" s="118"/>
      <c r="F397" s="262"/>
      <c r="G397" s="264"/>
      <c r="H397" s="264"/>
      <c r="I397" s="267"/>
      <c r="J397" s="118"/>
      <c r="K397" s="136"/>
      <c r="L397" s="118"/>
      <c r="M397" s="136"/>
      <c r="N397" s="118"/>
      <c r="O397" s="136"/>
      <c r="P397" s="272"/>
      <c r="Q397" s="272"/>
      <c r="R397" s="272"/>
      <c r="S397" s="272"/>
      <c r="T397" s="272"/>
      <c r="U397" s="272"/>
      <c r="V397" s="273"/>
      <c r="W397" s="253"/>
      <c r="X397" s="253"/>
      <c r="Y397" s="253"/>
      <c r="Z397" s="253"/>
      <c r="AA397" s="253"/>
      <c r="AB397" s="218"/>
    </row>
    <row r="398">
      <c r="A398" s="118"/>
      <c r="B398" s="118"/>
      <c r="C398" s="143"/>
      <c r="D398" s="118"/>
      <c r="E398" s="118"/>
      <c r="F398" s="262"/>
      <c r="G398" s="264"/>
      <c r="H398" s="264"/>
      <c r="I398" s="267"/>
      <c r="J398" s="118"/>
      <c r="K398" s="136"/>
      <c r="L398" s="118"/>
      <c r="M398" s="136"/>
      <c r="N398" s="118"/>
      <c r="O398" s="136"/>
      <c r="P398" s="272"/>
      <c r="Q398" s="272"/>
      <c r="R398" s="272"/>
      <c r="S398" s="272"/>
      <c r="T398" s="272"/>
      <c r="U398" s="272"/>
      <c r="V398" s="273"/>
      <c r="W398" s="253"/>
      <c r="X398" s="253"/>
      <c r="Y398" s="253"/>
      <c r="Z398" s="253"/>
      <c r="AA398" s="253"/>
      <c r="AB398" s="218"/>
    </row>
    <row r="399">
      <c r="A399" s="118"/>
      <c r="B399" s="118"/>
      <c r="C399" s="143"/>
      <c r="D399" s="118"/>
      <c r="E399" s="118"/>
      <c r="F399" s="262"/>
      <c r="G399" s="264"/>
      <c r="H399" s="264"/>
      <c r="I399" s="267"/>
      <c r="J399" s="118"/>
      <c r="K399" s="136"/>
      <c r="L399" s="118"/>
      <c r="M399" s="136"/>
      <c r="N399" s="118"/>
      <c r="O399" s="136"/>
      <c r="P399" s="272"/>
      <c r="Q399" s="272"/>
      <c r="R399" s="272"/>
      <c r="S399" s="272"/>
      <c r="T399" s="272"/>
      <c r="U399" s="272"/>
      <c r="V399" s="273"/>
      <c r="W399" s="253"/>
      <c r="X399" s="253"/>
      <c r="Y399" s="253"/>
      <c r="Z399" s="253"/>
      <c r="AA399" s="253"/>
      <c r="AB399" s="218"/>
    </row>
    <row r="400">
      <c r="A400" s="118"/>
      <c r="B400" s="118"/>
      <c r="C400" s="143"/>
      <c r="D400" s="118"/>
      <c r="E400" s="118"/>
      <c r="F400" s="262"/>
      <c r="G400" s="264"/>
      <c r="H400" s="264"/>
      <c r="I400" s="267"/>
      <c r="J400" s="118"/>
      <c r="K400" s="136"/>
      <c r="L400" s="118"/>
      <c r="M400" s="136"/>
      <c r="N400" s="118"/>
      <c r="O400" s="136"/>
      <c r="P400" s="272"/>
      <c r="Q400" s="272"/>
      <c r="R400" s="272"/>
      <c r="S400" s="272"/>
      <c r="T400" s="272"/>
      <c r="U400" s="272"/>
      <c r="V400" s="273"/>
      <c r="W400" s="253"/>
      <c r="X400" s="253"/>
      <c r="Y400" s="253"/>
      <c r="Z400" s="253"/>
      <c r="AA400" s="253"/>
      <c r="AB400" s="218"/>
    </row>
    <row r="401">
      <c r="A401" s="118"/>
      <c r="B401" s="118"/>
      <c r="C401" s="143"/>
      <c r="D401" s="118"/>
      <c r="E401" s="118"/>
      <c r="F401" s="262"/>
      <c r="G401" s="264"/>
      <c r="H401" s="264"/>
      <c r="I401" s="267"/>
      <c r="J401" s="118"/>
      <c r="K401" s="136"/>
      <c r="L401" s="118"/>
      <c r="M401" s="136"/>
      <c r="N401" s="118"/>
      <c r="O401" s="136"/>
      <c r="P401" s="272"/>
      <c r="Q401" s="272"/>
      <c r="R401" s="272"/>
      <c r="S401" s="272"/>
      <c r="T401" s="272"/>
      <c r="U401" s="272"/>
      <c r="V401" s="273"/>
      <c r="W401" s="253"/>
      <c r="X401" s="253"/>
      <c r="Y401" s="253"/>
      <c r="Z401" s="253"/>
      <c r="AA401" s="253"/>
      <c r="AB401" s="218"/>
    </row>
    <row r="402">
      <c r="A402" s="118"/>
      <c r="B402" s="118"/>
      <c r="C402" s="143"/>
      <c r="D402" s="118"/>
      <c r="E402" s="118"/>
      <c r="F402" s="262"/>
      <c r="G402" s="264"/>
      <c r="H402" s="264"/>
      <c r="I402" s="267"/>
      <c r="J402" s="118"/>
      <c r="K402" s="136"/>
      <c r="L402" s="118"/>
      <c r="M402" s="136"/>
      <c r="N402" s="118"/>
      <c r="O402" s="136"/>
      <c r="P402" s="272"/>
      <c r="Q402" s="272"/>
      <c r="R402" s="272"/>
      <c r="S402" s="272"/>
      <c r="T402" s="272"/>
      <c r="U402" s="272"/>
      <c r="V402" s="273"/>
      <c r="W402" s="253"/>
      <c r="X402" s="253"/>
      <c r="Y402" s="253"/>
      <c r="Z402" s="253"/>
      <c r="AA402" s="253"/>
      <c r="AB402" s="218"/>
    </row>
    <row r="403">
      <c r="A403" s="118"/>
      <c r="B403" s="118"/>
      <c r="C403" s="143"/>
      <c r="D403" s="118"/>
      <c r="E403" s="118"/>
      <c r="F403" s="262"/>
      <c r="G403" s="264"/>
      <c r="H403" s="264"/>
      <c r="I403" s="267"/>
      <c r="J403" s="118"/>
      <c r="K403" s="136"/>
      <c r="L403" s="118"/>
      <c r="M403" s="136"/>
      <c r="N403" s="118"/>
      <c r="O403" s="136"/>
      <c r="P403" s="272"/>
      <c r="Q403" s="272"/>
      <c r="R403" s="272"/>
      <c r="S403" s="272"/>
      <c r="T403" s="272"/>
      <c r="U403" s="272"/>
      <c r="V403" s="273"/>
      <c r="W403" s="253"/>
      <c r="X403" s="253"/>
      <c r="Y403" s="253"/>
      <c r="Z403" s="253"/>
      <c r="AA403" s="253"/>
      <c r="AB403" s="218"/>
    </row>
    <row r="404">
      <c r="A404" s="118"/>
      <c r="B404" s="118"/>
      <c r="C404" s="143"/>
      <c r="D404" s="118"/>
      <c r="E404" s="118"/>
      <c r="F404" s="262"/>
      <c r="G404" s="264"/>
      <c r="H404" s="264"/>
      <c r="I404" s="267"/>
      <c r="J404" s="118"/>
      <c r="K404" s="136"/>
      <c r="L404" s="118"/>
      <c r="M404" s="136"/>
      <c r="N404" s="118"/>
      <c r="O404" s="136"/>
      <c r="P404" s="272"/>
      <c r="Q404" s="272"/>
      <c r="R404" s="272"/>
      <c r="S404" s="272"/>
      <c r="T404" s="272"/>
      <c r="U404" s="272"/>
      <c r="V404" s="273"/>
      <c r="W404" s="253"/>
      <c r="X404" s="253"/>
      <c r="Y404" s="253"/>
      <c r="Z404" s="253"/>
      <c r="AA404" s="253"/>
      <c r="AB404" s="218"/>
    </row>
    <row r="405">
      <c r="A405" s="118"/>
      <c r="B405" s="118"/>
      <c r="C405" s="143"/>
      <c r="D405" s="118"/>
      <c r="E405" s="118"/>
      <c r="F405" s="262"/>
      <c r="G405" s="264"/>
      <c r="H405" s="264"/>
      <c r="I405" s="267"/>
      <c r="J405" s="118"/>
      <c r="K405" s="136"/>
      <c r="L405" s="118"/>
      <c r="M405" s="136"/>
      <c r="N405" s="118"/>
      <c r="O405" s="136"/>
      <c r="P405" s="272"/>
      <c r="Q405" s="272"/>
      <c r="R405" s="272"/>
      <c r="S405" s="272"/>
      <c r="T405" s="272"/>
      <c r="U405" s="272"/>
      <c r="V405" s="273"/>
      <c r="W405" s="253"/>
      <c r="X405" s="253"/>
      <c r="Y405" s="253"/>
      <c r="Z405" s="253"/>
      <c r="AA405" s="253"/>
      <c r="AB405" s="218"/>
    </row>
    <row r="406">
      <c r="A406" s="118"/>
      <c r="B406" s="118"/>
      <c r="C406" s="143"/>
      <c r="D406" s="118"/>
      <c r="E406" s="118"/>
      <c r="F406" s="262"/>
      <c r="G406" s="264"/>
      <c r="H406" s="264"/>
      <c r="I406" s="267"/>
      <c r="J406" s="118"/>
      <c r="K406" s="136"/>
      <c r="L406" s="118"/>
      <c r="M406" s="136"/>
      <c r="N406" s="118"/>
      <c r="O406" s="136"/>
      <c r="P406" s="272"/>
      <c r="Q406" s="272"/>
      <c r="R406" s="272"/>
      <c r="S406" s="272"/>
      <c r="T406" s="272"/>
      <c r="U406" s="272"/>
      <c r="V406" s="273"/>
      <c r="W406" s="253"/>
      <c r="X406" s="253"/>
      <c r="Y406" s="253"/>
      <c r="Z406" s="253"/>
      <c r="AA406" s="253"/>
      <c r="AB406" s="218"/>
    </row>
    <row r="407">
      <c r="A407" s="118"/>
      <c r="B407" s="118"/>
      <c r="C407" s="143"/>
      <c r="D407" s="118"/>
      <c r="E407" s="118"/>
      <c r="F407" s="262"/>
      <c r="G407" s="264"/>
      <c r="H407" s="264"/>
      <c r="I407" s="267"/>
      <c r="J407" s="118"/>
      <c r="K407" s="136"/>
      <c r="L407" s="118"/>
      <c r="M407" s="136"/>
      <c r="N407" s="118"/>
      <c r="O407" s="136"/>
      <c r="P407" s="272"/>
      <c r="Q407" s="272"/>
      <c r="R407" s="272"/>
      <c r="S407" s="272"/>
      <c r="T407" s="272"/>
      <c r="U407" s="272"/>
      <c r="V407" s="273"/>
      <c r="W407" s="253"/>
      <c r="X407" s="253"/>
      <c r="Y407" s="253"/>
      <c r="Z407" s="253"/>
      <c r="AA407" s="253"/>
      <c r="AB407" s="218"/>
    </row>
    <row r="408">
      <c r="A408" s="118"/>
      <c r="B408" s="118"/>
      <c r="C408" s="143"/>
      <c r="D408" s="118"/>
      <c r="E408" s="118"/>
      <c r="F408" s="262"/>
      <c r="G408" s="264"/>
      <c r="H408" s="264"/>
      <c r="I408" s="267"/>
      <c r="J408" s="118"/>
      <c r="K408" s="136"/>
      <c r="L408" s="118"/>
      <c r="M408" s="136"/>
      <c r="N408" s="118"/>
      <c r="O408" s="136"/>
      <c r="P408" s="272"/>
      <c r="Q408" s="272"/>
      <c r="R408" s="272"/>
      <c r="S408" s="272"/>
      <c r="T408" s="272"/>
      <c r="U408" s="272"/>
      <c r="V408" s="273"/>
      <c r="W408" s="253"/>
      <c r="X408" s="253"/>
      <c r="Y408" s="253"/>
      <c r="Z408" s="253"/>
      <c r="AA408" s="253"/>
      <c r="AB408" s="218"/>
    </row>
    <row r="409">
      <c r="A409" s="118"/>
      <c r="B409" s="118"/>
      <c r="C409" s="143"/>
      <c r="D409" s="118"/>
      <c r="E409" s="118"/>
      <c r="F409" s="262"/>
      <c r="G409" s="264"/>
      <c r="H409" s="264"/>
      <c r="I409" s="267"/>
      <c r="J409" s="118"/>
      <c r="K409" s="136"/>
      <c r="L409" s="118"/>
      <c r="M409" s="136"/>
      <c r="N409" s="118"/>
      <c r="O409" s="136"/>
      <c r="P409" s="272"/>
      <c r="Q409" s="272"/>
      <c r="R409" s="272"/>
      <c r="S409" s="272"/>
      <c r="T409" s="272"/>
      <c r="U409" s="272"/>
      <c r="V409" s="273"/>
      <c r="W409" s="253"/>
      <c r="X409" s="253"/>
      <c r="Y409" s="253"/>
      <c r="Z409" s="253"/>
      <c r="AA409" s="253"/>
      <c r="AB409" s="218"/>
    </row>
    <row r="410">
      <c r="A410" s="118"/>
      <c r="B410" s="118"/>
      <c r="C410" s="143"/>
      <c r="D410" s="118"/>
      <c r="E410" s="118"/>
      <c r="F410" s="262"/>
      <c r="G410" s="264"/>
      <c r="H410" s="264"/>
      <c r="I410" s="267"/>
      <c r="J410" s="118"/>
      <c r="K410" s="136"/>
      <c r="L410" s="118"/>
      <c r="M410" s="136"/>
      <c r="N410" s="118"/>
      <c r="O410" s="136"/>
      <c r="P410" s="272"/>
      <c r="Q410" s="272"/>
      <c r="R410" s="272"/>
      <c r="S410" s="272"/>
      <c r="T410" s="272"/>
      <c r="U410" s="272"/>
      <c r="V410" s="273"/>
      <c r="W410" s="253"/>
      <c r="X410" s="253"/>
      <c r="Y410" s="253"/>
      <c r="Z410" s="253"/>
      <c r="AA410" s="253"/>
      <c r="AB410" s="218"/>
    </row>
    <row r="411">
      <c r="A411" s="118"/>
      <c r="B411" s="118"/>
      <c r="C411" s="143"/>
      <c r="D411" s="118"/>
      <c r="E411" s="118"/>
      <c r="F411" s="262"/>
      <c r="G411" s="264"/>
      <c r="H411" s="264"/>
      <c r="I411" s="267"/>
      <c r="J411" s="118"/>
      <c r="K411" s="136"/>
      <c r="L411" s="118"/>
      <c r="M411" s="136"/>
      <c r="N411" s="118"/>
      <c r="O411" s="136"/>
      <c r="P411" s="272"/>
      <c r="Q411" s="272"/>
      <c r="R411" s="272"/>
      <c r="S411" s="272"/>
      <c r="T411" s="272"/>
      <c r="U411" s="272"/>
      <c r="V411" s="273"/>
      <c r="W411" s="253"/>
      <c r="X411" s="253"/>
      <c r="Y411" s="253"/>
      <c r="Z411" s="253"/>
      <c r="AA411" s="253"/>
      <c r="AB411" s="218"/>
    </row>
    <row r="412">
      <c r="A412" s="118"/>
      <c r="B412" s="118"/>
      <c r="C412" s="143"/>
      <c r="D412" s="118"/>
      <c r="E412" s="118"/>
      <c r="F412" s="262"/>
      <c r="G412" s="264"/>
      <c r="H412" s="264"/>
      <c r="I412" s="267"/>
      <c r="J412" s="118"/>
      <c r="K412" s="136"/>
      <c r="L412" s="118"/>
      <c r="M412" s="136"/>
      <c r="N412" s="118"/>
      <c r="O412" s="136"/>
      <c r="P412" s="272"/>
      <c r="Q412" s="272"/>
      <c r="R412" s="272"/>
      <c r="S412" s="272"/>
      <c r="T412" s="272"/>
      <c r="U412" s="272"/>
      <c r="V412" s="273"/>
      <c r="W412" s="253"/>
      <c r="X412" s="253"/>
      <c r="Y412" s="253"/>
      <c r="Z412" s="253"/>
      <c r="AA412" s="253"/>
      <c r="AB412" s="218"/>
    </row>
    <row r="413">
      <c r="A413" s="118"/>
      <c r="B413" s="118"/>
      <c r="C413" s="143"/>
      <c r="D413" s="118"/>
      <c r="E413" s="118"/>
      <c r="F413" s="262"/>
      <c r="G413" s="264"/>
      <c r="H413" s="264"/>
      <c r="I413" s="267"/>
      <c r="J413" s="118"/>
      <c r="K413" s="136"/>
      <c r="L413" s="118"/>
      <c r="M413" s="136"/>
      <c r="N413" s="118"/>
      <c r="O413" s="136"/>
      <c r="P413" s="272"/>
      <c r="Q413" s="272"/>
      <c r="R413" s="272"/>
      <c r="S413" s="272"/>
      <c r="T413" s="272"/>
      <c r="U413" s="272"/>
      <c r="V413" s="273"/>
      <c r="W413" s="253"/>
      <c r="X413" s="253"/>
      <c r="Y413" s="253"/>
      <c r="Z413" s="253"/>
      <c r="AA413" s="253"/>
      <c r="AB413" s="218"/>
    </row>
    <row r="414">
      <c r="A414" s="118"/>
      <c r="B414" s="118"/>
      <c r="C414" s="143"/>
      <c r="D414" s="118"/>
      <c r="E414" s="118"/>
      <c r="F414" s="262"/>
      <c r="G414" s="264"/>
      <c r="H414" s="264"/>
      <c r="I414" s="267"/>
      <c r="J414" s="118"/>
      <c r="K414" s="136"/>
      <c r="L414" s="118"/>
      <c r="M414" s="136"/>
      <c r="N414" s="118"/>
      <c r="O414" s="136"/>
      <c r="P414" s="272"/>
      <c r="Q414" s="272"/>
      <c r="R414" s="272"/>
      <c r="S414" s="272"/>
      <c r="T414" s="272"/>
      <c r="U414" s="272"/>
      <c r="V414" s="273"/>
      <c r="W414" s="253"/>
      <c r="X414" s="253"/>
      <c r="Y414" s="253"/>
      <c r="Z414" s="253"/>
      <c r="AA414" s="253"/>
      <c r="AB414" s="218"/>
    </row>
    <row r="415">
      <c r="A415" s="118"/>
      <c r="B415" s="118"/>
      <c r="C415" s="143"/>
      <c r="D415" s="118"/>
      <c r="E415" s="118"/>
      <c r="F415" s="262"/>
      <c r="G415" s="264"/>
      <c r="H415" s="264"/>
      <c r="I415" s="267"/>
      <c r="J415" s="118"/>
      <c r="K415" s="136"/>
      <c r="L415" s="118"/>
      <c r="M415" s="136"/>
      <c r="N415" s="118"/>
      <c r="O415" s="136"/>
      <c r="P415" s="272"/>
      <c r="Q415" s="272"/>
      <c r="R415" s="272"/>
      <c r="S415" s="272"/>
      <c r="T415" s="272"/>
      <c r="U415" s="272"/>
      <c r="V415" s="273"/>
      <c r="W415" s="253"/>
      <c r="X415" s="253"/>
      <c r="Y415" s="253"/>
      <c r="Z415" s="253"/>
      <c r="AA415" s="253"/>
      <c r="AB415" s="218"/>
    </row>
    <row r="416">
      <c r="A416" s="118"/>
      <c r="B416" s="118"/>
      <c r="C416" s="143"/>
      <c r="D416" s="118"/>
      <c r="E416" s="118"/>
      <c r="F416" s="262"/>
      <c r="G416" s="264"/>
      <c r="H416" s="264"/>
      <c r="I416" s="267"/>
      <c r="J416" s="118"/>
      <c r="K416" s="136"/>
      <c r="L416" s="118"/>
      <c r="M416" s="136"/>
      <c r="N416" s="118"/>
      <c r="O416" s="136"/>
      <c r="P416" s="272"/>
      <c r="Q416" s="272"/>
      <c r="R416" s="272"/>
      <c r="S416" s="272"/>
      <c r="T416" s="272"/>
      <c r="U416" s="272"/>
      <c r="V416" s="273"/>
      <c r="W416" s="253"/>
      <c r="X416" s="253"/>
      <c r="Y416" s="253"/>
      <c r="Z416" s="253"/>
      <c r="AA416" s="253"/>
      <c r="AB416" s="218"/>
    </row>
    <row r="417">
      <c r="A417" s="118"/>
      <c r="B417" s="118"/>
      <c r="C417" s="143"/>
      <c r="D417" s="118"/>
      <c r="E417" s="118"/>
      <c r="F417" s="262"/>
      <c r="G417" s="264"/>
      <c r="H417" s="264"/>
      <c r="I417" s="267"/>
      <c r="J417" s="118"/>
      <c r="K417" s="136"/>
      <c r="L417" s="118"/>
      <c r="M417" s="136"/>
      <c r="N417" s="118"/>
      <c r="O417" s="136"/>
      <c r="P417" s="272"/>
      <c r="Q417" s="272"/>
      <c r="R417" s="272"/>
      <c r="S417" s="272"/>
      <c r="T417" s="272"/>
      <c r="U417" s="272"/>
      <c r="V417" s="273"/>
      <c r="W417" s="253"/>
      <c r="X417" s="253"/>
      <c r="Y417" s="253"/>
      <c r="Z417" s="253"/>
      <c r="AA417" s="253"/>
      <c r="AB417" s="218"/>
    </row>
    <row r="418">
      <c r="A418" s="118"/>
      <c r="B418" s="118"/>
      <c r="C418" s="143"/>
      <c r="D418" s="118"/>
      <c r="E418" s="118"/>
      <c r="F418" s="262"/>
      <c r="G418" s="264"/>
      <c r="H418" s="264"/>
      <c r="I418" s="267"/>
      <c r="J418" s="118"/>
      <c r="K418" s="136"/>
      <c r="L418" s="118"/>
      <c r="M418" s="136"/>
      <c r="N418" s="118"/>
      <c r="O418" s="136"/>
      <c r="P418" s="272"/>
      <c r="Q418" s="272"/>
      <c r="R418" s="272"/>
      <c r="S418" s="272"/>
      <c r="T418" s="272"/>
      <c r="U418" s="272"/>
      <c r="V418" s="273"/>
      <c r="W418" s="253"/>
      <c r="X418" s="253"/>
      <c r="Y418" s="253"/>
      <c r="Z418" s="253"/>
      <c r="AA418" s="253"/>
      <c r="AB418" s="218"/>
    </row>
    <row r="419">
      <c r="A419" s="118"/>
      <c r="B419" s="118"/>
      <c r="C419" s="143"/>
      <c r="D419" s="118"/>
      <c r="E419" s="118"/>
      <c r="F419" s="262"/>
      <c r="G419" s="264"/>
      <c r="H419" s="264"/>
      <c r="I419" s="267"/>
      <c r="J419" s="118"/>
      <c r="K419" s="136"/>
      <c r="L419" s="118"/>
      <c r="M419" s="136"/>
      <c r="N419" s="118"/>
      <c r="O419" s="136"/>
      <c r="P419" s="272"/>
      <c r="Q419" s="272"/>
      <c r="R419" s="272"/>
      <c r="S419" s="272"/>
      <c r="T419" s="272"/>
      <c r="U419" s="272"/>
      <c r="V419" s="273"/>
      <c r="W419" s="253"/>
      <c r="X419" s="253"/>
      <c r="Y419" s="253"/>
      <c r="Z419" s="253"/>
      <c r="AA419" s="253"/>
      <c r="AB419" s="218"/>
    </row>
    <row r="420">
      <c r="A420" s="118"/>
      <c r="B420" s="118"/>
      <c r="C420" s="143"/>
      <c r="D420" s="118"/>
      <c r="E420" s="118"/>
      <c r="F420" s="262"/>
      <c r="G420" s="264"/>
      <c r="H420" s="264"/>
      <c r="I420" s="267"/>
      <c r="J420" s="118"/>
      <c r="K420" s="136"/>
      <c r="L420" s="118"/>
      <c r="M420" s="136"/>
      <c r="N420" s="118"/>
      <c r="O420" s="136"/>
      <c r="P420" s="272"/>
      <c r="Q420" s="272"/>
      <c r="R420" s="272"/>
      <c r="S420" s="272"/>
      <c r="T420" s="272"/>
      <c r="U420" s="272"/>
      <c r="V420" s="273"/>
      <c r="W420" s="253"/>
      <c r="X420" s="253"/>
      <c r="Y420" s="253"/>
      <c r="Z420" s="253"/>
      <c r="AA420" s="253"/>
      <c r="AB420" s="218"/>
    </row>
    <row r="421">
      <c r="A421" s="118"/>
      <c r="B421" s="118"/>
      <c r="C421" s="143"/>
      <c r="D421" s="118"/>
      <c r="E421" s="118"/>
      <c r="F421" s="262"/>
      <c r="G421" s="264"/>
      <c r="H421" s="264"/>
      <c r="I421" s="267"/>
      <c r="J421" s="118"/>
      <c r="K421" s="136"/>
      <c r="L421" s="118"/>
      <c r="M421" s="136"/>
      <c r="N421" s="118"/>
      <c r="O421" s="136"/>
      <c r="P421" s="272"/>
      <c r="Q421" s="272"/>
      <c r="R421" s="272"/>
      <c r="S421" s="272"/>
      <c r="T421" s="272"/>
      <c r="U421" s="272"/>
      <c r="V421" s="273"/>
      <c r="W421" s="253"/>
      <c r="X421" s="253"/>
      <c r="Y421" s="253"/>
      <c r="Z421" s="253"/>
      <c r="AA421" s="253"/>
      <c r="AB421" s="218"/>
    </row>
    <row r="422">
      <c r="A422" s="118"/>
      <c r="B422" s="118"/>
      <c r="C422" s="143"/>
      <c r="D422" s="118"/>
      <c r="E422" s="118"/>
      <c r="F422" s="262"/>
      <c r="G422" s="264"/>
      <c r="H422" s="264"/>
      <c r="I422" s="267"/>
      <c r="J422" s="118"/>
      <c r="K422" s="136"/>
      <c r="L422" s="118"/>
      <c r="M422" s="136"/>
      <c r="N422" s="118"/>
      <c r="O422" s="136"/>
      <c r="P422" s="272"/>
      <c r="Q422" s="272"/>
      <c r="R422" s="272"/>
      <c r="S422" s="272"/>
      <c r="T422" s="272"/>
      <c r="U422" s="272"/>
      <c r="V422" s="273"/>
      <c r="W422" s="253"/>
      <c r="X422" s="253"/>
      <c r="Y422" s="253"/>
      <c r="Z422" s="253"/>
      <c r="AA422" s="253"/>
      <c r="AB422" s="218"/>
    </row>
    <row r="423">
      <c r="A423" s="118"/>
      <c r="B423" s="118"/>
      <c r="C423" s="143"/>
      <c r="D423" s="118"/>
      <c r="E423" s="118"/>
      <c r="F423" s="262"/>
      <c r="G423" s="264"/>
      <c r="H423" s="264"/>
      <c r="I423" s="267"/>
      <c r="J423" s="118"/>
      <c r="K423" s="136"/>
      <c r="L423" s="118"/>
      <c r="M423" s="136"/>
      <c r="N423" s="118"/>
      <c r="O423" s="136"/>
      <c r="P423" s="272"/>
      <c r="Q423" s="272"/>
      <c r="R423" s="272"/>
      <c r="S423" s="272"/>
      <c r="T423" s="272"/>
      <c r="U423" s="272"/>
      <c r="V423" s="273"/>
      <c r="W423" s="253"/>
      <c r="X423" s="253"/>
      <c r="Y423" s="253"/>
      <c r="Z423" s="253"/>
      <c r="AA423" s="253"/>
      <c r="AB423" s="218"/>
    </row>
    <row r="424">
      <c r="A424" s="118"/>
      <c r="B424" s="118"/>
      <c r="C424" s="143"/>
      <c r="D424" s="118"/>
      <c r="E424" s="118"/>
      <c r="F424" s="262"/>
      <c r="G424" s="264"/>
      <c r="H424" s="264"/>
      <c r="I424" s="267"/>
      <c r="J424" s="118"/>
      <c r="K424" s="136"/>
      <c r="L424" s="118"/>
      <c r="M424" s="136"/>
      <c r="N424" s="118"/>
      <c r="O424" s="136"/>
      <c r="P424" s="272"/>
      <c r="Q424" s="272"/>
      <c r="R424" s="272"/>
      <c r="S424" s="272"/>
      <c r="T424" s="272"/>
      <c r="U424" s="272"/>
      <c r="V424" s="273"/>
      <c r="W424" s="253"/>
      <c r="X424" s="253"/>
      <c r="Y424" s="253"/>
      <c r="Z424" s="253"/>
      <c r="AA424" s="253"/>
      <c r="AB424" s="218"/>
    </row>
    <row r="425">
      <c r="A425" s="118"/>
      <c r="B425" s="118"/>
      <c r="C425" s="143"/>
      <c r="D425" s="118"/>
      <c r="E425" s="118"/>
      <c r="F425" s="262"/>
      <c r="G425" s="264"/>
      <c r="H425" s="264"/>
      <c r="I425" s="267"/>
      <c r="J425" s="118"/>
      <c r="K425" s="136"/>
      <c r="L425" s="118"/>
      <c r="M425" s="136"/>
      <c r="N425" s="118"/>
      <c r="O425" s="136"/>
      <c r="P425" s="272"/>
      <c r="Q425" s="272"/>
      <c r="R425" s="272"/>
      <c r="S425" s="272"/>
      <c r="T425" s="272"/>
      <c r="U425" s="272"/>
      <c r="V425" s="273"/>
      <c r="W425" s="253"/>
      <c r="X425" s="253"/>
      <c r="Y425" s="253"/>
      <c r="Z425" s="253"/>
      <c r="AA425" s="253"/>
      <c r="AB425" s="218"/>
    </row>
    <row r="426">
      <c r="A426" s="118"/>
      <c r="B426" s="118"/>
      <c r="C426" s="143"/>
      <c r="D426" s="118"/>
      <c r="E426" s="118"/>
      <c r="F426" s="262"/>
      <c r="G426" s="264"/>
      <c r="H426" s="264"/>
      <c r="I426" s="267"/>
      <c r="J426" s="118"/>
      <c r="K426" s="136"/>
      <c r="L426" s="118"/>
      <c r="M426" s="136"/>
      <c r="N426" s="118"/>
      <c r="O426" s="136"/>
      <c r="P426" s="272"/>
      <c r="Q426" s="272"/>
      <c r="R426" s="272"/>
      <c r="S426" s="272"/>
      <c r="T426" s="272"/>
      <c r="U426" s="272"/>
      <c r="V426" s="273"/>
      <c r="W426" s="253"/>
      <c r="X426" s="253"/>
      <c r="Y426" s="253"/>
      <c r="Z426" s="253"/>
      <c r="AA426" s="253"/>
      <c r="AB426" s="218"/>
    </row>
    <row r="427">
      <c r="A427" s="118"/>
      <c r="B427" s="118"/>
      <c r="C427" s="143"/>
      <c r="D427" s="118"/>
      <c r="E427" s="118"/>
      <c r="F427" s="262"/>
      <c r="G427" s="264"/>
      <c r="H427" s="264"/>
      <c r="I427" s="267"/>
      <c r="J427" s="118"/>
      <c r="K427" s="136"/>
      <c r="L427" s="118"/>
      <c r="M427" s="136"/>
      <c r="N427" s="118"/>
      <c r="O427" s="136"/>
      <c r="P427" s="272"/>
      <c r="Q427" s="272"/>
      <c r="R427" s="272"/>
      <c r="S427" s="272"/>
      <c r="T427" s="272"/>
      <c r="U427" s="272"/>
      <c r="V427" s="273"/>
      <c r="W427" s="253"/>
      <c r="X427" s="253"/>
      <c r="Y427" s="253"/>
      <c r="Z427" s="253"/>
      <c r="AA427" s="253"/>
      <c r="AB427" s="218"/>
    </row>
    <row r="428">
      <c r="A428" s="118"/>
      <c r="B428" s="118"/>
      <c r="C428" s="143"/>
      <c r="D428" s="118"/>
      <c r="E428" s="118"/>
      <c r="F428" s="262"/>
      <c r="G428" s="264"/>
      <c r="H428" s="264"/>
      <c r="I428" s="267"/>
      <c r="J428" s="118"/>
      <c r="K428" s="136"/>
      <c r="L428" s="118"/>
      <c r="M428" s="136"/>
      <c r="N428" s="118"/>
      <c r="O428" s="136"/>
      <c r="P428" s="272"/>
      <c r="Q428" s="272"/>
      <c r="R428" s="272"/>
      <c r="S428" s="272"/>
      <c r="T428" s="272"/>
      <c r="U428" s="272"/>
      <c r="V428" s="273"/>
      <c r="W428" s="253"/>
      <c r="X428" s="253"/>
      <c r="Y428" s="253"/>
      <c r="Z428" s="253"/>
      <c r="AA428" s="253"/>
      <c r="AB428" s="218"/>
    </row>
    <row r="429">
      <c r="A429" s="118"/>
      <c r="B429" s="118"/>
      <c r="C429" s="143"/>
      <c r="D429" s="118"/>
      <c r="E429" s="118"/>
      <c r="F429" s="262"/>
      <c r="G429" s="264"/>
      <c r="H429" s="264"/>
      <c r="I429" s="267"/>
      <c r="J429" s="118"/>
      <c r="K429" s="136"/>
      <c r="L429" s="118"/>
      <c r="M429" s="136"/>
      <c r="N429" s="118"/>
      <c r="O429" s="136"/>
      <c r="P429" s="272"/>
      <c r="Q429" s="272"/>
      <c r="R429" s="272"/>
      <c r="S429" s="272"/>
      <c r="T429" s="272"/>
      <c r="U429" s="272"/>
      <c r="V429" s="273"/>
      <c r="W429" s="253"/>
      <c r="X429" s="253"/>
      <c r="Y429" s="253"/>
      <c r="Z429" s="253"/>
      <c r="AA429" s="253"/>
      <c r="AB429" s="218"/>
    </row>
    <row r="430">
      <c r="A430" s="118"/>
      <c r="B430" s="118"/>
      <c r="C430" s="143"/>
      <c r="D430" s="118"/>
      <c r="E430" s="118"/>
      <c r="F430" s="262"/>
      <c r="G430" s="264"/>
      <c r="H430" s="264"/>
      <c r="I430" s="267"/>
      <c r="J430" s="118"/>
      <c r="K430" s="136"/>
      <c r="L430" s="118"/>
      <c r="M430" s="136"/>
      <c r="N430" s="118"/>
      <c r="O430" s="136"/>
      <c r="P430" s="272"/>
      <c r="Q430" s="272"/>
      <c r="R430" s="272"/>
      <c r="S430" s="272"/>
      <c r="T430" s="272"/>
      <c r="U430" s="272"/>
      <c r="V430" s="273"/>
      <c r="W430" s="253"/>
      <c r="X430" s="253"/>
      <c r="Y430" s="253"/>
      <c r="Z430" s="253"/>
      <c r="AA430" s="253"/>
      <c r="AB430" s="218"/>
    </row>
    <row r="431">
      <c r="A431" s="118"/>
      <c r="B431" s="118"/>
      <c r="C431" s="143"/>
      <c r="D431" s="118"/>
      <c r="E431" s="118"/>
      <c r="F431" s="262"/>
      <c r="G431" s="264"/>
      <c r="H431" s="264"/>
      <c r="I431" s="267"/>
      <c r="J431" s="118"/>
      <c r="K431" s="136"/>
      <c r="L431" s="118"/>
      <c r="M431" s="136"/>
      <c r="N431" s="118"/>
      <c r="O431" s="136"/>
      <c r="P431" s="272"/>
      <c r="Q431" s="272"/>
      <c r="R431" s="272"/>
      <c r="S431" s="272"/>
      <c r="T431" s="272"/>
      <c r="U431" s="272"/>
      <c r="V431" s="273"/>
      <c r="W431" s="253"/>
      <c r="X431" s="253"/>
      <c r="Y431" s="253"/>
      <c r="Z431" s="253"/>
      <c r="AA431" s="253"/>
      <c r="AB431" s="218"/>
    </row>
    <row r="432">
      <c r="A432" s="118"/>
      <c r="B432" s="118"/>
      <c r="C432" s="143"/>
      <c r="D432" s="118"/>
      <c r="E432" s="118"/>
      <c r="F432" s="262"/>
      <c r="G432" s="264"/>
      <c r="H432" s="264"/>
      <c r="I432" s="267"/>
      <c r="J432" s="118"/>
      <c r="K432" s="136"/>
      <c r="L432" s="118"/>
      <c r="M432" s="136"/>
      <c r="N432" s="118"/>
      <c r="O432" s="136"/>
      <c r="P432" s="272"/>
      <c r="Q432" s="272"/>
      <c r="R432" s="272"/>
      <c r="S432" s="272"/>
      <c r="T432" s="272"/>
      <c r="U432" s="272"/>
      <c r="V432" s="273"/>
      <c r="W432" s="253"/>
      <c r="X432" s="253"/>
      <c r="Y432" s="253"/>
      <c r="Z432" s="253"/>
      <c r="AA432" s="253"/>
      <c r="AB432" s="218"/>
    </row>
    <row r="433">
      <c r="A433" s="118"/>
      <c r="B433" s="118"/>
      <c r="C433" s="143"/>
      <c r="D433" s="118"/>
      <c r="E433" s="118"/>
      <c r="F433" s="262"/>
      <c r="G433" s="264"/>
      <c r="H433" s="264"/>
      <c r="I433" s="267"/>
      <c r="J433" s="118"/>
      <c r="K433" s="136"/>
      <c r="L433" s="118"/>
      <c r="M433" s="136"/>
      <c r="N433" s="118"/>
      <c r="O433" s="136"/>
      <c r="P433" s="272"/>
      <c r="Q433" s="272"/>
      <c r="R433" s="272"/>
      <c r="S433" s="272"/>
      <c r="T433" s="272"/>
      <c r="U433" s="272"/>
      <c r="V433" s="273"/>
      <c r="W433" s="253"/>
      <c r="X433" s="253"/>
      <c r="Y433" s="253"/>
      <c r="Z433" s="253"/>
      <c r="AA433" s="253"/>
      <c r="AB433" s="218"/>
    </row>
    <row r="434">
      <c r="A434" s="118"/>
      <c r="B434" s="118"/>
      <c r="C434" s="143"/>
      <c r="D434" s="118"/>
      <c r="E434" s="118"/>
      <c r="F434" s="262"/>
      <c r="G434" s="264"/>
      <c r="H434" s="264"/>
      <c r="I434" s="267"/>
      <c r="J434" s="118"/>
      <c r="K434" s="136"/>
      <c r="L434" s="118"/>
      <c r="M434" s="136"/>
      <c r="N434" s="118"/>
      <c r="O434" s="136"/>
      <c r="P434" s="272"/>
      <c r="Q434" s="272"/>
      <c r="R434" s="272"/>
      <c r="S434" s="272"/>
      <c r="T434" s="272"/>
      <c r="U434" s="272"/>
      <c r="V434" s="273"/>
      <c r="W434" s="253"/>
      <c r="X434" s="253"/>
      <c r="Y434" s="253"/>
      <c r="Z434" s="253"/>
      <c r="AA434" s="253"/>
      <c r="AB434" s="218"/>
    </row>
    <row r="435">
      <c r="A435" s="118"/>
      <c r="B435" s="118"/>
      <c r="C435" s="143"/>
      <c r="D435" s="118"/>
      <c r="E435" s="118"/>
      <c r="F435" s="262"/>
      <c r="G435" s="264"/>
      <c r="H435" s="264"/>
      <c r="I435" s="267"/>
      <c r="J435" s="118"/>
      <c r="K435" s="136"/>
      <c r="L435" s="118"/>
      <c r="M435" s="136"/>
      <c r="N435" s="118"/>
      <c r="O435" s="136"/>
      <c r="P435" s="272"/>
      <c r="Q435" s="272"/>
      <c r="R435" s="272"/>
      <c r="S435" s="272"/>
      <c r="T435" s="272"/>
      <c r="U435" s="272"/>
      <c r="V435" s="273"/>
      <c r="W435" s="253"/>
      <c r="X435" s="253"/>
      <c r="Y435" s="253"/>
      <c r="Z435" s="253"/>
      <c r="AA435" s="253"/>
      <c r="AB435" s="218"/>
    </row>
    <row r="436">
      <c r="A436" s="118"/>
      <c r="B436" s="118"/>
      <c r="C436" s="143"/>
      <c r="D436" s="118"/>
      <c r="E436" s="118"/>
      <c r="F436" s="262"/>
      <c r="G436" s="264"/>
      <c r="H436" s="264"/>
      <c r="I436" s="267"/>
      <c r="J436" s="118"/>
      <c r="K436" s="136"/>
      <c r="L436" s="118"/>
      <c r="M436" s="136"/>
      <c r="N436" s="118"/>
      <c r="O436" s="136"/>
      <c r="P436" s="272"/>
      <c r="Q436" s="272"/>
      <c r="R436" s="272"/>
      <c r="S436" s="272"/>
      <c r="T436" s="272"/>
      <c r="U436" s="272"/>
      <c r="V436" s="273"/>
      <c r="W436" s="253"/>
      <c r="X436" s="253"/>
      <c r="Y436" s="253"/>
      <c r="Z436" s="253"/>
      <c r="AA436" s="253"/>
      <c r="AB436" s="218"/>
    </row>
    <row r="437">
      <c r="A437" s="118"/>
      <c r="B437" s="118"/>
      <c r="C437" s="143"/>
      <c r="D437" s="118"/>
      <c r="E437" s="118"/>
      <c r="F437" s="262"/>
      <c r="G437" s="264"/>
      <c r="H437" s="264"/>
      <c r="I437" s="267"/>
      <c r="J437" s="118"/>
      <c r="K437" s="136"/>
      <c r="L437" s="118"/>
      <c r="M437" s="136"/>
      <c r="N437" s="118"/>
      <c r="O437" s="136"/>
      <c r="P437" s="272"/>
      <c r="Q437" s="272"/>
      <c r="R437" s="272"/>
      <c r="S437" s="272"/>
      <c r="T437" s="272"/>
      <c r="U437" s="272"/>
      <c r="V437" s="273"/>
      <c r="W437" s="253"/>
      <c r="X437" s="253"/>
      <c r="Y437" s="253"/>
      <c r="Z437" s="253"/>
      <c r="AA437" s="253"/>
      <c r="AB437" s="218"/>
    </row>
    <row r="438">
      <c r="A438" s="118"/>
      <c r="B438" s="118"/>
      <c r="C438" s="143"/>
      <c r="D438" s="118"/>
      <c r="E438" s="118"/>
      <c r="F438" s="262"/>
      <c r="G438" s="264"/>
      <c r="H438" s="264"/>
      <c r="I438" s="267"/>
      <c r="J438" s="118"/>
      <c r="K438" s="136"/>
      <c r="L438" s="118"/>
      <c r="M438" s="136"/>
      <c r="N438" s="118"/>
      <c r="O438" s="136"/>
      <c r="P438" s="272"/>
      <c r="Q438" s="272"/>
      <c r="R438" s="272"/>
      <c r="S438" s="272"/>
      <c r="T438" s="272"/>
      <c r="U438" s="272"/>
      <c r="V438" s="273"/>
      <c r="W438" s="253"/>
      <c r="X438" s="253"/>
      <c r="Y438" s="253"/>
      <c r="Z438" s="253"/>
      <c r="AA438" s="253"/>
      <c r="AB438" s="218"/>
    </row>
    <row r="439">
      <c r="A439" s="118"/>
      <c r="B439" s="118"/>
      <c r="C439" s="143"/>
      <c r="D439" s="118"/>
      <c r="E439" s="118"/>
      <c r="F439" s="262"/>
      <c r="G439" s="264"/>
      <c r="H439" s="264"/>
      <c r="I439" s="267"/>
      <c r="J439" s="118"/>
      <c r="K439" s="136"/>
      <c r="L439" s="118"/>
      <c r="M439" s="136"/>
      <c r="N439" s="118"/>
      <c r="O439" s="136"/>
      <c r="P439" s="272"/>
      <c r="Q439" s="272"/>
      <c r="R439" s="272"/>
      <c r="S439" s="272"/>
      <c r="T439" s="272"/>
      <c r="U439" s="272"/>
      <c r="V439" s="273"/>
      <c r="W439" s="253"/>
      <c r="X439" s="253"/>
      <c r="Y439" s="253"/>
      <c r="Z439" s="253"/>
      <c r="AA439" s="253"/>
      <c r="AB439" s="218"/>
    </row>
    <row r="440">
      <c r="A440" s="118"/>
      <c r="B440" s="118"/>
      <c r="C440" s="143"/>
      <c r="D440" s="118"/>
      <c r="E440" s="118"/>
      <c r="F440" s="262"/>
      <c r="G440" s="264"/>
      <c r="H440" s="264"/>
      <c r="I440" s="267"/>
      <c r="J440" s="118"/>
      <c r="K440" s="136"/>
      <c r="L440" s="118"/>
      <c r="M440" s="136"/>
      <c r="N440" s="118"/>
      <c r="O440" s="136"/>
      <c r="P440" s="272"/>
      <c r="Q440" s="272"/>
      <c r="R440" s="272"/>
      <c r="S440" s="272"/>
      <c r="T440" s="272"/>
      <c r="U440" s="272"/>
      <c r="V440" s="273"/>
      <c r="W440" s="253"/>
      <c r="X440" s="253"/>
      <c r="Y440" s="253"/>
      <c r="Z440" s="253"/>
      <c r="AA440" s="253"/>
      <c r="AB440" s="218"/>
    </row>
    <row r="441">
      <c r="A441" s="118"/>
      <c r="B441" s="118"/>
      <c r="C441" s="143"/>
      <c r="D441" s="118"/>
      <c r="E441" s="118"/>
      <c r="F441" s="262"/>
      <c r="G441" s="264"/>
      <c r="H441" s="264"/>
      <c r="I441" s="267"/>
      <c r="J441" s="118"/>
      <c r="K441" s="136"/>
      <c r="L441" s="118"/>
      <c r="M441" s="136"/>
      <c r="N441" s="118"/>
      <c r="O441" s="136"/>
      <c r="P441" s="272"/>
      <c r="Q441" s="272"/>
      <c r="R441" s="272"/>
      <c r="S441" s="272"/>
      <c r="T441" s="272"/>
      <c r="U441" s="272"/>
      <c r="V441" s="273"/>
      <c r="W441" s="253"/>
      <c r="X441" s="253"/>
      <c r="Y441" s="253"/>
      <c r="Z441" s="253"/>
      <c r="AA441" s="253"/>
      <c r="AB441" s="218"/>
    </row>
    <row r="442">
      <c r="A442" s="118"/>
      <c r="B442" s="118"/>
      <c r="C442" s="143"/>
      <c r="D442" s="118"/>
      <c r="E442" s="118"/>
      <c r="F442" s="262"/>
      <c r="G442" s="264"/>
      <c r="H442" s="264"/>
      <c r="I442" s="267"/>
      <c r="J442" s="118"/>
      <c r="K442" s="136"/>
      <c r="L442" s="118"/>
      <c r="M442" s="136"/>
      <c r="N442" s="118"/>
      <c r="O442" s="136"/>
      <c r="P442" s="272"/>
      <c r="Q442" s="272"/>
      <c r="R442" s="272"/>
      <c r="S442" s="272"/>
      <c r="T442" s="272"/>
      <c r="U442" s="272"/>
      <c r="V442" s="273"/>
      <c r="W442" s="253"/>
      <c r="X442" s="253"/>
      <c r="Y442" s="253"/>
      <c r="Z442" s="253"/>
      <c r="AA442" s="253"/>
      <c r="AB442" s="218"/>
    </row>
    <row r="443">
      <c r="A443" s="118"/>
      <c r="B443" s="118"/>
      <c r="C443" s="143"/>
      <c r="D443" s="118"/>
      <c r="E443" s="118"/>
      <c r="F443" s="262"/>
      <c r="G443" s="264"/>
      <c r="H443" s="264"/>
      <c r="I443" s="267"/>
      <c r="J443" s="118"/>
      <c r="K443" s="136"/>
      <c r="L443" s="118"/>
      <c r="M443" s="136"/>
      <c r="N443" s="118"/>
      <c r="O443" s="136"/>
      <c r="P443" s="272"/>
      <c r="Q443" s="272"/>
      <c r="R443" s="272"/>
      <c r="S443" s="272"/>
      <c r="T443" s="272"/>
      <c r="U443" s="272"/>
      <c r="V443" s="273"/>
      <c r="W443" s="253"/>
      <c r="X443" s="253"/>
      <c r="Y443" s="253"/>
      <c r="Z443" s="253"/>
      <c r="AA443" s="253"/>
      <c r="AB443" s="218"/>
    </row>
    <row r="444">
      <c r="A444" s="118"/>
      <c r="B444" s="118"/>
      <c r="C444" s="143"/>
      <c r="D444" s="118"/>
      <c r="E444" s="118"/>
      <c r="F444" s="262"/>
      <c r="G444" s="264"/>
      <c r="H444" s="264"/>
      <c r="I444" s="267"/>
      <c r="J444" s="118"/>
      <c r="K444" s="136"/>
      <c r="L444" s="118"/>
      <c r="M444" s="136"/>
      <c r="N444" s="118"/>
      <c r="O444" s="136"/>
      <c r="P444" s="272"/>
      <c r="Q444" s="272"/>
      <c r="R444" s="272"/>
      <c r="S444" s="272"/>
      <c r="T444" s="272"/>
      <c r="U444" s="272"/>
      <c r="V444" s="273"/>
      <c r="W444" s="253"/>
      <c r="X444" s="253"/>
      <c r="Y444" s="253"/>
      <c r="Z444" s="253"/>
      <c r="AA444" s="253"/>
      <c r="AB444" s="218"/>
    </row>
    <row r="445">
      <c r="A445" s="118"/>
      <c r="B445" s="118"/>
      <c r="C445" s="143"/>
      <c r="D445" s="118"/>
      <c r="E445" s="118"/>
      <c r="F445" s="262"/>
      <c r="G445" s="264"/>
      <c r="H445" s="264"/>
      <c r="I445" s="267"/>
      <c r="J445" s="118"/>
      <c r="K445" s="136"/>
      <c r="L445" s="118"/>
      <c r="M445" s="136"/>
      <c r="N445" s="118"/>
      <c r="O445" s="136"/>
      <c r="P445" s="272"/>
      <c r="Q445" s="272"/>
      <c r="R445" s="272"/>
      <c r="S445" s="272"/>
      <c r="T445" s="272"/>
      <c r="U445" s="272"/>
      <c r="V445" s="273"/>
      <c r="W445" s="253"/>
      <c r="X445" s="253"/>
      <c r="Y445" s="253"/>
      <c r="Z445" s="253"/>
      <c r="AA445" s="253"/>
      <c r="AB445" s="218"/>
    </row>
    <row r="446">
      <c r="A446" s="118"/>
      <c r="B446" s="118"/>
      <c r="C446" s="143"/>
      <c r="D446" s="118"/>
      <c r="E446" s="118"/>
      <c r="F446" s="262"/>
      <c r="G446" s="264"/>
      <c r="H446" s="264"/>
      <c r="I446" s="267"/>
      <c r="J446" s="118"/>
      <c r="K446" s="136"/>
      <c r="L446" s="118"/>
      <c r="M446" s="136"/>
      <c r="N446" s="118"/>
      <c r="O446" s="136"/>
      <c r="P446" s="272"/>
      <c r="Q446" s="272"/>
      <c r="R446" s="272"/>
      <c r="S446" s="272"/>
      <c r="T446" s="272"/>
      <c r="U446" s="272"/>
      <c r="V446" s="273"/>
      <c r="W446" s="253"/>
      <c r="X446" s="253"/>
      <c r="Y446" s="253"/>
      <c r="Z446" s="253"/>
      <c r="AA446" s="253"/>
      <c r="AB446" s="218"/>
    </row>
    <row r="447">
      <c r="A447" s="118"/>
      <c r="B447" s="118"/>
      <c r="C447" s="143"/>
      <c r="D447" s="118"/>
      <c r="E447" s="118"/>
      <c r="F447" s="262"/>
      <c r="G447" s="264"/>
      <c r="H447" s="264"/>
      <c r="I447" s="267"/>
      <c r="J447" s="118"/>
      <c r="K447" s="136"/>
      <c r="L447" s="118"/>
      <c r="M447" s="136"/>
      <c r="N447" s="118"/>
      <c r="O447" s="136"/>
      <c r="P447" s="272"/>
      <c r="Q447" s="272"/>
      <c r="R447" s="272"/>
      <c r="S447" s="272"/>
      <c r="T447" s="272"/>
      <c r="U447" s="272"/>
      <c r="V447" s="273"/>
      <c r="W447" s="253"/>
      <c r="X447" s="253"/>
      <c r="Y447" s="253"/>
      <c r="Z447" s="253"/>
      <c r="AA447" s="253"/>
      <c r="AB447" s="218"/>
    </row>
    <row r="448">
      <c r="A448" s="118"/>
      <c r="B448" s="118"/>
      <c r="C448" s="143"/>
      <c r="D448" s="118"/>
      <c r="E448" s="118"/>
      <c r="F448" s="262"/>
      <c r="G448" s="264"/>
      <c r="H448" s="264"/>
      <c r="I448" s="267"/>
      <c r="J448" s="118"/>
      <c r="K448" s="136"/>
      <c r="L448" s="118"/>
      <c r="M448" s="136"/>
      <c r="N448" s="118"/>
      <c r="O448" s="136"/>
      <c r="P448" s="272"/>
      <c r="Q448" s="272"/>
      <c r="R448" s="272"/>
      <c r="S448" s="272"/>
      <c r="T448" s="272"/>
      <c r="U448" s="272"/>
      <c r="V448" s="273"/>
      <c r="W448" s="253"/>
      <c r="X448" s="253"/>
      <c r="Y448" s="253"/>
      <c r="Z448" s="253"/>
      <c r="AA448" s="253"/>
      <c r="AB448" s="218"/>
    </row>
    <row r="449">
      <c r="A449" s="118"/>
      <c r="B449" s="118"/>
      <c r="C449" s="143"/>
      <c r="D449" s="118"/>
      <c r="E449" s="118"/>
      <c r="F449" s="262"/>
      <c r="G449" s="264"/>
      <c r="H449" s="264"/>
      <c r="I449" s="267"/>
      <c r="J449" s="118"/>
      <c r="K449" s="136"/>
      <c r="L449" s="118"/>
      <c r="M449" s="136"/>
      <c r="N449" s="118"/>
      <c r="O449" s="136"/>
      <c r="P449" s="272"/>
      <c r="Q449" s="272"/>
      <c r="R449" s="272"/>
      <c r="S449" s="272"/>
      <c r="T449" s="272"/>
      <c r="U449" s="272"/>
      <c r="V449" s="273"/>
      <c r="W449" s="253"/>
      <c r="X449" s="253"/>
      <c r="Y449" s="253"/>
      <c r="Z449" s="253"/>
      <c r="AA449" s="253"/>
      <c r="AB449" s="218"/>
    </row>
    <row r="450">
      <c r="A450" s="118"/>
      <c r="B450" s="118"/>
      <c r="C450" s="143"/>
      <c r="D450" s="118"/>
      <c r="E450" s="118"/>
      <c r="F450" s="262"/>
      <c r="G450" s="264"/>
      <c r="H450" s="264"/>
      <c r="I450" s="267"/>
      <c r="J450" s="118"/>
      <c r="K450" s="136"/>
      <c r="L450" s="118"/>
      <c r="M450" s="136"/>
      <c r="N450" s="118"/>
      <c r="O450" s="136"/>
      <c r="P450" s="272"/>
      <c r="Q450" s="272"/>
      <c r="R450" s="272"/>
      <c r="S450" s="272"/>
      <c r="T450" s="272"/>
      <c r="U450" s="272"/>
      <c r="V450" s="273"/>
      <c r="W450" s="253"/>
      <c r="X450" s="253"/>
      <c r="Y450" s="253"/>
      <c r="Z450" s="253"/>
      <c r="AA450" s="253"/>
      <c r="AB450" s="218"/>
    </row>
    <row r="451">
      <c r="A451" s="118"/>
      <c r="B451" s="118"/>
      <c r="C451" s="143"/>
      <c r="D451" s="118"/>
      <c r="E451" s="118"/>
      <c r="F451" s="262"/>
      <c r="G451" s="264"/>
      <c r="H451" s="264"/>
      <c r="I451" s="267"/>
      <c r="J451" s="118"/>
      <c r="K451" s="136"/>
      <c r="L451" s="118"/>
      <c r="M451" s="136"/>
      <c r="N451" s="118"/>
      <c r="O451" s="136"/>
      <c r="P451" s="272"/>
      <c r="Q451" s="272"/>
      <c r="R451" s="272"/>
      <c r="S451" s="272"/>
      <c r="T451" s="272"/>
      <c r="U451" s="272"/>
      <c r="V451" s="273"/>
      <c r="W451" s="253"/>
      <c r="X451" s="253"/>
      <c r="Y451" s="253"/>
      <c r="Z451" s="253"/>
      <c r="AA451" s="253"/>
      <c r="AB451" s="218"/>
    </row>
    <row r="452">
      <c r="A452" s="118"/>
      <c r="B452" s="118"/>
      <c r="C452" s="143"/>
      <c r="D452" s="118"/>
      <c r="E452" s="118"/>
      <c r="F452" s="262"/>
      <c r="G452" s="264"/>
      <c r="H452" s="264"/>
      <c r="I452" s="267"/>
      <c r="J452" s="118"/>
      <c r="K452" s="136"/>
      <c r="L452" s="118"/>
      <c r="M452" s="136"/>
      <c r="N452" s="118"/>
      <c r="O452" s="136"/>
      <c r="P452" s="272"/>
      <c r="Q452" s="272"/>
      <c r="R452" s="272"/>
      <c r="S452" s="272"/>
      <c r="T452" s="272"/>
      <c r="U452" s="272"/>
      <c r="V452" s="273"/>
      <c r="W452" s="253"/>
      <c r="X452" s="253"/>
      <c r="Y452" s="253"/>
      <c r="Z452" s="253"/>
      <c r="AA452" s="253"/>
      <c r="AB452" s="218"/>
    </row>
    <row r="453">
      <c r="A453" s="118"/>
      <c r="B453" s="118"/>
      <c r="C453" s="143"/>
      <c r="D453" s="118"/>
      <c r="E453" s="118"/>
      <c r="F453" s="262"/>
      <c r="G453" s="264"/>
      <c r="H453" s="264"/>
      <c r="I453" s="267"/>
      <c r="J453" s="118"/>
      <c r="K453" s="136"/>
      <c r="L453" s="118"/>
      <c r="M453" s="136"/>
      <c r="N453" s="118"/>
      <c r="O453" s="136"/>
      <c r="P453" s="272"/>
      <c r="Q453" s="272"/>
      <c r="R453" s="272"/>
      <c r="S453" s="272"/>
      <c r="T453" s="272"/>
      <c r="U453" s="272"/>
      <c r="V453" s="273"/>
      <c r="W453" s="253"/>
      <c r="X453" s="253"/>
      <c r="Y453" s="253"/>
      <c r="Z453" s="253"/>
      <c r="AA453" s="253"/>
      <c r="AB453" s="218"/>
    </row>
    <row r="454">
      <c r="A454" s="118"/>
      <c r="B454" s="118"/>
      <c r="C454" s="143"/>
      <c r="D454" s="118"/>
      <c r="E454" s="118"/>
      <c r="F454" s="262"/>
      <c r="G454" s="264"/>
      <c r="H454" s="264"/>
      <c r="I454" s="267"/>
      <c r="J454" s="118"/>
      <c r="K454" s="136"/>
      <c r="L454" s="118"/>
      <c r="M454" s="136"/>
      <c r="N454" s="118"/>
      <c r="O454" s="136"/>
      <c r="P454" s="272"/>
      <c r="Q454" s="272"/>
      <c r="R454" s="272"/>
      <c r="S454" s="272"/>
      <c r="T454" s="272"/>
      <c r="U454" s="272"/>
      <c r="V454" s="273"/>
      <c r="W454" s="253"/>
      <c r="X454" s="253"/>
      <c r="Y454" s="253"/>
      <c r="Z454" s="253"/>
      <c r="AA454" s="253"/>
      <c r="AB454" s="218"/>
    </row>
    <row r="455">
      <c r="A455" s="118"/>
      <c r="B455" s="118"/>
      <c r="C455" s="143"/>
      <c r="D455" s="118"/>
      <c r="E455" s="118"/>
      <c r="F455" s="262"/>
      <c r="G455" s="264"/>
      <c r="H455" s="264"/>
      <c r="I455" s="267"/>
      <c r="J455" s="118"/>
      <c r="K455" s="136"/>
      <c r="L455" s="118"/>
      <c r="M455" s="136"/>
      <c r="N455" s="118"/>
      <c r="O455" s="136"/>
      <c r="P455" s="272"/>
      <c r="Q455" s="272"/>
      <c r="R455" s="272"/>
      <c r="S455" s="272"/>
      <c r="T455" s="272"/>
      <c r="U455" s="272"/>
      <c r="V455" s="273"/>
      <c r="W455" s="253"/>
      <c r="X455" s="253"/>
      <c r="Y455" s="253"/>
      <c r="Z455" s="253"/>
      <c r="AA455" s="253"/>
      <c r="AB455" s="218"/>
    </row>
    <row r="456">
      <c r="A456" s="118"/>
      <c r="B456" s="118"/>
      <c r="C456" s="143"/>
      <c r="D456" s="118"/>
      <c r="E456" s="118"/>
      <c r="F456" s="262"/>
      <c r="G456" s="264"/>
      <c r="H456" s="264"/>
      <c r="I456" s="267"/>
      <c r="J456" s="118"/>
      <c r="K456" s="136"/>
      <c r="L456" s="118"/>
      <c r="M456" s="136"/>
      <c r="N456" s="118"/>
      <c r="O456" s="136"/>
      <c r="P456" s="272"/>
      <c r="Q456" s="272"/>
      <c r="R456" s="272"/>
      <c r="S456" s="272"/>
      <c r="T456" s="272"/>
      <c r="U456" s="272"/>
      <c r="V456" s="273"/>
      <c r="W456" s="253"/>
      <c r="X456" s="253"/>
      <c r="Y456" s="253"/>
      <c r="Z456" s="253"/>
      <c r="AA456" s="253"/>
      <c r="AB456" s="218"/>
    </row>
    <row r="457">
      <c r="A457" s="118"/>
      <c r="B457" s="118"/>
      <c r="C457" s="143"/>
      <c r="D457" s="118"/>
      <c r="E457" s="118"/>
      <c r="F457" s="262"/>
      <c r="G457" s="264"/>
      <c r="H457" s="264"/>
      <c r="I457" s="267"/>
      <c r="J457" s="118"/>
      <c r="K457" s="136"/>
      <c r="L457" s="118"/>
      <c r="M457" s="136"/>
      <c r="N457" s="118"/>
      <c r="O457" s="136"/>
      <c r="P457" s="272"/>
      <c r="Q457" s="272"/>
      <c r="R457" s="272"/>
      <c r="S457" s="272"/>
      <c r="T457" s="272"/>
      <c r="U457" s="272"/>
      <c r="V457" s="273"/>
      <c r="W457" s="253"/>
      <c r="X457" s="253"/>
      <c r="Y457" s="253"/>
      <c r="Z457" s="253"/>
      <c r="AA457" s="253"/>
      <c r="AB457" s="218"/>
    </row>
    <row r="458">
      <c r="A458" s="118"/>
      <c r="B458" s="118"/>
      <c r="C458" s="143"/>
      <c r="D458" s="118"/>
      <c r="E458" s="118"/>
      <c r="F458" s="262"/>
      <c r="G458" s="264"/>
      <c r="H458" s="264"/>
      <c r="I458" s="267"/>
      <c r="J458" s="118"/>
      <c r="K458" s="136"/>
      <c r="L458" s="118"/>
      <c r="M458" s="136"/>
      <c r="N458" s="118"/>
      <c r="O458" s="136"/>
      <c r="P458" s="272"/>
      <c r="Q458" s="272"/>
      <c r="R458" s="272"/>
      <c r="S458" s="272"/>
      <c r="T458" s="272"/>
      <c r="U458" s="272"/>
      <c r="V458" s="273"/>
      <c r="W458" s="253"/>
      <c r="X458" s="253"/>
      <c r="Y458" s="253"/>
      <c r="Z458" s="253"/>
      <c r="AA458" s="253"/>
      <c r="AB458" s="218"/>
    </row>
    <row r="459">
      <c r="A459" s="118"/>
      <c r="B459" s="118"/>
      <c r="C459" s="143"/>
      <c r="D459" s="118"/>
      <c r="E459" s="118"/>
      <c r="F459" s="262"/>
      <c r="G459" s="264"/>
      <c r="H459" s="264"/>
      <c r="I459" s="267"/>
      <c r="J459" s="118"/>
      <c r="K459" s="136"/>
      <c r="L459" s="118"/>
      <c r="M459" s="136"/>
      <c r="N459" s="118"/>
      <c r="O459" s="136"/>
      <c r="P459" s="272"/>
      <c r="Q459" s="272"/>
      <c r="R459" s="272"/>
      <c r="S459" s="272"/>
      <c r="T459" s="272"/>
      <c r="U459" s="272"/>
      <c r="V459" s="273"/>
      <c r="W459" s="253"/>
      <c r="X459" s="253"/>
      <c r="Y459" s="253"/>
      <c r="Z459" s="253"/>
      <c r="AA459" s="253"/>
      <c r="AB459" s="218"/>
    </row>
    <row r="460">
      <c r="A460" s="118"/>
      <c r="B460" s="118"/>
      <c r="C460" s="143"/>
      <c r="D460" s="118"/>
      <c r="E460" s="118"/>
      <c r="F460" s="262"/>
      <c r="G460" s="264"/>
      <c r="H460" s="264"/>
      <c r="I460" s="267"/>
      <c r="J460" s="118"/>
      <c r="K460" s="136"/>
      <c r="L460" s="118"/>
      <c r="M460" s="136"/>
      <c r="N460" s="118"/>
      <c r="O460" s="136"/>
      <c r="P460" s="272"/>
      <c r="Q460" s="272"/>
      <c r="R460" s="272"/>
      <c r="S460" s="272"/>
      <c r="T460" s="272"/>
      <c r="U460" s="272"/>
      <c r="V460" s="273"/>
      <c r="W460" s="253"/>
      <c r="X460" s="253"/>
      <c r="Y460" s="253"/>
      <c r="Z460" s="253"/>
      <c r="AA460" s="253"/>
      <c r="AB460" s="218"/>
    </row>
    <row r="461">
      <c r="A461" s="118"/>
      <c r="B461" s="118"/>
      <c r="C461" s="143"/>
      <c r="D461" s="118"/>
      <c r="E461" s="118"/>
      <c r="F461" s="262"/>
      <c r="G461" s="264"/>
      <c r="H461" s="264"/>
      <c r="I461" s="267"/>
      <c r="J461" s="118"/>
      <c r="K461" s="136"/>
      <c r="L461" s="118"/>
      <c r="M461" s="136"/>
      <c r="N461" s="118"/>
      <c r="O461" s="136"/>
      <c r="P461" s="272"/>
      <c r="Q461" s="272"/>
      <c r="R461" s="272"/>
      <c r="S461" s="272"/>
      <c r="T461" s="272"/>
      <c r="U461" s="272"/>
      <c r="V461" s="273"/>
      <c r="W461" s="253"/>
      <c r="X461" s="253"/>
      <c r="Y461" s="253"/>
      <c r="Z461" s="253"/>
      <c r="AA461" s="253"/>
      <c r="AB461" s="218"/>
    </row>
    <row r="462">
      <c r="A462" s="118"/>
      <c r="B462" s="118"/>
      <c r="C462" s="143"/>
      <c r="D462" s="118"/>
      <c r="E462" s="118"/>
      <c r="F462" s="262"/>
      <c r="G462" s="264"/>
      <c r="H462" s="264"/>
      <c r="I462" s="267"/>
      <c r="J462" s="118"/>
      <c r="K462" s="136"/>
      <c r="L462" s="118"/>
      <c r="M462" s="136"/>
      <c r="N462" s="118"/>
      <c r="O462" s="136"/>
      <c r="P462" s="272"/>
      <c r="Q462" s="272"/>
      <c r="R462" s="272"/>
      <c r="S462" s="272"/>
      <c r="T462" s="272"/>
      <c r="U462" s="272"/>
      <c r="V462" s="273"/>
      <c r="W462" s="253"/>
      <c r="X462" s="253"/>
      <c r="Y462" s="253"/>
      <c r="Z462" s="253"/>
      <c r="AA462" s="253"/>
      <c r="AB462" s="218"/>
    </row>
    <row r="463">
      <c r="A463" s="118"/>
      <c r="B463" s="118"/>
      <c r="C463" s="143"/>
      <c r="D463" s="118"/>
      <c r="E463" s="118"/>
      <c r="F463" s="262"/>
      <c r="G463" s="264"/>
      <c r="H463" s="264"/>
      <c r="I463" s="267"/>
      <c r="J463" s="118"/>
      <c r="K463" s="136"/>
      <c r="L463" s="118"/>
      <c r="M463" s="136"/>
      <c r="N463" s="118"/>
      <c r="O463" s="136"/>
      <c r="P463" s="272"/>
      <c r="Q463" s="272"/>
      <c r="R463" s="272"/>
      <c r="S463" s="272"/>
      <c r="T463" s="272"/>
      <c r="U463" s="272"/>
      <c r="V463" s="273"/>
      <c r="W463" s="253"/>
      <c r="X463" s="253"/>
      <c r="Y463" s="253"/>
      <c r="Z463" s="253"/>
      <c r="AA463" s="253"/>
      <c r="AB463" s="218"/>
    </row>
    <row r="464">
      <c r="A464" s="118"/>
      <c r="B464" s="118"/>
      <c r="C464" s="143"/>
      <c r="D464" s="118"/>
      <c r="E464" s="118"/>
      <c r="F464" s="262"/>
      <c r="G464" s="264"/>
      <c r="H464" s="264"/>
      <c r="I464" s="267"/>
      <c r="J464" s="118"/>
      <c r="K464" s="136"/>
      <c r="L464" s="118"/>
      <c r="M464" s="136"/>
      <c r="N464" s="118"/>
      <c r="O464" s="136"/>
      <c r="P464" s="272"/>
      <c r="Q464" s="272"/>
      <c r="R464" s="272"/>
      <c r="S464" s="272"/>
      <c r="T464" s="272"/>
      <c r="U464" s="272"/>
      <c r="V464" s="273"/>
      <c r="W464" s="253"/>
      <c r="X464" s="253"/>
      <c r="Y464" s="253"/>
      <c r="Z464" s="253"/>
      <c r="AA464" s="253"/>
      <c r="AB464" s="218"/>
    </row>
    <row r="465">
      <c r="A465" s="118"/>
      <c r="B465" s="118"/>
      <c r="C465" s="143"/>
      <c r="D465" s="118"/>
      <c r="E465" s="118"/>
      <c r="F465" s="262"/>
      <c r="G465" s="264"/>
      <c r="H465" s="264"/>
      <c r="I465" s="267"/>
      <c r="J465" s="118"/>
      <c r="K465" s="136"/>
      <c r="L465" s="118"/>
      <c r="M465" s="136"/>
      <c r="N465" s="118"/>
      <c r="O465" s="136"/>
      <c r="P465" s="272"/>
      <c r="Q465" s="272"/>
      <c r="R465" s="272"/>
      <c r="S465" s="272"/>
      <c r="T465" s="272"/>
      <c r="U465" s="272"/>
      <c r="V465" s="273"/>
      <c r="W465" s="253"/>
      <c r="X465" s="253"/>
      <c r="Y465" s="253"/>
      <c r="Z465" s="253"/>
      <c r="AA465" s="253"/>
      <c r="AB465" s="218"/>
    </row>
    <row r="466">
      <c r="A466" s="118"/>
      <c r="B466" s="118"/>
      <c r="C466" s="143"/>
      <c r="D466" s="118"/>
      <c r="E466" s="118"/>
      <c r="F466" s="262"/>
      <c r="G466" s="264"/>
      <c r="H466" s="264"/>
      <c r="I466" s="267"/>
      <c r="J466" s="118"/>
      <c r="K466" s="136"/>
      <c r="L466" s="118"/>
      <c r="M466" s="136"/>
      <c r="N466" s="118"/>
      <c r="O466" s="136"/>
      <c r="P466" s="272"/>
      <c r="Q466" s="272"/>
      <c r="R466" s="272"/>
      <c r="S466" s="272"/>
      <c r="T466" s="272"/>
      <c r="U466" s="272"/>
      <c r="V466" s="273"/>
      <c r="W466" s="253"/>
      <c r="X466" s="253"/>
      <c r="Y466" s="253"/>
      <c r="Z466" s="253"/>
      <c r="AA466" s="253"/>
      <c r="AB466" s="218"/>
    </row>
    <row r="467">
      <c r="A467" s="118"/>
      <c r="B467" s="118"/>
      <c r="C467" s="143"/>
      <c r="D467" s="118"/>
      <c r="E467" s="118"/>
      <c r="F467" s="262"/>
      <c r="G467" s="264"/>
      <c r="H467" s="264"/>
      <c r="I467" s="267"/>
      <c r="J467" s="118"/>
      <c r="K467" s="136"/>
      <c r="L467" s="118"/>
      <c r="M467" s="136"/>
      <c r="N467" s="118"/>
      <c r="O467" s="136"/>
      <c r="P467" s="272"/>
      <c r="Q467" s="272"/>
      <c r="R467" s="272"/>
      <c r="S467" s="272"/>
      <c r="T467" s="272"/>
      <c r="U467" s="272"/>
      <c r="V467" s="273"/>
      <c r="W467" s="253"/>
      <c r="X467" s="253"/>
      <c r="Y467" s="253"/>
      <c r="Z467" s="253"/>
      <c r="AA467" s="253"/>
      <c r="AB467" s="218"/>
    </row>
    <row r="468">
      <c r="A468" s="118"/>
      <c r="B468" s="118"/>
      <c r="C468" s="143"/>
      <c r="D468" s="118"/>
      <c r="E468" s="118"/>
      <c r="F468" s="262"/>
      <c r="G468" s="264"/>
      <c r="H468" s="264"/>
      <c r="I468" s="267"/>
      <c r="J468" s="118"/>
      <c r="K468" s="136"/>
      <c r="L468" s="118"/>
      <c r="M468" s="136"/>
      <c r="N468" s="118"/>
      <c r="O468" s="136"/>
      <c r="P468" s="272"/>
      <c r="Q468" s="272"/>
      <c r="R468" s="272"/>
      <c r="S468" s="272"/>
      <c r="T468" s="272"/>
      <c r="U468" s="272"/>
      <c r="V468" s="273"/>
      <c r="W468" s="253"/>
      <c r="X468" s="253"/>
      <c r="Y468" s="253"/>
      <c r="Z468" s="253"/>
      <c r="AA468" s="253"/>
      <c r="AB468" s="218"/>
    </row>
    <row r="469">
      <c r="A469" s="118"/>
      <c r="B469" s="118"/>
      <c r="C469" s="143"/>
      <c r="D469" s="118"/>
      <c r="E469" s="118"/>
      <c r="F469" s="262"/>
      <c r="G469" s="264"/>
      <c r="H469" s="264"/>
      <c r="I469" s="267"/>
      <c r="J469" s="118"/>
      <c r="K469" s="136"/>
      <c r="L469" s="118"/>
      <c r="M469" s="136"/>
      <c r="N469" s="118"/>
      <c r="O469" s="136"/>
      <c r="P469" s="272"/>
      <c r="Q469" s="272"/>
      <c r="R469" s="272"/>
      <c r="S469" s="272"/>
      <c r="T469" s="272"/>
      <c r="U469" s="272"/>
      <c r="V469" s="273"/>
      <c r="W469" s="253"/>
      <c r="X469" s="253"/>
      <c r="Y469" s="253"/>
      <c r="Z469" s="253"/>
      <c r="AA469" s="253"/>
      <c r="AB469" s="218"/>
    </row>
    <row r="470">
      <c r="A470" s="118"/>
      <c r="B470" s="118"/>
      <c r="C470" s="143"/>
      <c r="D470" s="118"/>
      <c r="E470" s="118"/>
      <c r="F470" s="262"/>
      <c r="G470" s="264"/>
      <c r="H470" s="264"/>
      <c r="I470" s="267"/>
      <c r="J470" s="118"/>
      <c r="K470" s="136"/>
      <c r="L470" s="118"/>
      <c r="M470" s="136"/>
      <c r="N470" s="118"/>
      <c r="O470" s="136"/>
      <c r="P470" s="272"/>
      <c r="Q470" s="272"/>
      <c r="R470" s="272"/>
      <c r="S470" s="272"/>
      <c r="T470" s="272"/>
      <c r="U470" s="272"/>
      <c r="V470" s="273"/>
      <c r="W470" s="253"/>
      <c r="X470" s="253"/>
      <c r="Y470" s="253"/>
      <c r="Z470" s="253"/>
      <c r="AA470" s="253"/>
      <c r="AB470" s="218"/>
    </row>
    <row r="471">
      <c r="A471" s="118"/>
      <c r="B471" s="118"/>
      <c r="C471" s="143"/>
      <c r="D471" s="118"/>
      <c r="E471" s="118"/>
      <c r="F471" s="262"/>
      <c r="G471" s="264"/>
      <c r="H471" s="264"/>
      <c r="I471" s="267"/>
      <c r="J471" s="118"/>
      <c r="K471" s="136"/>
      <c r="L471" s="118"/>
      <c r="M471" s="136"/>
      <c r="N471" s="118"/>
      <c r="O471" s="136"/>
      <c r="P471" s="272"/>
      <c r="Q471" s="272"/>
      <c r="R471" s="272"/>
      <c r="S471" s="272"/>
      <c r="T471" s="272"/>
      <c r="U471" s="272"/>
      <c r="V471" s="273"/>
      <c r="W471" s="253"/>
      <c r="X471" s="253"/>
      <c r="Y471" s="253"/>
      <c r="Z471" s="253"/>
      <c r="AA471" s="253"/>
      <c r="AB471" s="218"/>
    </row>
    <row r="472">
      <c r="A472" s="118"/>
      <c r="B472" s="118"/>
      <c r="C472" s="143"/>
      <c r="D472" s="118"/>
      <c r="E472" s="118"/>
      <c r="F472" s="262"/>
      <c r="G472" s="264"/>
      <c r="H472" s="264"/>
      <c r="I472" s="267"/>
      <c r="J472" s="118"/>
      <c r="K472" s="136"/>
      <c r="L472" s="118"/>
      <c r="M472" s="136"/>
      <c r="N472" s="118"/>
      <c r="O472" s="136"/>
      <c r="P472" s="272"/>
      <c r="Q472" s="272"/>
      <c r="R472" s="272"/>
      <c r="S472" s="272"/>
      <c r="T472" s="272"/>
      <c r="U472" s="272"/>
      <c r="V472" s="273"/>
      <c r="W472" s="253"/>
      <c r="X472" s="253"/>
      <c r="Y472" s="253"/>
      <c r="Z472" s="253"/>
      <c r="AA472" s="253"/>
      <c r="AB472" s="218"/>
    </row>
    <row r="473">
      <c r="A473" s="118"/>
      <c r="B473" s="118"/>
      <c r="C473" s="143"/>
      <c r="D473" s="118"/>
      <c r="E473" s="118"/>
      <c r="F473" s="262"/>
      <c r="G473" s="264"/>
      <c r="H473" s="264"/>
      <c r="I473" s="267"/>
      <c r="J473" s="118"/>
      <c r="K473" s="136"/>
      <c r="L473" s="118"/>
      <c r="M473" s="136"/>
      <c r="N473" s="118"/>
      <c r="O473" s="136"/>
      <c r="P473" s="272"/>
      <c r="Q473" s="272"/>
      <c r="R473" s="272"/>
      <c r="S473" s="272"/>
      <c r="T473" s="272"/>
      <c r="U473" s="272"/>
      <c r="V473" s="273"/>
      <c r="W473" s="253"/>
      <c r="X473" s="253"/>
      <c r="Y473" s="253"/>
      <c r="Z473" s="253"/>
      <c r="AA473" s="253"/>
      <c r="AB473" s="218"/>
    </row>
    <row r="474">
      <c r="A474" s="118"/>
      <c r="B474" s="118"/>
      <c r="C474" s="143"/>
      <c r="D474" s="118"/>
      <c r="E474" s="118"/>
      <c r="F474" s="262"/>
      <c r="G474" s="264"/>
      <c r="H474" s="264"/>
      <c r="I474" s="267"/>
      <c r="J474" s="118"/>
      <c r="K474" s="136"/>
      <c r="L474" s="118"/>
      <c r="M474" s="136"/>
      <c r="N474" s="118"/>
      <c r="O474" s="136"/>
      <c r="P474" s="272"/>
      <c r="Q474" s="272"/>
      <c r="R474" s="272"/>
      <c r="S474" s="272"/>
      <c r="T474" s="272"/>
      <c r="U474" s="272"/>
      <c r="V474" s="273"/>
      <c r="W474" s="253"/>
      <c r="X474" s="253"/>
      <c r="Y474" s="253"/>
      <c r="Z474" s="253"/>
      <c r="AA474" s="253"/>
      <c r="AB474" s="218"/>
    </row>
    <row r="475">
      <c r="A475" s="118"/>
      <c r="B475" s="118"/>
      <c r="C475" s="143"/>
      <c r="D475" s="118"/>
      <c r="E475" s="118"/>
      <c r="F475" s="262"/>
      <c r="G475" s="264"/>
      <c r="H475" s="264"/>
      <c r="I475" s="267"/>
      <c r="J475" s="118"/>
      <c r="K475" s="136"/>
      <c r="L475" s="118"/>
      <c r="M475" s="136"/>
      <c r="N475" s="118"/>
      <c r="O475" s="136"/>
      <c r="P475" s="272"/>
      <c r="Q475" s="272"/>
      <c r="R475" s="272"/>
      <c r="S475" s="272"/>
      <c r="T475" s="272"/>
      <c r="U475" s="272"/>
      <c r="V475" s="273"/>
      <c r="W475" s="253"/>
      <c r="X475" s="253"/>
      <c r="Y475" s="253"/>
      <c r="Z475" s="253"/>
      <c r="AA475" s="253"/>
      <c r="AB475" s="218"/>
    </row>
    <row r="476">
      <c r="A476" s="118"/>
      <c r="B476" s="118"/>
      <c r="C476" s="143"/>
      <c r="D476" s="118"/>
      <c r="E476" s="118"/>
      <c r="F476" s="262"/>
      <c r="G476" s="264"/>
      <c r="H476" s="264"/>
      <c r="I476" s="267"/>
      <c r="J476" s="118"/>
      <c r="K476" s="136"/>
      <c r="L476" s="118"/>
      <c r="M476" s="136"/>
      <c r="N476" s="118"/>
      <c r="O476" s="136"/>
      <c r="P476" s="272"/>
      <c r="Q476" s="272"/>
      <c r="R476" s="272"/>
      <c r="S476" s="272"/>
      <c r="T476" s="272"/>
      <c r="U476" s="272"/>
      <c r="V476" s="273"/>
      <c r="W476" s="253"/>
      <c r="X476" s="253"/>
      <c r="Y476" s="253"/>
      <c r="Z476" s="253"/>
      <c r="AA476" s="253"/>
      <c r="AB476" s="218"/>
    </row>
    <row r="477">
      <c r="A477" s="118"/>
      <c r="B477" s="118"/>
      <c r="C477" s="143"/>
      <c r="D477" s="118"/>
      <c r="E477" s="118"/>
      <c r="F477" s="262"/>
      <c r="G477" s="264"/>
      <c r="H477" s="264"/>
      <c r="I477" s="267"/>
      <c r="J477" s="118"/>
      <c r="K477" s="136"/>
      <c r="L477" s="118"/>
      <c r="M477" s="136"/>
      <c r="N477" s="118"/>
      <c r="O477" s="136"/>
      <c r="P477" s="272"/>
      <c r="Q477" s="272"/>
      <c r="R477" s="272"/>
      <c r="S477" s="272"/>
      <c r="T477" s="272"/>
      <c r="U477" s="272"/>
      <c r="V477" s="273"/>
      <c r="W477" s="253"/>
      <c r="X477" s="253"/>
      <c r="Y477" s="253"/>
      <c r="Z477" s="253"/>
      <c r="AA477" s="253"/>
      <c r="AB477" s="218"/>
    </row>
    <row r="478">
      <c r="A478" s="118"/>
      <c r="B478" s="118"/>
      <c r="C478" s="143"/>
      <c r="D478" s="118"/>
      <c r="E478" s="118"/>
      <c r="F478" s="262"/>
      <c r="G478" s="264"/>
      <c r="H478" s="264"/>
      <c r="I478" s="267"/>
      <c r="J478" s="118"/>
      <c r="K478" s="136"/>
      <c r="L478" s="118"/>
      <c r="M478" s="136"/>
      <c r="N478" s="118"/>
      <c r="O478" s="136"/>
      <c r="P478" s="272"/>
      <c r="Q478" s="272"/>
      <c r="R478" s="272"/>
      <c r="S478" s="272"/>
      <c r="T478" s="272"/>
      <c r="U478" s="272"/>
      <c r="V478" s="273"/>
      <c r="W478" s="253"/>
      <c r="X478" s="253"/>
      <c r="Y478" s="253"/>
      <c r="Z478" s="253"/>
      <c r="AA478" s="253"/>
      <c r="AB478" s="218"/>
    </row>
    <row r="479">
      <c r="A479" s="118"/>
      <c r="B479" s="118"/>
      <c r="C479" s="143"/>
      <c r="D479" s="118"/>
      <c r="E479" s="118"/>
      <c r="F479" s="262"/>
      <c r="G479" s="264"/>
      <c r="H479" s="264"/>
      <c r="I479" s="267"/>
      <c r="J479" s="118"/>
      <c r="K479" s="136"/>
      <c r="L479" s="118"/>
      <c r="M479" s="136"/>
      <c r="N479" s="118"/>
      <c r="O479" s="136"/>
      <c r="P479" s="272"/>
      <c r="Q479" s="272"/>
      <c r="R479" s="272"/>
      <c r="S479" s="272"/>
      <c r="T479" s="272"/>
      <c r="U479" s="272"/>
      <c r="V479" s="273"/>
      <c r="W479" s="253"/>
      <c r="X479" s="253"/>
      <c r="Y479" s="253"/>
      <c r="Z479" s="253"/>
      <c r="AA479" s="253"/>
      <c r="AB479" s="218"/>
    </row>
    <row r="480">
      <c r="A480" s="118"/>
      <c r="B480" s="118"/>
      <c r="C480" s="143"/>
      <c r="D480" s="118"/>
      <c r="E480" s="118"/>
      <c r="F480" s="262"/>
      <c r="G480" s="264"/>
      <c r="H480" s="264"/>
      <c r="I480" s="267"/>
      <c r="J480" s="118"/>
      <c r="K480" s="136"/>
      <c r="L480" s="118"/>
      <c r="M480" s="136"/>
      <c r="N480" s="118"/>
      <c r="O480" s="136"/>
      <c r="P480" s="272"/>
      <c r="Q480" s="272"/>
      <c r="R480" s="272"/>
      <c r="S480" s="272"/>
      <c r="T480" s="272"/>
      <c r="U480" s="272"/>
      <c r="V480" s="273"/>
      <c r="W480" s="253"/>
      <c r="X480" s="253"/>
      <c r="Y480" s="253"/>
      <c r="Z480" s="253"/>
      <c r="AA480" s="253"/>
      <c r="AB480" s="218"/>
    </row>
    <row r="481">
      <c r="A481" s="118"/>
      <c r="B481" s="118"/>
      <c r="C481" s="143"/>
      <c r="D481" s="118"/>
      <c r="E481" s="118"/>
      <c r="F481" s="262"/>
      <c r="G481" s="264"/>
      <c r="H481" s="264"/>
      <c r="I481" s="267"/>
      <c r="J481" s="118"/>
      <c r="K481" s="136"/>
      <c r="L481" s="118"/>
      <c r="M481" s="136"/>
      <c r="N481" s="118"/>
      <c r="O481" s="136"/>
      <c r="P481" s="272"/>
      <c r="Q481" s="272"/>
      <c r="R481" s="272"/>
      <c r="S481" s="272"/>
      <c r="T481" s="272"/>
      <c r="U481" s="272"/>
      <c r="V481" s="273"/>
      <c r="W481" s="253"/>
      <c r="X481" s="253"/>
      <c r="Y481" s="253"/>
      <c r="Z481" s="253"/>
      <c r="AA481" s="253"/>
      <c r="AB481" s="218"/>
    </row>
    <row r="482">
      <c r="A482" s="118"/>
      <c r="B482" s="118"/>
      <c r="C482" s="143"/>
      <c r="D482" s="118"/>
      <c r="E482" s="118"/>
      <c r="F482" s="262"/>
      <c r="G482" s="264"/>
      <c r="H482" s="264"/>
      <c r="I482" s="267"/>
      <c r="J482" s="118"/>
      <c r="K482" s="136"/>
      <c r="L482" s="118"/>
      <c r="M482" s="136"/>
      <c r="N482" s="118"/>
      <c r="O482" s="136"/>
      <c r="P482" s="272"/>
      <c r="Q482" s="272"/>
      <c r="R482" s="272"/>
      <c r="S482" s="272"/>
      <c r="T482" s="272"/>
      <c r="U482" s="272"/>
      <c r="V482" s="273"/>
      <c r="W482" s="253"/>
      <c r="X482" s="253"/>
      <c r="Y482" s="253"/>
      <c r="Z482" s="253"/>
      <c r="AA482" s="253"/>
      <c r="AB482" s="218"/>
    </row>
    <row r="483">
      <c r="A483" s="118"/>
      <c r="B483" s="118"/>
      <c r="C483" s="143"/>
      <c r="D483" s="118"/>
      <c r="E483" s="118"/>
      <c r="F483" s="262"/>
      <c r="G483" s="264"/>
      <c r="H483" s="264"/>
      <c r="I483" s="267"/>
      <c r="J483" s="118"/>
      <c r="K483" s="136"/>
      <c r="L483" s="118"/>
      <c r="M483" s="136"/>
      <c r="N483" s="118"/>
      <c r="O483" s="136"/>
      <c r="P483" s="272"/>
      <c r="Q483" s="272"/>
      <c r="R483" s="272"/>
      <c r="S483" s="272"/>
      <c r="T483" s="272"/>
      <c r="U483" s="272"/>
      <c r="V483" s="273"/>
      <c r="W483" s="253"/>
      <c r="X483" s="253"/>
      <c r="Y483" s="253"/>
      <c r="Z483" s="253"/>
      <c r="AA483" s="253"/>
      <c r="AB483" s="218"/>
    </row>
    <row r="484">
      <c r="A484" s="118"/>
      <c r="B484" s="118"/>
      <c r="C484" s="143"/>
      <c r="D484" s="118"/>
      <c r="E484" s="118"/>
      <c r="F484" s="262"/>
      <c r="G484" s="264"/>
      <c r="H484" s="264"/>
      <c r="I484" s="267"/>
      <c r="J484" s="118"/>
      <c r="K484" s="136"/>
      <c r="L484" s="118"/>
      <c r="M484" s="136"/>
      <c r="N484" s="118"/>
      <c r="O484" s="136"/>
      <c r="P484" s="272"/>
      <c r="Q484" s="272"/>
      <c r="R484" s="272"/>
      <c r="S484" s="272"/>
      <c r="T484" s="272"/>
      <c r="U484" s="272"/>
      <c r="V484" s="273"/>
      <c r="W484" s="253"/>
      <c r="X484" s="253"/>
      <c r="Y484" s="253"/>
      <c r="Z484" s="253"/>
      <c r="AA484" s="253"/>
      <c r="AB484" s="218"/>
    </row>
    <row r="485">
      <c r="A485" s="118"/>
      <c r="B485" s="118"/>
      <c r="C485" s="143"/>
      <c r="D485" s="118"/>
      <c r="E485" s="118"/>
      <c r="F485" s="262"/>
      <c r="G485" s="264"/>
      <c r="H485" s="264"/>
      <c r="I485" s="267"/>
      <c r="J485" s="118"/>
      <c r="K485" s="136"/>
      <c r="L485" s="118"/>
      <c r="M485" s="136"/>
      <c r="N485" s="118"/>
      <c r="O485" s="136"/>
      <c r="P485" s="272"/>
      <c r="Q485" s="272"/>
      <c r="R485" s="272"/>
      <c r="S485" s="272"/>
      <c r="T485" s="272"/>
      <c r="U485" s="272"/>
      <c r="V485" s="273"/>
      <c r="W485" s="253"/>
      <c r="X485" s="253"/>
      <c r="Y485" s="253"/>
      <c r="Z485" s="253"/>
      <c r="AA485" s="253"/>
      <c r="AB485" s="218"/>
    </row>
    <row r="486">
      <c r="A486" s="118"/>
      <c r="B486" s="118"/>
      <c r="C486" s="143"/>
      <c r="D486" s="118"/>
      <c r="E486" s="118"/>
      <c r="F486" s="262"/>
      <c r="G486" s="264"/>
      <c r="H486" s="264"/>
      <c r="I486" s="267"/>
      <c r="J486" s="118"/>
      <c r="K486" s="136"/>
      <c r="L486" s="118"/>
      <c r="M486" s="136"/>
      <c r="N486" s="118"/>
      <c r="O486" s="136"/>
      <c r="P486" s="272"/>
      <c r="Q486" s="272"/>
      <c r="R486" s="272"/>
      <c r="S486" s="272"/>
      <c r="T486" s="272"/>
      <c r="U486" s="272"/>
      <c r="V486" s="273"/>
      <c r="W486" s="253"/>
      <c r="X486" s="253"/>
      <c r="Y486" s="253"/>
      <c r="Z486" s="253"/>
      <c r="AA486" s="253"/>
      <c r="AB486" s="218"/>
    </row>
    <row r="487">
      <c r="A487" s="118"/>
      <c r="B487" s="118"/>
      <c r="C487" s="143"/>
      <c r="D487" s="118"/>
      <c r="E487" s="118"/>
      <c r="F487" s="262"/>
      <c r="G487" s="264"/>
      <c r="H487" s="264"/>
      <c r="I487" s="267"/>
      <c r="J487" s="118"/>
      <c r="K487" s="136"/>
      <c r="L487" s="118"/>
      <c r="M487" s="136"/>
      <c r="N487" s="118"/>
      <c r="O487" s="136"/>
      <c r="P487" s="272"/>
      <c r="Q487" s="272"/>
      <c r="R487" s="272"/>
      <c r="S487" s="272"/>
      <c r="T487" s="272"/>
      <c r="U487" s="272"/>
      <c r="V487" s="273"/>
      <c r="W487" s="253"/>
      <c r="X487" s="253"/>
      <c r="Y487" s="253"/>
      <c r="Z487" s="253"/>
      <c r="AA487" s="253"/>
      <c r="AB487" s="218"/>
    </row>
    <row r="488">
      <c r="A488" s="118"/>
      <c r="B488" s="118"/>
      <c r="C488" s="143"/>
      <c r="D488" s="118"/>
      <c r="E488" s="118"/>
      <c r="F488" s="262"/>
      <c r="G488" s="264"/>
      <c r="H488" s="264"/>
      <c r="I488" s="267"/>
      <c r="J488" s="118"/>
      <c r="K488" s="136"/>
      <c r="L488" s="118"/>
      <c r="M488" s="136"/>
      <c r="N488" s="118"/>
      <c r="O488" s="136"/>
      <c r="P488" s="272"/>
      <c r="Q488" s="272"/>
      <c r="R488" s="272"/>
      <c r="S488" s="272"/>
      <c r="T488" s="272"/>
      <c r="U488" s="272"/>
      <c r="V488" s="273"/>
      <c r="W488" s="253"/>
      <c r="X488" s="253"/>
      <c r="Y488" s="253"/>
      <c r="Z488" s="253"/>
      <c r="AA488" s="253"/>
      <c r="AB488" s="218"/>
    </row>
    <row r="489">
      <c r="A489" s="118"/>
      <c r="B489" s="118"/>
      <c r="C489" s="143"/>
      <c r="D489" s="118"/>
      <c r="E489" s="118"/>
      <c r="F489" s="262"/>
      <c r="G489" s="264"/>
      <c r="H489" s="264"/>
      <c r="I489" s="267"/>
      <c r="J489" s="118"/>
      <c r="K489" s="136"/>
      <c r="L489" s="118"/>
      <c r="M489" s="136"/>
      <c r="N489" s="118"/>
      <c r="O489" s="136"/>
      <c r="P489" s="272"/>
      <c r="Q489" s="272"/>
      <c r="R489" s="272"/>
      <c r="S489" s="272"/>
      <c r="T489" s="272"/>
      <c r="U489" s="272"/>
      <c r="V489" s="273"/>
      <c r="W489" s="253"/>
      <c r="X489" s="253"/>
      <c r="Y489" s="253"/>
      <c r="Z489" s="253"/>
      <c r="AA489" s="253"/>
      <c r="AB489" s="218"/>
    </row>
    <row r="490">
      <c r="A490" s="118"/>
      <c r="B490" s="118"/>
      <c r="C490" s="143"/>
      <c r="D490" s="118"/>
      <c r="E490" s="118"/>
      <c r="F490" s="262"/>
      <c r="G490" s="264"/>
      <c r="H490" s="264"/>
      <c r="I490" s="267"/>
      <c r="J490" s="118"/>
      <c r="K490" s="136"/>
      <c r="L490" s="118"/>
      <c r="M490" s="136"/>
      <c r="N490" s="118"/>
      <c r="O490" s="136"/>
      <c r="P490" s="272"/>
      <c r="Q490" s="272"/>
      <c r="R490" s="272"/>
      <c r="S490" s="272"/>
      <c r="T490" s="272"/>
      <c r="U490" s="272"/>
      <c r="V490" s="273"/>
      <c r="W490" s="253"/>
      <c r="X490" s="253"/>
      <c r="Y490" s="253"/>
      <c r="Z490" s="253"/>
      <c r="AA490" s="253"/>
      <c r="AB490" s="218"/>
    </row>
    <row r="491">
      <c r="A491" s="118"/>
      <c r="B491" s="118"/>
      <c r="C491" s="143"/>
      <c r="D491" s="118"/>
      <c r="E491" s="118"/>
      <c r="F491" s="262"/>
      <c r="G491" s="264"/>
      <c r="H491" s="264"/>
      <c r="I491" s="267"/>
      <c r="J491" s="118"/>
      <c r="K491" s="136"/>
      <c r="L491" s="118"/>
      <c r="M491" s="136"/>
      <c r="N491" s="118"/>
      <c r="O491" s="136"/>
      <c r="P491" s="272"/>
      <c r="Q491" s="272"/>
      <c r="R491" s="272"/>
      <c r="S491" s="272"/>
      <c r="T491" s="272"/>
      <c r="U491" s="272"/>
      <c r="V491" s="273"/>
      <c r="W491" s="253"/>
      <c r="X491" s="253"/>
      <c r="Y491" s="253"/>
      <c r="Z491" s="253"/>
      <c r="AA491" s="253"/>
      <c r="AB491" s="218"/>
    </row>
    <row r="492">
      <c r="A492" s="118"/>
      <c r="B492" s="118"/>
      <c r="C492" s="143"/>
      <c r="D492" s="118"/>
      <c r="E492" s="118"/>
      <c r="F492" s="262"/>
      <c r="G492" s="264"/>
      <c r="H492" s="264"/>
      <c r="I492" s="267"/>
      <c r="J492" s="118"/>
      <c r="K492" s="136"/>
      <c r="L492" s="118"/>
      <c r="M492" s="136"/>
      <c r="N492" s="118"/>
      <c r="O492" s="136"/>
      <c r="P492" s="272"/>
      <c r="Q492" s="272"/>
      <c r="R492" s="272"/>
      <c r="S492" s="272"/>
      <c r="T492" s="272"/>
      <c r="U492" s="272"/>
      <c r="V492" s="273"/>
      <c r="W492" s="253"/>
      <c r="X492" s="253"/>
      <c r="Y492" s="253"/>
      <c r="Z492" s="253"/>
      <c r="AA492" s="253"/>
      <c r="AB492" s="218"/>
    </row>
    <row r="493">
      <c r="A493" s="118"/>
      <c r="B493" s="118"/>
      <c r="C493" s="143"/>
      <c r="D493" s="118"/>
      <c r="E493" s="118"/>
      <c r="F493" s="262"/>
      <c r="G493" s="264"/>
      <c r="H493" s="264"/>
      <c r="I493" s="267"/>
      <c r="J493" s="118"/>
      <c r="K493" s="136"/>
      <c r="L493" s="118"/>
      <c r="M493" s="136"/>
      <c r="N493" s="118"/>
      <c r="O493" s="136"/>
      <c r="P493" s="272"/>
      <c r="Q493" s="272"/>
      <c r="R493" s="272"/>
      <c r="S493" s="272"/>
      <c r="T493" s="272"/>
      <c r="U493" s="272"/>
      <c r="V493" s="273"/>
      <c r="W493" s="253"/>
      <c r="X493" s="253"/>
      <c r="Y493" s="253"/>
      <c r="Z493" s="253"/>
      <c r="AA493" s="253"/>
      <c r="AB493" s="218"/>
    </row>
    <row r="494">
      <c r="A494" s="118"/>
      <c r="B494" s="118"/>
      <c r="C494" s="143"/>
      <c r="D494" s="118"/>
      <c r="E494" s="118"/>
      <c r="F494" s="262"/>
      <c r="G494" s="264"/>
      <c r="H494" s="264"/>
      <c r="I494" s="267"/>
      <c r="J494" s="118"/>
      <c r="K494" s="136"/>
      <c r="L494" s="118"/>
      <c r="M494" s="136"/>
      <c r="N494" s="118"/>
      <c r="O494" s="136"/>
      <c r="P494" s="272"/>
      <c r="Q494" s="272"/>
      <c r="R494" s="272"/>
      <c r="S494" s="272"/>
      <c r="T494" s="272"/>
      <c r="U494" s="272"/>
      <c r="V494" s="273"/>
      <c r="W494" s="253"/>
      <c r="X494" s="253"/>
      <c r="Y494" s="253"/>
      <c r="Z494" s="253"/>
      <c r="AA494" s="253"/>
      <c r="AB494" s="218"/>
    </row>
    <row r="495">
      <c r="A495" s="118"/>
      <c r="B495" s="118"/>
      <c r="C495" s="143"/>
      <c r="D495" s="118"/>
      <c r="E495" s="118"/>
      <c r="F495" s="262"/>
      <c r="G495" s="264"/>
      <c r="H495" s="264"/>
      <c r="I495" s="267"/>
      <c r="J495" s="118"/>
      <c r="K495" s="136"/>
      <c r="L495" s="118"/>
      <c r="M495" s="136"/>
      <c r="N495" s="118"/>
      <c r="O495" s="136"/>
      <c r="P495" s="272"/>
      <c r="Q495" s="272"/>
      <c r="R495" s="272"/>
      <c r="S495" s="272"/>
      <c r="T495" s="272"/>
      <c r="U495" s="272"/>
      <c r="V495" s="273"/>
      <c r="W495" s="253"/>
      <c r="X495" s="253"/>
      <c r="Y495" s="253"/>
      <c r="Z495" s="253"/>
      <c r="AA495" s="253"/>
      <c r="AB495" s="218"/>
    </row>
    <row r="496">
      <c r="A496" s="118"/>
      <c r="B496" s="118"/>
      <c r="C496" s="143"/>
      <c r="D496" s="118"/>
      <c r="E496" s="118"/>
      <c r="F496" s="262"/>
      <c r="G496" s="264"/>
      <c r="H496" s="264"/>
      <c r="I496" s="267"/>
      <c r="J496" s="118"/>
      <c r="K496" s="136"/>
      <c r="L496" s="118"/>
      <c r="M496" s="136"/>
      <c r="N496" s="118"/>
      <c r="O496" s="136"/>
      <c r="P496" s="272"/>
      <c r="Q496" s="272"/>
      <c r="R496" s="272"/>
      <c r="S496" s="272"/>
      <c r="T496" s="272"/>
      <c r="U496" s="272"/>
      <c r="V496" s="273"/>
      <c r="W496" s="253"/>
      <c r="X496" s="253"/>
      <c r="Y496" s="253"/>
      <c r="Z496" s="253"/>
      <c r="AA496" s="253"/>
      <c r="AB496" s="218"/>
    </row>
    <row r="497">
      <c r="A497" s="118"/>
      <c r="B497" s="118"/>
      <c r="C497" s="143"/>
      <c r="D497" s="118"/>
      <c r="E497" s="118"/>
      <c r="F497" s="262"/>
      <c r="G497" s="264"/>
      <c r="H497" s="264"/>
      <c r="I497" s="267"/>
      <c r="J497" s="118"/>
      <c r="K497" s="136"/>
      <c r="L497" s="118"/>
      <c r="M497" s="136"/>
      <c r="N497" s="118"/>
      <c r="O497" s="136"/>
      <c r="P497" s="272"/>
      <c r="Q497" s="272"/>
      <c r="R497" s="272"/>
      <c r="S497" s="272"/>
      <c r="T497" s="272"/>
      <c r="U497" s="272"/>
      <c r="V497" s="273"/>
      <c r="W497" s="253"/>
      <c r="X497" s="253"/>
      <c r="Y497" s="253"/>
      <c r="Z497" s="253"/>
      <c r="AA497" s="253"/>
      <c r="AB497" s="218"/>
    </row>
    <row r="498">
      <c r="A498" s="118"/>
      <c r="B498" s="118"/>
      <c r="C498" s="143"/>
      <c r="D498" s="118"/>
      <c r="E498" s="118"/>
      <c r="F498" s="262"/>
      <c r="G498" s="264"/>
      <c r="H498" s="264"/>
      <c r="I498" s="267"/>
      <c r="J498" s="118"/>
      <c r="K498" s="136"/>
      <c r="L498" s="118"/>
      <c r="M498" s="136"/>
      <c r="N498" s="118"/>
      <c r="O498" s="136"/>
      <c r="P498" s="272"/>
      <c r="Q498" s="272"/>
      <c r="R498" s="272"/>
      <c r="S498" s="272"/>
      <c r="T498" s="272"/>
      <c r="U498" s="272"/>
      <c r="V498" s="273"/>
      <c r="W498" s="253"/>
      <c r="X498" s="253"/>
      <c r="Y498" s="253"/>
      <c r="Z498" s="253"/>
      <c r="AA498" s="253"/>
      <c r="AB498" s="218"/>
    </row>
    <row r="499">
      <c r="A499" s="118"/>
      <c r="B499" s="118"/>
      <c r="C499" s="143"/>
      <c r="D499" s="118"/>
      <c r="E499" s="118"/>
      <c r="F499" s="262"/>
      <c r="G499" s="264"/>
      <c r="H499" s="264"/>
      <c r="I499" s="267"/>
      <c r="J499" s="118"/>
      <c r="K499" s="136"/>
      <c r="L499" s="118"/>
      <c r="M499" s="136"/>
      <c r="N499" s="118"/>
      <c r="O499" s="136"/>
      <c r="P499" s="272"/>
      <c r="Q499" s="272"/>
      <c r="R499" s="272"/>
      <c r="S499" s="272"/>
      <c r="T499" s="272"/>
      <c r="U499" s="272"/>
      <c r="V499" s="273"/>
      <c r="W499" s="253"/>
      <c r="X499" s="253"/>
      <c r="Y499" s="253"/>
      <c r="Z499" s="253"/>
      <c r="AA499" s="253"/>
      <c r="AB499" s="218"/>
    </row>
    <row r="500">
      <c r="A500" s="118"/>
      <c r="B500" s="118"/>
      <c r="C500" s="143"/>
      <c r="D500" s="118"/>
      <c r="E500" s="118"/>
      <c r="F500" s="262"/>
      <c r="G500" s="264"/>
      <c r="H500" s="264"/>
      <c r="I500" s="267"/>
      <c r="J500" s="118"/>
      <c r="K500" s="136"/>
      <c r="L500" s="118"/>
      <c r="M500" s="136"/>
      <c r="N500" s="118"/>
      <c r="O500" s="136"/>
      <c r="P500" s="272"/>
      <c r="Q500" s="272"/>
      <c r="R500" s="272"/>
      <c r="S500" s="272"/>
      <c r="T500" s="272"/>
      <c r="U500" s="272"/>
      <c r="V500" s="273"/>
      <c r="W500" s="253"/>
      <c r="X500" s="253"/>
      <c r="Y500" s="253"/>
      <c r="Z500" s="253"/>
      <c r="AA500" s="253"/>
      <c r="AB500" s="218"/>
    </row>
    <row r="501">
      <c r="A501" s="118"/>
      <c r="B501" s="118"/>
      <c r="C501" s="143"/>
      <c r="D501" s="118"/>
      <c r="E501" s="118"/>
      <c r="F501" s="262"/>
      <c r="G501" s="264"/>
      <c r="H501" s="264"/>
      <c r="I501" s="267"/>
      <c r="J501" s="118"/>
      <c r="K501" s="136"/>
      <c r="L501" s="118"/>
      <c r="M501" s="136"/>
      <c r="N501" s="118"/>
      <c r="O501" s="136"/>
      <c r="P501" s="272"/>
      <c r="Q501" s="272"/>
      <c r="R501" s="272"/>
      <c r="S501" s="272"/>
      <c r="T501" s="272"/>
      <c r="U501" s="272"/>
      <c r="V501" s="273"/>
      <c r="W501" s="253"/>
      <c r="X501" s="253"/>
      <c r="Y501" s="253"/>
      <c r="Z501" s="253"/>
      <c r="AA501" s="253"/>
      <c r="AB501" s="218"/>
    </row>
    <row r="502">
      <c r="A502" s="118"/>
      <c r="B502" s="118"/>
      <c r="C502" s="143"/>
      <c r="D502" s="118"/>
      <c r="E502" s="118"/>
      <c r="F502" s="262"/>
      <c r="G502" s="264"/>
      <c r="H502" s="264"/>
      <c r="I502" s="267"/>
      <c r="J502" s="118"/>
      <c r="K502" s="136"/>
      <c r="L502" s="118"/>
      <c r="M502" s="136"/>
      <c r="N502" s="118"/>
      <c r="O502" s="136"/>
      <c r="P502" s="272"/>
      <c r="Q502" s="272"/>
      <c r="R502" s="272"/>
      <c r="S502" s="272"/>
      <c r="T502" s="272"/>
      <c r="U502" s="272"/>
      <c r="V502" s="273"/>
      <c r="W502" s="253"/>
      <c r="X502" s="253"/>
      <c r="Y502" s="253"/>
      <c r="Z502" s="253"/>
      <c r="AA502" s="253"/>
      <c r="AB502" s="218"/>
    </row>
    <row r="503">
      <c r="A503" s="118"/>
      <c r="B503" s="118"/>
      <c r="C503" s="143"/>
      <c r="D503" s="118"/>
      <c r="E503" s="118"/>
      <c r="F503" s="262"/>
      <c r="G503" s="264"/>
      <c r="H503" s="264"/>
      <c r="I503" s="267"/>
      <c r="J503" s="118"/>
      <c r="K503" s="136"/>
      <c r="L503" s="118"/>
      <c r="M503" s="136"/>
      <c r="N503" s="118"/>
      <c r="O503" s="136"/>
      <c r="P503" s="272"/>
      <c r="Q503" s="272"/>
      <c r="R503" s="272"/>
      <c r="S503" s="272"/>
      <c r="T503" s="272"/>
      <c r="U503" s="272"/>
      <c r="V503" s="273"/>
      <c r="W503" s="253"/>
      <c r="X503" s="253"/>
      <c r="Y503" s="253"/>
      <c r="Z503" s="253"/>
      <c r="AA503" s="253"/>
      <c r="AB503" s="218"/>
    </row>
    <row r="504">
      <c r="A504" s="118"/>
      <c r="B504" s="118"/>
      <c r="C504" s="143"/>
      <c r="D504" s="118"/>
      <c r="E504" s="118"/>
      <c r="F504" s="262"/>
      <c r="G504" s="264"/>
      <c r="H504" s="264"/>
      <c r="I504" s="267"/>
      <c r="J504" s="118"/>
      <c r="K504" s="136"/>
      <c r="L504" s="118"/>
      <c r="M504" s="136"/>
      <c r="N504" s="118"/>
      <c r="O504" s="136"/>
      <c r="P504" s="272"/>
      <c r="Q504" s="272"/>
      <c r="R504" s="272"/>
      <c r="S504" s="272"/>
      <c r="T504" s="272"/>
      <c r="U504" s="272"/>
      <c r="V504" s="273"/>
      <c r="W504" s="253"/>
      <c r="X504" s="253"/>
      <c r="Y504" s="253"/>
      <c r="Z504" s="253"/>
      <c r="AA504" s="253"/>
      <c r="AB504" s="218"/>
    </row>
    <row r="505">
      <c r="A505" s="118"/>
      <c r="B505" s="118"/>
      <c r="C505" s="143"/>
      <c r="D505" s="118"/>
      <c r="E505" s="118"/>
      <c r="F505" s="262"/>
      <c r="G505" s="264"/>
      <c r="H505" s="264"/>
      <c r="I505" s="267"/>
      <c r="J505" s="118"/>
      <c r="K505" s="136"/>
      <c r="L505" s="118"/>
      <c r="M505" s="136"/>
      <c r="N505" s="118"/>
      <c r="O505" s="136"/>
      <c r="P505" s="272"/>
      <c r="Q505" s="272"/>
      <c r="R505" s="272"/>
      <c r="S505" s="272"/>
      <c r="T505" s="272"/>
      <c r="U505" s="272"/>
      <c r="V505" s="273"/>
      <c r="W505" s="253"/>
      <c r="X505" s="253"/>
      <c r="Y505" s="253"/>
      <c r="Z505" s="253"/>
      <c r="AA505" s="253"/>
      <c r="AB505" s="218"/>
    </row>
    <row r="506">
      <c r="A506" s="118"/>
      <c r="B506" s="118"/>
      <c r="C506" s="143"/>
      <c r="D506" s="118"/>
      <c r="E506" s="118"/>
      <c r="F506" s="262"/>
      <c r="G506" s="264"/>
      <c r="H506" s="264"/>
      <c r="I506" s="267"/>
      <c r="J506" s="118"/>
      <c r="K506" s="136"/>
      <c r="L506" s="118"/>
      <c r="M506" s="136"/>
      <c r="N506" s="118"/>
      <c r="O506" s="136"/>
      <c r="P506" s="272"/>
      <c r="Q506" s="272"/>
      <c r="R506" s="272"/>
      <c r="S506" s="272"/>
      <c r="T506" s="272"/>
      <c r="U506" s="272"/>
      <c r="V506" s="273"/>
      <c r="W506" s="253"/>
      <c r="X506" s="253"/>
      <c r="Y506" s="253"/>
      <c r="Z506" s="253"/>
      <c r="AA506" s="253"/>
      <c r="AB506" s="218"/>
    </row>
    <row r="507">
      <c r="A507" s="118"/>
      <c r="B507" s="118"/>
      <c r="C507" s="143"/>
      <c r="D507" s="118"/>
      <c r="E507" s="118"/>
      <c r="F507" s="262"/>
      <c r="G507" s="264"/>
      <c r="H507" s="264"/>
      <c r="I507" s="267"/>
      <c r="J507" s="118"/>
      <c r="K507" s="136"/>
      <c r="L507" s="118"/>
      <c r="M507" s="136"/>
      <c r="N507" s="118"/>
      <c r="O507" s="136"/>
      <c r="P507" s="272"/>
      <c r="Q507" s="272"/>
      <c r="R507" s="272"/>
      <c r="S507" s="272"/>
      <c r="T507" s="272"/>
      <c r="U507" s="272"/>
      <c r="V507" s="273"/>
      <c r="W507" s="253"/>
      <c r="X507" s="253"/>
      <c r="Y507" s="253"/>
      <c r="Z507" s="253"/>
      <c r="AA507" s="253"/>
      <c r="AB507" s="218"/>
    </row>
    <row r="508">
      <c r="A508" s="118"/>
      <c r="B508" s="118"/>
      <c r="C508" s="143"/>
      <c r="D508" s="118"/>
      <c r="E508" s="118"/>
      <c r="F508" s="262"/>
      <c r="G508" s="264"/>
      <c r="H508" s="264"/>
      <c r="I508" s="267"/>
      <c r="J508" s="118"/>
      <c r="K508" s="136"/>
      <c r="L508" s="118"/>
      <c r="M508" s="136"/>
      <c r="N508" s="118"/>
      <c r="O508" s="136"/>
      <c r="P508" s="272"/>
      <c r="Q508" s="272"/>
      <c r="R508" s="272"/>
      <c r="S508" s="272"/>
      <c r="T508" s="272"/>
      <c r="U508" s="272"/>
      <c r="V508" s="273"/>
      <c r="W508" s="253"/>
      <c r="X508" s="253"/>
      <c r="Y508" s="253"/>
      <c r="Z508" s="253"/>
      <c r="AA508" s="253"/>
      <c r="AB508" s="218"/>
    </row>
    <row r="509">
      <c r="A509" s="118"/>
      <c r="B509" s="118"/>
      <c r="C509" s="143"/>
      <c r="D509" s="118"/>
      <c r="E509" s="118"/>
      <c r="F509" s="262"/>
      <c r="G509" s="264"/>
      <c r="H509" s="264"/>
      <c r="I509" s="267"/>
      <c r="J509" s="118"/>
      <c r="K509" s="136"/>
      <c r="L509" s="118"/>
      <c r="M509" s="136"/>
      <c r="N509" s="118"/>
      <c r="O509" s="136"/>
      <c r="P509" s="272"/>
      <c r="Q509" s="272"/>
      <c r="R509" s="272"/>
      <c r="S509" s="272"/>
      <c r="T509" s="272"/>
      <c r="U509" s="272"/>
      <c r="V509" s="273"/>
      <c r="W509" s="253"/>
      <c r="X509" s="253"/>
      <c r="Y509" s="253"/>
      <c r="Z509" s="253"/>
      <c r="AA509" s="253"/>
      <c r="AB509" s="218"/>
    </row>
    <row r="510">
      <c r="A510" s="118"/>
      <c r="B510" s="118"/>
      <c r="C510" s="143"/>
      <c r="D510" s="118"/>
      <c r="E510" s="118"/>
      <c r="F510" s="262"/>
      <c r="G510" s="264"/>
      <c r="H510" s="264"/>
      <c r="I510" s="267"/>
      <c r="J510" s="118"/>
      <c r="K510" s="136"/>
      <c r="L510" s="118"/>
      <c r="M510" s="136"/>
      <c r="N510" s="118"/>
      <c r="O510" s="136"/>
      <c r="P510" s="272"/>
      <c r="Q510" s="272"/>
      <c r="R510" s="272"/>
      <c r="S510" s="272"/>
      <c r="T510" s="272"/>
      <c r="U510" s="272"/>
      <c r="V510" s="273"/>
      <c r="W510" s="253"/>
      <c r="X510" s="253"/>
      <c r="Y510" s="253"/>
      <c r="Z510" s="253"/>
      <c r="AA510" s="253"/>
      <c r="AB510" s="218"/>
    </row>
    <row r="511">
      <c r="A511" s="118"/>
      <c r="B511" s="118"/>
      <c r="C511" s="143"/>
      <c r="D511" s="118"/>
      <c r="E511" s="118"/>
      <c r="F511" s="262"/>
      <c r="G511" s="264"/>
      <c r="H511" s="264"/>
      <c r="I511" s="267"/>
      <c r="J511" s="118"/>
      <c r="K511" s="136"/>
      <c r="L511" s="118"/>
      <c r="M511" s="136"/>
      <c r="N511" s="118"/>
      <c r="O511" s="136"/>
      <c r="P511" s="272"/>
      <c r="Q511" s="272"/>
      <c r="R511" s="272"/>
      <c r="S511" s="272"/>
      <c r="T511" s="272"/>
      <c r="U511" s="272"/>
      <c r="V511" s="273"/>
      <c r="W511" s="253"/>
      <c r="X511" s="253"/>
      <c r="Y511" s="253"/>
      <c r="Z511" s="253"/>
      <c r="AA511" s="253"/>
      <c r="AB511" s="218"/>
    </row>
    <row r="512">
      <c r="A512" s="118"/>
      <c r="B512" s="118"/>
      <c r="C512" s="143"/>
      <c r="D512" s="118"/>
      <c r="E512" s="118"/>
      <c r="F512" s="262"/>
      <c r="G512" s="264"/>
      <c r="H512" s="264"/>
      <c r="I512" s="267"/>
      <c r="J512" s="118"/>
      <c r="K512" s="136"/>
      <c r="L512" s="118"/>
      <c r="M512" s="136"/>
      <c r="N512" s="118"/>
      <c r="O512" s="136"/>
      <c r="P512" s="272"/>
      <c r="Q512" s="272"/>
      <c r="R512" s="272"/>
      <c r="S512" s="272"/>
      <c r="T512" s="272"/>
      <c r="U512" s="272"/>
      <c r="V512" s="273"/>
      <c r="W512" s="253"/>
      <c r="X512" s="253"/>
      <c r="Y512" s="253"/>
      <c r="Z512" s="253"/>
      <c r="AA512" s="253"/>
      <c r="AB512" s="218"/>
    </row>
    <row r="513">
      <c r="A513" s="118"/>
      <c r="B513" s="118"/>
      <c r="C513" s="143"/>
      <c r="D513" s="118"/>
      <c r="E513" s="118"/>
      <c r="F513" s="262"/>
      <c r="G513" s="264"/>
      <c r="H513" s="264"/>
      <c r="I513" s="267"/>
      <c r="J513" s="118"/>
      <c r="K513" s="136"/>
      <c r="L513" s="118"/>
      <c r="M513" s="136"/>
      <c r="N513" s="118"/>
      <c r="O513" s="136"/>
      <c r="P513" s="272"/>
      <c r="Q513" s="272"/>
      <c r="R513" s="272"/>
      <c r="S513" s="272"/>
      <c r="T513" s="272"/>
      <c r="U513" s="272"/>
      <c r="V513" s="273"/>
      <c r="W513" s="253"/>
      <c r="X513" s="253"/>
      <c r="Y513" s="253"/>
      <c r="Z513" s="253"/>
      <c r="AA513" s="253"/>
      <c r="AB513" s="218"/>
    </row>
    <row r="514">
      <c r="A514" s="118"/>
      <c r="B514" s="118"/>
      <c r="C514" s="143"/>
      <c r="D514" s="118"/>
      <c r="E514" s="118"/>
      <c r="F514" s="262"/>
      <c r="G514" s="264"/>
      <c r="H514" s="264"/>
      <c r="I514" s="267"/>
      <c r="J514" s="118"/>
      <c r="K514" s="136"/>
      <c r="L514" s="118"/>
      <c r="M514" s="136"/>
      <c r="N514" s="118"/>
      <c r="O514" s="136"/>
      <c r="P514" s="272"/>
      <c r="Q514" s="272"/>
      <c r="R514" s="272"/>
      <c r="S514" s="272"/>
      <c r="T514" s="272"/>
      <c r="U514" s="272"/>
      <c r="V514" s="273"/>
      <c r="W514" s="253"/>
      <c r="X514" s="253"/>
      <c r="Y514" s="253"/>
      <c r="Z514" s="253"/>
      <c r="AA514" s="253"/>
      <c r="AB514" s="218"/>
    </row>
    <row r="515">
      <c r="A515" s="118"/>
      <c r="B515" s="118"/>
      <c r="C515" s="143"/>
      <c r="D515" s="118"/>
      <c r="E515" s="118"/>
      <c r="F515" s="262"/>
      <c r="G515" s="264"/>
      <c r="H515" s="264"/>
      <c r="I515" s="267"/>
      <c r="J515" s="118"/>
      <c r="K515" s="136"/>
      <c r="L515" s="118"/>
      <c r="M515" s="136"/>
      <c r="N515" s="118"/>
      <c r="O515" s="136"/>
      <c r="P515" s="272"/>
      <c r="Q515" s="272"/>
      <c r="R515" s="272"/>
      <c r="S515" s="272"/>
      <c r="T515" s="272"/>
      <c r="U515" s="272"/>
      <c r="V515" s="273"/>
      <c r="W515" s="253"/>
      <c r="X515" s="253"/>
      <c r="Y515" s="253"/>
      <c r="Z515" s="253"/>
      <c r="AA515" s="253"/>
      <c r="AB515" s="218"/>
    </row>
    <row r="516">
      <c r="A516" s="118"/>
      <c r="B516" s="118"/>
      <c r="C516" s="143"/>
      <c r="D516" s="118"/>
      <c r="E516" s="118"/>
      <c r="F516" s="262"/>
      <c r="G516" s="264"/>
      <c r="H516" s="264"/>
      <c r="I516" s="267"/>
      <c r="J516" s="118"/>
      <c r="K516" s="136"/>
      <c r="L516" s="118"/>
      <c r="M516" s="136"/>
      <c r="N516" s="118"/>
      <c r="O516" s="136"/>
      <c r="P516" s="272"/>
      <c r="Q516" s="272"/>
      <c r="R516" s="272"/>
      <c r="S516" s="272"/>
      <c r="T516" s="272"/>
      <c r="U516" s="272"/>
      <c r="V516" s="273"/>
      <c r="W516" s="253"/>
      <c r="X516" s="253"/>
      <c r="Y516" s="253"/>
      <c r="Z516" s="253"/>
      <c r="AA516" s="253"/>
      <c r="AB516" s="218"/>
    </row>
    <row r="517">
      <c r="A517" s="118"/>
      <c r="B517" s="118"/>
      <c r="C517" s="143"/>
      <c r="D517" s="118"/>
      <c r="E517" s="118"/>
      <c r="F517" s="262"/>
      <c r="G517" s="264"/>
      <c r="H517" s="264"/>
      <c r="I517" s="267"/>
      <c r="J517" s="118"/>
      <c r="K517" s="136"/>
      <c r="L517" s="118"/>
      <c r="M517" s="136"/>
      <c r="N517" s="118"/>
      <c r="O517" s="136"/>
      <c r="P517" s="272"/>
      <c r="Q517" s="272"/>
      <c r="R517" s="272"/>
      <c r="S517" s="272"/>
      <c r="T517" s="272"/>
      <c r="U517" s="272"/>
      <c r="V517" s="273"/>
      <c r="W517" s="253"/>
      <c r="X517" s="253"/>
      <c r="Y517" s="253"/>
      <c r="Z517" s="253"/>
      <c r="AA517" s="253"/>
      <c r="AB517" s="218"/>
    </row>
    <row r="518">
      <c r="A518" s="118"/>
      <c r="B518" s="118"/>
      <c r="C518" s="143"/>
      <c r="D518" s="118"/>
      <c r="E518" s="118"/>
      <c r="F518" s="262"/>
      <c r="G518" s="264"/>
      <c r="H518" s="264"/>
      <c r="I518" s="267"/>
      <c r="J518" s="118"/>
      <c r="K518" s="136"/>
      <c r="L518" s="118"/>
      <c r="M518" s="136"/>
      <c r="N518" s="118"/>
      <c r="O518" s="136"/>
      <c r="P518" s="272"/>
      <c r="Q518" s="272"/>
      <c r="R518" s="272"/>
      <c r="S518" s="272"/>
      <c r="T518" s="272"/>
      <c r="U518" s="272"/>
      <c r="V518" s="273"/>
      <c r="W518" s="253"/>
      <c r="X518" s="253"/>
      <c r="Y518" s="253"/>
      <c r="Z518" s="253"/>
      <c r="AA518" s="253"/>
      <c r="AB518" s="218"/>
    </row>
    <row r="519">
      <c r="A519" s="118"/>
      <c r="B519" s="118"/>
      <c r="C519" s="143"/>
      <c r="D519" s="118"/>
      <c r="E519" s="118"/>
      <c r="F519" s="262"/>
      <c r="G519" s="264"/>
      <c r="H519" s="264"/>
      <c r="I519" s="267"/>
      <c r="J519" s="118"/>
      <c r="K519" s="136"/>
      <c r="L519" s="118"/>
      <c r="M519" s="136"/>
      <c r="N519" s="118"/>
      <c r="O519" s="136"/>
      <c r="P519" s="272"/>
      <c r="Q519" s="272"/>
      <c r="R519" s="272"/>
      <c r="S519" s="272"/>
      <c r="T519" s="272"/>
      <c r="U519" s="272"/>
      <c r="V519" s="273"/>
      <c r="W519" s="253"/>
      <c r="X519" s="253"/>
      <c r="Y519" s="253"/>
      <c r="Z519" s="253"/>
      <c r="AA519" s="253"/>
      <c r="AB519" s="218"/>
    </row>
    <row r="520">
      <c r="A520" s="118"/>
      <c r="B520" s="118"/>
      <c r="C520" s="143"/>
      <c r="D520" s="118"/>
      <c r="E520" s="118"/>
      <c r="F520" s="262"/>
      <c r="G520" s="264"/>
      <c r="H520" s="264"/>
      <c r="I520" s="267"/>
      <c r="J520" s="118"/>
      <c r="K520" s="136"/>
      <c r="L520" s="118"/>
      <c r="M520" s="136"/>
      <c r="N520" s="118"/>
      <c r="O520" s="136"/>
      <c r="P520" s="272"/>
      <c r="Q520" s="272"/>
      <c r="R520" s="272"/>
      <c r="S520" s="272"/>
      <c r="T520" s="272"/>
      <c r="U520" s="272"/>
      <c r="V520" s="273"/>
      <c r="W520" s="253"/>
      <c r="X520" s="253"/>
      <c r="Y520" s="253"/>
      <c r="Z520" s="253"/>
      <c r="AA520" s="253"/>
      <c r="AB520" s="218"/>
    </row>
    <row r="521">
      <c r="A521" s="118"/>
      <c r="B521" s="118"/>
      <c r="C521" s="143"/>
      <c r="D521" s="118"/>
      <c r="E521" s="118"/>
      <c r="F521" s="262"/>
      <c r="G521" s="264"/>
      <c r="H521" s="264"/>
      <c r="I521" s="267"/>
      <c r="J521" s="118"/>
      <c r="K521" s="136"/>
      <c r="L521" s="118"/>
      <c r="M521" s="136"/>
      <c r="N521" s="118"/>
      <c r="O521" s="136"/>
      <c r="P521" s="272"/>
      <c r="Q521" s="272"/>
      <c r="R521" s="272"/>
      <c r="S521" s="272"/>
      <c r="T521" s="272"/>
      <c r="U521" s="272"/>
      <c r="V521" s="273"/>
      <c r="W521" s="253"/>
      <c r="X521" s="253"/>
      <c r="Y521" s="253"/>
      <c r="Z521" s="253"/>
      <c r="AA521" s="253"/>
      <c r="AB521" s="218"/>
    </row>
    <row r="522">
      <c r="A522" s="118"/>
      <c r="B522" s="118"/>
      <c r="C522" s="143"/>
      <c r="D522" s="118"/>
      <c r="E522" s="118"/>
      <c r="F522" s="262"/>
      <c r="G522" s="264"/>
      <c r="H522" s="264"/>
      <c r="I522" s="267"/>
      <c r="J522" s="118"/>
      <c r="K522" s="136"/>
      <c r="L522" s="118"/>
      <c r="M522" s="136"/>
      <c r="N522" s="118"/>
      <c r="O522" s="136"/>
      <c r="P522" s="272"/>
      <c r="Q522" s="272"/>
      <c r="R522" s="272"/>
      <c r="S522" s="272"/>
      <c r="T522" s="272"/>
      <c r="U522" s="272"/>
      <c r="V522" s="273"/>
      <c r="W522" s="253"/>
      <c r="X522" s="253"/>
      <c r="Y522" s="253"/>
      <c r="Z522" s="253"/>
      <c r="AA522" s="253"/>
      <c r="AB522" s="218"/>
    </row>
    <row r="523">
      <c r="A523" s="118"/>
      <c r="B523" s="118"/>
      <c r="C523" s="143"/>
      <c r="D523" s="118"/>
      <c r="E523" s="118"/>
      <c r="F523" s="262"/>
      <c r="G523" s="264"/>
      <c r="H523" s="264"/>
      <c r="I523" s="267"/>
      <c r="J523" s="118"/>
      <c r="K523" s="136"/>
      <c r="L523" s="118"/>
      <c r="M523" s="136"/>
      <c r="N523" s="118"/>
      <c r="O523" s="136"/>
      <c r="P523" s="272"/>
      <c r="Q523" s="272"/>
      <c r="R523" s="272"/>
      <c r="S523" s="272"/>
      <c r="T523" s="272"/>
      <c r="U523" s="272"/>
      <c r="V523" s="273"/>
      <c r="W523" s="253"/>
      <c r="X523" s="253"/>
      <c r="Y523" s="253"/>
      <c r="Z523" s="253"/>
      <c r="AA523" s="253"/>
      <c r="AB523" s="218"/>
    </row>
    <row r="524">
      <c r="A524" s="118"/>
      <c r="B524" s="118"/>
      <c r="C524" s="143"/>
      <c r="D524" s="118"/>
      <c r="E524" s="118"/>
      <c r="F524" s="262"/>
      <c r="G524" s="264"/>
      <c r="H524" s="264"/>
      <c r="I524" s="267"/>
      <c r="J524" s="118"/>
      <c r="K524" s="136"/>
      <c r="L524" s="118"/>
      <c r="M524" s="136"/>
      <c r="N524" s="118"/>
      <c r="O524" s="136"/>
      <c r="P524" s="272"/>
      <c r="Q524" s="272"/>
      <c r="R524" s="272"/>
      <c r="S524" s="272"/>
      <c r="T524" s="272"/>
      <c r="U524" s="272"/>
      <c r="V524" s="273"/>
      <c r="W524" s="253"/>
      <c r="X524" s="253"/>
      <c r="Y524" s="253"/>
      <c r="Z524" s="253"/>
      <c r="AA524" s="253"/>
      <c r="AB524" s="218"/>
    </row>
    <row r="525">
      <c r="A525" s="118"/>
      <c r="B525" s="118"/>
      <c r="C525" s="143"/>
      <c r="D525" s="118"/>
      <c r="E525" s="118"/>
      <c r="F525" s="262"/>
      <c r="G525" s="264"/>
      <c r="H525" s="264"/>
      <c r="I525" s="267"/>
      <c r="J525" s="118"/>
      <c r="K525" s="136"/>
      <c r="L525" s="118"/>
      <c r="M525" s="136"/>
      <c r="N525" s="118"/>
      <c r="O525" s="136"/>
      <c r="P525" s="272"/>
      <c r="Q525" s="272"/>
      <c r="R525" s="272"/>
      <c r="S525" s="272"/>
      <c r="T525" s="272"/>
      <c r="U525" s="272"/>
      <c r="V525" s="273"/>
      <c r="W525" s="253"/>
      <c r="X525" s="253"/>
      <c r="Y525" s="253"/>
      <c r="Z525" s="253"/>
      <c r="AA525" s="253"/>
      <c r="AB525" s="218"/>
    </row>
    <row r="526">
      <c r="A526" s="118"/>
      <c r="B526" s="118"/>
      <c r="C526" s="143"/>
      <c r="D526" s="118"/>
      <c r="E526" s="118"/>
      <c r="F526" s="262"/>
      <c r="G526" s="264"/>
      <c r="H526" s="264"/>
      <c r="I526" s="267"/>
      <c r="J526" s="118"/>
      <c r="K526" s="136"/>
      <c r="L526" s="118"/>
      <c r="M526" s="136"/>
      <c r="N526" s="118"/>
      <c r="O526" s="136"/>
      <c r="P526" s="272"/>
      <c r="Q526" s="272"/>
      <c r="R526" s="272"/>
      <c r="S526" s="272"/>
      <c r="T526" s="272"/>
      <c r="U526" s="272"/>
      <c r="V526" s="273"/>
      <c r="W526" s="253"/>
      <c r="X526" s="253"/>
      <c r="Y526" s="253"/>
      <c r="Z526" s="253"/>
      <c r="AA526" s="253"/>
      <c r="AB526" s="218"/>
    </row>
    <row r="527">
      <c r="A527" s="118"/>
      <c r="B527" s="118"/>
      <c r="C527" s="143"/>
      <c r="D527" s="118"/>
      <c r="E527" s="118"/>
      <c r="F527" s="262"/>
      <c r="G527" s="264"/>
      <c r="H527" s="264"/>
      <c r="I527" s="267"/>
      <c r="J527" s="118"/>
      <c r="K527" s="136"/>
      <c r="L527" s="118"/>
      <c r="M527" s="136"/>
      <c r="N527" s="118"/>
      <c r="O527" s="136"/>
      <c r="P527" s="272"/>
      <c r="Q527" s="272"/>
      <c r="R527" s="272"/>
      <c r="S527" s="272"/>
      <c r="T527" s="272"/>
      <c r="U527" s="272"/>
      <c r="V527" s="273"/>
      <c r="W527" s="253"/>
      <c r="X527" s="253"/>
      <c r="Y527" s="253"/>
      <c r="Z527" s="253"/>
      <c r="AA527" s="253"/>
      <c r="AB527" s="218"/>
    </row>
    <row r="528">
      <c r="A528" s="118"/>
      <c r="B528" s="118"/>
      <c r="C528" s="143"/>
      <c r="D528" s="118"/>
      <c r="E528" s="118"/>
      <c r="F528" s="262"/>
      <c r="G528" s="264"/>
      <c r="H528" s="264"/>
      <c r="I528" s="267"/>
      <c r="J528" s="118"/>
      <c r="K528" s="136"/>
      <c r="L528" s="118"/>
      <c r="M528" s="136"/>
      <c r="N528" s="118"/>
      <c r="O528" s="136"/>
      <c r="P528" s="272"/>
      <c r="Q528" s="272"/>
      <c r="R528" s="272"/>
      <c r="S528" s="272"/>
      <c r="T528" s="272"/>
      <c r="U528" s="272"/>
      <c r="V528" s="273"/>
      <c r="W528" s="253"/>
      <c r="X528" s="253"/>
      <c r="Y528" s="253"/>
      <c r="Z528" s="253"/>
      <c r="AA528" s="253"/>
      <c r="AB528" s="218"/>
    </row>
    <row r="529">
      <c r="A529" s="118"/>
      <c r="B529" s="118"/>
      <c r="C529" s="143"/>
      <c r="D529" s="118"/>
      <c r="E529" s="118"/>
      <c r="F529" s="262"/>
      <c r="G529" s="264"/>
      <c r="H529" s="264"/>
      <c r="I529" s="267"/>
      <c r="J529" s="118"/>
      <c r="K529" s="136"/>
      <c r="L529" s="118"/>
      <c r="M529" s="136"/>
      <c r="N529" s="118"/>
      <c r="O529" s="136"/>
      <c r="P529" s="272"/>
      <c r="Q529" s="272"/>
      <c r="R529" s="272"/>
      <c r="S529" s="272"/>
      <c r="T529" s="272"/>
      <c r="U529" s="272"/>
      <c r="V529" s="273"/>
      <c r="W529" s="253"/>
      <c r="X529" s="253"/>
      <c r="Y529" s="253"/>
      <c r="Z529" s="253"/>
      <c r="AA529" s="253"/>
      <c r="AB529" s="218"/>
    </row>
    <row r="530">
      <c r="A530" s="118"/>
      <c r="B530" s="118"/>
      <c r="C530" s="143"/>
      <c r="D530" s="118"/>
      <c r="E530" s="118"/>
      <c r="F530" s="262"/>
      <c r="G530" s="264"/>
      <c r="H530" s="264"/>
      <c r="I530" s="267"/>
      <c r="J530" s="118"/>
      <c r="K530" s="136"/>
      <c r="L530" s="118"/>
      <c r="M530" s="136"/>
      <c r="N530" s="118"/>
      <c r="O530" s="136"/>
      <c r="P530" s="272"/>
      <c r="Q530" s="272"/>
      <c r="R530" s="272"/>
      <c r="S530" s="272"/>
      <c r="T530" s="272"/>
      <c r="U530" s="272"/>
      <c r="V530" s="273"/>
      <c r="W530" s="253"/>
      <c r="X530" s="253"/>
      <c r="Y530" s="253"/>
      <c r="Z530" s="253"/>
      <c r="AA530" s="253"/>
      <c r="AB530" s="218"/>
    </row>
    <row r="531">
      <c r="A531" s="118"/>
      <c r="B531" s="118"/>
      <c r="C531" s="143"/>
      <c r="D531" s="118"/>
      <c r="E531" s="118"/>
      <c r="F531" s="262"/>
      <c r="G531" s="264"/>
      <c r="H531" s="264"/>
      <c r="I531" s="267"/>
      <c r="J531" s="118"/>
      <c r="K531" s="136"/>
      <c r="L531" s="118"/>
      <c r="M531" s="136"/>
      <c r="N531" s="118"/>
      <c r="O531" s="136"/>
      <c r="P531" s="272"/>
      <c r="Q531" s="272"/>
      <c r="R531" s="272"/>
      <c r="S531" s="272"/>
      <c r="T531" s="272"/>
      <c r="U531" s="272"/>
      <c r="V531" s="273"/>
      <c r="W531" s="253"/>
      <c r="X531" s="253"/>
      <c r="Y531" s="253"/>
      <c r="Z531" s="253"/>
      <c r="AA531" s="253"/>
      <c r="AB531" s="218"/>
    </row>
    <row r="532">
      <c r="A532" s="118"/>
      <c r="B532" s="118"/>
      <c r="C532" s="143"/>
      <c r="D532" s="118"/>
      <c r="E532" s="118"/>
      <c r="F532" s="262"/>
      <c r="G532" s="264"/>
      <c r="H532" s="264"/>
      <c r="I532" s="267"/>
      <c r="J532" s="118"/>
      <c r="K532" s="136"/>
      <c r="L532" s="118"/>
      <c r="M532" s="136"/>
      <c r="N532" s="118"/>
      <c r="O532" s="136"/>
      <c r="P532" s="272"/>
      <c r="Q532" s="272"/>
      <c r="R532" s="272"/>
      <c r="S532" s="272"/>
      <c r="T532" s="272"/>
      <c r="U532" s="272"/>
      <c r="V532" s="273"/>
      <c r="W532" s="253"/>
      <c r="X532" s="253"/>
      <c r="Y532" s="253"/>
      <c r="Z532" s="253"/>
      <c r="AA532" s="253"/>
      <c r="AB532" s="218"/>
    </row>
    <row r="533">
      <c r="A533" s="118"/>
      <c r="B533" s="118"/>
      <c r="C533" s="143"/>
      <c r="D533" s="118"/>
      <c r="E533" s="118"/>
      <c r="F533" s="262"/>
      <c r="G533" s="264"/>
      <c r="H533" s="264"/>
      <c r="I533" s="267"/>
      <c r="J533" s="118"/>
      <c r="K533" s="136"/>
      <c r="L533" s="118"/>
      <c r="M533" s="136"/>
      <c r="N533" s="118"/>
      <c r="O533" s="136"/>
      <c r="P533" s="272"/>
      <c r="Q533" s="272"/>
      <c r="R533" s="272"/>
      <c r="S533" s="272"/>
      <c r="T533" s="272"/>
      <c r="U533" s="272"/>
      <c r="V533" s="273"/>
      <c r="W533" s="253"/>
      <c r="X533" s="253"/>
      <c r="Y533" s="253"/>
      <c r="Z533" s="253"/>
      <c r="AA533" s="253"/>
      <c r="AB533" s="218"/>
    </row>
    <row r="534">
      <c r="A534" s="118"/>
      <c r="B534" s="118"/>
      <c r="C534" s="143"/>
      <c r="D534" s="118"/>
      <c r="E534" s="118"/>
      <c r="F534" s="262"/>
      <c r="G534" s="264"/>
      <c r="H534" s="264"/>
      <c r="I534" s="267"/>
      <c r="J534" s="118"/>
      <c r="K534" s="136"/>
      <c r="L534" s="118"/>
      <c r="M534" s="136"/>
      <c r="N534" s="118"/>
      <c r="O534" s="136"/>
      <c r="P534" s="272"/>
      <c r="Q534" s="272"/>
      <c r="R534" s="272"/>
      <c r="S534" s="272"/>
      <c r="T534" s="272"/>
      <c r="U534" s="272"/>
      <c r="V534" s="273"/>
      <c r="W534" s="253"/>
      <c r="X534" s="253"/>
      <c r="Y534" s="253"/>
      <c r="Z534" s="253"/>
      <c r="AA534" s="253"/>
      <c r="AB534" s="218"/>
    </row>
    <row r="535">
      <c r="A535" s="118"/>
      <c r="B535" s="118"/>
      <c r="C535" s="143"/>
      <c r="D535" s="118"/>
      <c r="E535" s="118"/>
      <c r="F535" s="262"/>
      <c r="G535" s="264"/>
      <c r="H535" s="264"/>
      <c r="I535" s="267"/>
      <c r="J535" s="118"/>
      <c r="K535" s="136"/>
      <c r="L535" s="118"/>
      <c r="M535" s="136"/>
      <c r="N535" s="118"/>
      <c r="O535" s="136"/>
      <c r="P535" s="272"/>
      <c r="Q535" s="272"/>
      <c r="R535" s="272"/>
      <c r="S535" s="272"/>
      <c r="T535" s="272"/>
      <c r="U535" s="272"/>
      <c r="V535" s="273"/>
      <c r="W535" s="253"/>
      <c r="X535" s="253"/>
      <c r="Y535" s="253"/>
      <c r="Z535" s="253"/>
      <c r="AA535" s="253"/>
      <c r="AB535" s="218"/>
    </row>
    <row r="536">
      <c r="A536" s="118"/>
      <c r="B536" s="118"/>
      <c r="C536" s="143"/>
      <c r="D536" s="118"/>
      <c r="E536" s="118"/>
      <c r="F536" s="262"/>
      <c r="G536" s="264"/>
      <c r="H536" s="264"/>
      <c r="I536" s="267"/>
      <c r="J536" s="118"/>
      <c r="K536" s="136"/>
      <c r="L536" s="118"/>
      <c r="M536" s="136"/>
      <c r="N536" s="118"/>
      <c r="O536" s="136"/>
      <c r="P536" s="272"/>
      <c r="Q536" s="272"/>
      <c r="R536" s="272"/>
      <c r="S536" s="272"/>
      <c r="T536" s="272"/>
      <c r="U536" s="272"/>
      <c r="V536" s="273"/>
      <c r="W536" s="253"/>
      <c r="X536" s="253"/>
      <c r="Y536" s="253"/>
      <c r="Z536" s="253"/>
      <c r="AA536" s="253"/>
      <c r="AB536" s="218"/>
    </row>
    <row r="537">
      <c r="A537" s="118"/>
      <c r="B537" s="118"/>
      <c r="C537" s="143"/>
      <c r="D537" s="118"/>
      <c r="E537" s="118"/>
      <c r="F537" s="262"/>
      <c r="G537" s="264"/>
      <c r="H537" s="264"/>
      <c r="I537" s="267"/>
      <c r="J537" s="118"/>
      <c r="K537" s="136"/>
      <c r="L537" s="118"/>
      <c r="M537" s="136"/>
      <c r="N537" s="118"/>
      <c r="O537" s="136"/>
      <c r="P537" s="272"/>
      <c r="Q537" s="272"/>
      <c r="R537" s="272"/>
      <c r="S537" s="272"/>
      <c r="T537" s="272"/>
      <c r="U537" s="272"/>
      <c r="V537" s="273"/>
      <c r="W537" s="253"/>
      <c r="X537" s="253"/>
      <c r="Y537" s="253"/>
      <c r="Z537" s="253"/>
      <c r="AA537" s="253"/>
      <c r="AB537" s="218"/>
    </row>
    <row r="538">
      <c r="A538" s="118"/>
      <c r="B538" s="118"/>
      <c r="C538" s="143"/>
      <c r="D538" s="118"/>
      <c r="E538" s="118"/>
      <c r="F538" s="262"/>
      <c r="G538" s="264"/>
      <c r="H538" s="264"/>
      <c r="I538" s="267"/>
      <c r="J538" s="118"/>
      <c r="K538" s="136"/>
      <c r="L538" s="118"/>
      <c r="M538" s="136"/>
      <c r="N538" s="118"/>
      <c r="O538" s="136"/>
      <c r="P538" s="272"/>
      <c r="Q538" s="272"/>
      <c r="R538" s="272"/>
      <c r="S538" s="272"/>
      <c r="T538" s="272"/>
      <c r="U538" s="272"/>
      <c r="V538" s="273"/>
      <c r="W538" s="253"/>
      <c r="X538" s="253"/>
      <c r="Y538" s="253"/>
      <c r="Z538" s="253"/>
      <c r="AA538" s="253"/>
      <c r="AB538" s="218"/>
    </row>
    <row r="539">
      <c r="A539" s="118"/>
      <c r="B539" s="118"/>
      <c r="C539" s="143"/>
      <c r="D539" s="118"/>
      <c r="E539" s="118"/>
      <c r="F539" s="262"/>
      <c r="G539" s="264"/>
      <c r="H539" s="264"/>
      <c r="I539" s="267"/>
      <c r="J539" s="118"/>
      <c r="K539" s="136"/>
      <c r="L539" s="118"/>
      <c r="M539" s="136"/>
      <c r="N539" s="118"/>
      <c r="O539" s="136"/>
      <c r="P539" s="272"/>
      <c r="Q539" s="272"/>
      <c r="R539" s="272"/>
      <c r="S539" s="272"/>
      <c r="T539" s="272"/>
      <c r="U539" s="272"/>
      <c r="V539" s="273"/>
      <c r="W539" s="253"/>
      <c r="X539" s="253"/>
      <c r="Y539" s="253"/>
      <c r="Z539" s="253"/>
      <c r="AA539" s="253"/>
      <c r="AB539" s="218"/>
    </row>
    <row r="540">
      <c r="A540" s="118"/>
      <c r="B540" s="118"/>
      <c r="C540" s="143"/>
      <c r="D540" s="118"/>
      <c r="E540" s="118"/>
      <c r="F540" s="262"/>
      <c r="G540" s="264"/>
      <c r="H540" s="264"/>
      <c r="I540" s="267"/>
      <c r="J540" s="118"/>
      <c r="K540" s="136"/>
      <c r="L540" s="118"/>
      <c r="M540" s="136"/>
      <c r="N540" s="118"/>
      <c r="O540" s="136"/>
      <c r="P540" s="272"/>
      <c r="Q540" s="272"/>
      <c r="R540" s="272"/>
      <c r="S540" s="272"/>
      <c r="T540" s="272"/>
      <c r="U540" s="272"/>
      <c r="V540" s="273"/>
      <c r="W540" s="253"/>
      <c r="X540" s="253"/>
      <c r="Y540" s="253"/>
      <c r="Z540" s="253"/>
      <c r="AA540" s="253"/>
      <c r="AB540" s="218"/>
    </row>
    <row r="541">
      <c r="A541" s="118"/>
      <c r="B541" s="118"/>
      <c r="C541" s="143"/>
      <c r="D541" s="118"/>
      <c r="E541" s="118"/>
      <c r="F541" s="262"/>
      <c r="G541" s="264"/>
      <c r="H541" s="264"/>
      <c r="I541" s="267"/>
      <c r="J541" s="118"/>
      <c r="K541" s="136"/>
      <c r="L541" s="118"/>
      <c r="M541" s="136"/>
      <c r="N541" s="118"/>
      <c r="O541" s="136"/>
      <c r="P541" s="272"/>
      <c r="Q541" s="272"/>
      <c r="R541" s="272"/>
      <c r="S541" s="272"/>
      <c r="T541" s="272"/>
      <c r="U541" s="272"/>
      <c r="V541" s="273"/>
      <c r="W541" s="253"/>
      <c r="X541" s="253"/>
      <c r="Y541" s="253"/>
      <c r="Z541" s="253"/>
      <c r="AA541" s="253"/>
      <c r="AB541" s="218"/>
    </row>
    <row r="542">
      <c r="A542" s="118"/>
      <c r="B542" s="118"/>
      <c r="C542" s="143"/>
      <c r="D542" s="118"/>
      <c r="E542" s="118"/>
      <c r="F542" s="262"/>
      <c r="G542" s="264"/>
      <c r="H542" s="264"/>
      <c r="I542" s="267"/>
      <c r="J542" s="118"/>
      <c r="K542" s="136"/>
      <c r="L542" s="118"/>
      <c r="M542" s="136"/>
      <c r="N542" s="118"/>
      <c r="O542" s="136"/>
      <c r="P542" s="272"/>
      <c r="Q542" s="272"/>
      <c r="R542" s="272"/>
      <c r="S542" s="272"/>
      <c r="T542" s="272"/>
      <c r="U542" s="272"/>
      <c r="V542" s="273"/>
      <c r="W542" s="253"/>
      <c r="X542" s="253"/>
      <c r="Y542" s="253"/>
      <c r="Z542" s="253"/>
      <c r="AA542" s="253"/>
      <c r="AB542" s="218"/>
    </row>
    <row r="543">
      <c r="A543" s="118"/>
      <c r="B543" s="118"/>
      <c r="C543" s="143"/>
      <c r="D543" s="118"/>
      <c r="E543" s="118"/>
      <c r="F543" s="262"/>
      <c r="G543" s="264"/>
      <c r="H543" s="264"/>
      <c r="I543" s="267"/>
      <c r="J543" s="118"/>
      <c r="K543" s="136"/>
      <c r="L543" s="118"/>
      <c r="M543" s="136"/>
      <c r="N543" s="118"/>
      <c r="O543" s="136"/>
      <c r="P543" s="272"/>
      <c r="Q543" s="272"/>
      <c r="R543" s="272"/>
      <c r="S543" s="272"/>
      <c r="T543" s="272"/>
      <c r="U543" s="272"/>
      <c r="V543" s="273"/>
      <c r="W543" s="253"/>
      <c r="X543" s="253"/>
      <c r="Y543" s="253"/>
      <c r="Z543" s="253"/>
      <c r="AA543" s="253"/>
      <c r="AB543" s="218"/>
    </row>
    <row r="544">
      <c r="A544" s="118"/>
      <c r="B544" s="118"/>
      <c r="C544" s="143"/>
      <c r="D544" s="118"/>
      <c r="E544" s="118"/>
      <c r="F544" s="262"/>
      <c r="G544" s="264"/>
      <c r="H544" s="264"/>
      <c r="I544" s="267"/>
      <c r="J544" s="118"/>
      <c r="K544" s="136"/>
      <c r="L544" s="118"/>
      <c r="M544" s="136"/>
      <c r="N544" s="118"/>
      <c r="O544" s="136"/>
      <c r="P544" s="272"/>
      <c r="Q544" s="272"/>
      <c r="R544" s="272"/>
      <c r="S544" s="272"/>
      <c r="T544" s="272"/>
      <c r="U544" s="272"/>
      <c r="V544" s="273"/>
      <c r="W544" s="253"/>
      <c r="X544" s="253"/>
      <c r="Y544" s="253"/>
      <c r="Z544" s="253"/>
      <c r="AA544" s="253"/>
      <c r="AB544" s="218"/>
    </row>
    <row r="545">
      <c r="A545" s="118"/>
      <c r="B545" s="118"/>
      <c r="C545" s="143"/>
      <c r="D545" s="118"/>
      <c r="E545" s="118"/>
      <c r="F545" s="262"/>
      <c r="G545" s="264"/>
      <c r="H545" s="264"/>
      <c r="I545" s="267"/>
      <c r="J545" s="118"/>
      <c r="K545" s="136"/>
      <c r="L545" s="118"/>
      <c r="M545" s="136"/>
      <c r="N545" s="118"/>
      <c r="O545" s="136"/>
      <c r="P545" s="272"/>
      <c r="Q545" s="272"/>
      <c r="R545" s="272"/>
      <c r="S545" s="272"/>
      <c r="T545" s="272"/>
      <c r="U545" s="272"/>
      <c r="V545" s="273"/>
      <c r="W545" s="253"/>
      <c r="X545" s="253"/>
      <c r="Y545" s="253"/>
      <c r="Z545" s="253"/>
      <c r="AA545" s="253"/>
      <c r="AB545" s="218"/>
    </row>
    <row r="546">
      <c r="A546" s="118"/>
      <c r="B546" s="118"/>
      <c r="C546" s="143"/>
      <c r="D546" s="118"/>
      <c r="E546" s="118"/>
      <c r="F546" s="262"/>
      <c r="G546" s="264"/>
      <c r="H546" s="264"/>
      <c r="I546" s="267"/>
      <c r="J546" s="118"/>
      <c r="K546" s="136"/>
      <c r="L546" s="118"/>
      <c r="M546" s="136"/>
      <c r="N546" s="118"/>
      <c r="O546" s="136"/>
      <c r="P546" s="272"/>
      <c r="Q546" s="272"/>
      <c r="R546" s="272"/>
      <c r="S546" s="272"/>
      <c r="T546" s="272"/>
      <c r="U546" s="272"/>
      <c r="V546" s="273"/>
      <c r="W546" s="253"/>
      <c r="X546" s="253"/>
      <c r="Y546" s="253"/>
      <c r="Z546" s="253"/>
      <c r="AA546" s="253"/>
      <c r="AB546" s="218"/>
    </row>
    <row r="547">
      <c r="A547" s="118"/>
      <c r="B547" s="118"/>
      <c r="C547" s="143"/>
      <c r="D547" s="118"/>
      <c r="E547" s="118"/>
      <c r="F547" s="262"/>
      <c r="G547" s="264"/>
      <c r="H547" s="264"/>
      <c r="I547" s="267"/>
      <c r="J547" s="118"/>
      <c r="K547" s="136"/>
      <c r="L547" s="118"/>
      <c r="M547" s="136"/>
      <c r="N547" s="118"/>
      <c r="O547" s="136"/>
      <c r="P547" s="272"/>
      <c r="Q547" s="272"/>
      <c r="R547" s="272"/>
      <c r="S547" s="272"/>
      <c r="T547" s="272"/>
      <c r="U547" s="272"/>
      <c r="V547" s="273"/>
      <c r="W547" s="253"/>
      <c r="X547" s="253"/>
      <c r="Y547" s="253"/>
      <c r="Z547" s="253"/>
      <c r="AA547" s="253"/>
      <c r="AB547" s="218"/>
    </row>
    <row r="548">
      <c r="A548" s="118"/>
      <c r="B548" s="118"/>
      <c r="C548" s="143"/>
      <c r="D548" s="118"/>
      <c r="E548" s="118"/>
      <c r="F548" s="262"/>
      <c r="G548" s="264"/>
      <c r="H548" s="264"/>
      <c r="I548" s="267"/>
      <c r="J548" s="118"/>
      <c r="K548" s="136"/>
      <c r="L548" s="118"/>
      <c r="M548" s="136"/>
      <c r="N548" s="118"/>
      <c r="O548" s="136"/>
      <c r="P548" s="272"/>
      <c r="Q548" s="272"/>
      <c r="R548" s="272"/>
      <c r="S548" s="272"/>
      <c r="T548" s="272"/>
      <c r="U548" s="272"/>
      <c r="V548" s="273"/>
      <c r="W548" s="253"/>
      <c r="X548" s="253"/>
      <c r="Y548" s="253"/>
      <c r="Z548" s="253"/>
      <c r="AA548" s="253"/>
      <c r="AB548" s="218"/>
    </row>
    <row r="549">
      <c r="A549" s="118"/>
      <c r="B549" s="118"/>
      <c r="C549" s="143"/>
      <c r="D549" s="118"/>
      <c r="E549" s="118"/>
      <c r="F549" s="262"/>
      <c r="G549" s="264"/>
      <c r="H549" s="264"/>
      <c r="I549" s="267"/>
      <c r="J549" s="118"/>
      <c r="K549" s="136"/>
      <c r="L549" s="118"/>
      <c r="M549" s="136"/>
      <c r="N549" s="118"/>
      <c r="O549" s="136"/>
      <c r="P549" s="272"/>
      <c r="Q549" s="272"/>
      <c r="R549" s="272"/>
      <c r="S549" s="272"/>
      <c r="T549" s="272"/>
      <c r="U549" s="272"/>
      <c r="V549" s="273"/>
      <c r="W549" s="253"/>
      <c r="X549" s="253"/>
      <c r="Y549" s="253"/>
      <c r="Z549" s="253"/>
      <c r="AA549" s="253"/>
      <c r="AB549" s="218"/>
    </row>
    <row r="550">
      <c r="A550" s="118"/>
      <c r="B550" s="118"/>
      <c r="C550" s="143"/>
      <c r="D550" s="118"/>
      <c r="E550" s="118"/>
      <c r="F550" s="262"/>
      <c r="G550" s="264"/>
      <c r="H550" s="264"/>
      <c r="I550" s="267"/>
      <c r="J550" s="118"/>
      <c r="K550" s="136"/>
      <c r="L550" s="118"/>
      <c r="M550" s="136"/>
      <c r="N550" s="118"/>
      <c r="O550" s="136"/>
      <c r="P550" s="272"/>
      <c r="Q550" s="272"/>
      <c r="R550" s="272"/>
      <c r="S550" s="272"/>
      <c r="T550" s="272"/>
      <c r="U550" s="272"/>
      <c r="V550" s="273"/>
      <c r="W550" s="253"/>
      <c r="X550" s="253"/>
      <c r="Y550" s="253"/>
      <c r="Z550" s="253"/>
      <c r="AA550" s="253"/>
      <c r="AB550" s="218"/>
    </row>
    <row r="551">
      <c r="A551" s="118"/>
      <c r="B551" s="118"/>
      <c r="C551" s="143"/>
      <c r="D551" s="118"/>
      <c r="E551" s="118"/>
      <c r="F551" s="262"/>
      <c r="G551" s="264"/>
      <c r="H551" s="264"/>
      <c r="I551" s="267"/>
      <c r="J551" s="118"/>
      <c r="K551" s="136"/>
      <c r="L551" s="118"/>
      <c r="M551" s="136"/>
      <c r="N551" s="118"/>
      <c r="O551" s="136"/>
      <c r="P551" s="272"/>
      <c r="Q551" s="272"/>
      <c r="R551" s="272"/>
      <c r="S551" s="272"/>
      <c r="T551" s="272"/>
      <c r="U551" s="272"/>
      <c r="V551" s="273"/>
      <c r="W551" s="253"/>
      <c r="X551" s="253"/>
      <c r="Y551" s="253"/>
      <c r="Z551" s="253"/>
      <c r="AA551" s="253"/>
      <c r="AB551" s="218"/>
    </row>
    <row r="552">
      <c r="A552" s="118"/>
      <c r="B552" s="118"/>
      <c r="C552" s="143"/>
      <c r="D552" s="118"/>
      <c r="E552" s="118"/>
      <c r="F552" s="262"/>
      <c r="G552" s="264"/>
      <c r="H552" s="264"/>
      <c r="I552" s="267"/>
      <c r="J552" s="118"/>
      <c r="K552" s="136"/>
      <c r="L552" s="118"/>
      <c r="M552" s="136"/>
      <c r="N552" s="118"/>
      <c r="O552" s="136"/>
      <c r="P552" s="272"/>
      <c r="Q552" s="272"/>
      <c r="R552" s="272"/>
      <c r="S552" s="272"/>
      <c r="T552" s="272"/>
      <c r="U552" s="272"/>
      <c r="V552" s="273"/>
      <c r="W552" s="253"/>
      <c r="X552" s="253"/>
      <c r="Y552" s="253"/>
      <c r="Z552" s="253"/>
      <c r="AA552" s="253"/>
      <c r="AB552" s="218"/>
    </row>
    <row r="553">
      <c r="A553" s="118"/>
      <c r="B553" s="118"/>
      <c r="C553" s="143"/>
      <c r="D553" s="118"/>
      <c r="E553" s="118"/>
      <c r="F553" s="262"/>
      <c r="G553" s="264"/>
      <c r="H553" s="264"/>
      <c r="I553" s="267"/>
      <c r="J553" s="118"/>
      <c r="K553" s="136"/>
      <c r="L553" s="118"/>
      <c r="M553" s="136"/>
      <c r="N553" s="118"/>
      <c r="O553" s="136"/>
      <c r="P553" s="272"/>
      <c r="Q553" s="272"/>
      <c r="R553" s="272"/>
      <c r="S553" s="272"/>
      <c r="T553" s="272"/>
      <c r="U553" s="272"/>
      <c r="V553" s="273"/>
      <c r="W553" s="253"/>
      <c r="X553" s="253"/>
      <c r="Y553" s="253"/>
      <c r="Z553" s="253"/>
      <c r="AA553" s="253"/>
      <c r="AB553" s="218"/>
    </row>
    <row r="554">
      <c r="A554" s="118"/>
      <c r="B554" s="118"/>
      <c r="C554" s="143"/>
      <c r="D554" s="118"/>
      <c r="E554" s="118"/>
      <c r="F554" s="262"/>
      <c r="G554" s="264"/>
      <c r="H554" s="264"/>
      <c r="I554" s="267"/>
      <c r="J554" s="118"/>
      <c r="K554" s="136"/>
      <c r="L554" s="118"/>
      <c r="M554" s="136"/>
      <c r="N554" s="118"/>
      <c r="O554" s="136"/>
      <c r="P554" s="272"/>
      <c r="Q554" s="272"/>
      <c r="R554" s="272"/>
      <c r="S554" s="272"/>
      <c r="T554" s="272"/>
      <c r="U554" s="272"/>
      <c r="V554" s="273"/>
      <c r="W554" s="253"/>
      <c r="X554" s="253"/>
      <c r="Y554" s="253"/>
      <c r="Z554" s="253"/>
      <c r="AA554" s="253"/>
      <c r="AB554" s="218"/>
    </row>
    <row r="555">
      <c r="A555" s="118"/>
      <c r="B555" s="118"/>
      <c r="C555" s="143"/>
      <c r="D555" s="118"/>
      <c r="E555" s="118"/>
      <c r="F555" s="262"/>
      <c r="G555" s="264"/>
      <c r="H555" s="264"/>
      <c r="I555" s="267"/>
      <c r="J555" s="118"/>
      <c r="K555" s="136"/>
      <c r="L555" s="118"/>
      <c r="M555" s="136"/>
      <c r="N555" s="118"/>
      <c r="O555" s="136"/>
      <c r="P555" s="272"/>
      <c r="Q555" s="272"/>
      <c r="R555" s="272"/>
      <c r="S555" s="272"/>
      <c r="T555" s="272"/>
      <c r="U555" s="272"/>
      <c r="V555" s="273"/>
      <c r="W555" s="253"/>
      <c r="X555" s="253"/>
      <c r="Y555" s="253"/>
      <c r="Z555" s="253"/>
      <c r="AA555" s="253"/>
      <c r="AB555" s="218"/>
    </row>
    <row r="556">
      <c r="A556" s="118"/>
      <c r="B556" s="118"/>
      <c r="C556" s="143"/>
      <c r="D556" s="118"/>
      <c r="E556" s="118"/>
      <c r="F556" s="262"/>
      <c r="G556" s="264"/>
      <c r="H556" s="264"/>
      <c r="I556" s="267"/>
      <c r="J556" s="118"/>
      <c r="K556" s="136"/>
      <c r="L556" s="118"/>
      <c r="M556" s="136"/>
      <c r="N556" s="118"/>
      <c r="O556" s="136"/>
      <c r="P556" s="272"/>
      <c r="Q556" s="272"/>
      <c r="R556" s="272"/>
      <c r="S556" s="272"/>
      <c r="T556" s="272"/>
      <c r="U556" s="272"/>
      <c r="V556" s="273"/>
      <c r="W556" s="253"/>
      <c r="X556" s="253"/>
      <c r="Y556" s="253"/>
      <c r="Z556" s="253"/>
      <c r="AA556" s="253"/>
      <c r="AB556" s="218"/>
    </row>
    <row r="557">
      <c r="A557" s="118"/>
      <c r="B557" s="118"/>
      <c r="C557" s="143"/>
      <c r="D557" s="118"/>
      <c r="E557" s="118"/>
      <c r="F557" s="262"/>
      <c r="G557" s="264"/>
      <c r="H557" s="264"/>
      <c r="I557" s="267"/>
      <c r="J557" s="118"/>
      <c r="K557" s="136"/>
      <c r="L557" s="118"/>
      <c r="M557" s="136"/>
      <c r="N557" s="118"/>
      <c r="O557" s="136"/>
      <c r="P557" s="272"/>
      <c r="Q557" s="272"/>
      <c r="R557" s="272"/>
      <c r="S557" s="272"/>
      <c r="T557" s="272"/>
      <c r="U557" s="272"/>
      <c r="V557" s="273"/>
      <c r="W557" s="253"/>
      <c r="X557" s="253"/>
      <c r="Y557" s="253"/>
      <c r="Z557" s="253"/>
      <c r="AA557" s="253"/>
      <c r="AB557" s="218"/>
    </row>
    <row r="558">
      <c r="A558" s="118"/>
      <c r="B558" s="118"/>
      <c r="C558" s="143"/>
      <c r="D558" s="118"/>
      <c r="E558" s="118"/>
      <c r="F558" s="262"/>
      <c r="G558" s="264"/>
      <c r="H558" s="264"/>
      <c r="I558" s="267"/>
      <c r="J558" s="118"/>
      <c r="K558" s="136"/>
      <c r="L558" s="118"/>
      <c r="M558" s="136"/>
      <c r="N558" s="118"/>
      <c r="O558" s="136"/>
      <c r="P558" s="272"/>
      <c r="Q558" s="272"/>
      <c r="R558" s="272"/>
      <c r="S558" s="272"/>
      <c r="T558" s="272"/>
      <c r="U558" s="272"/>
      <c r="V558" s="273"/>
      <c r="W558" s="253"/>
      <c r="X558" s="253"/>
      <c r="Y558" s="253"/>
      <c r="Z558" s="253"/>
      <c r="AA558" s="253"/>
      <c r="AB558" s="218"/>
    </row>
    <row r="559">
      <c r="A559" s="118"/>
      <c r="B559" s="118"/>
      <c r="C559" s="143"/>
      <c r="D559" s="118"/>
      <c r="E559" s="118"/>
      <c r="F559" s="262"/>
      <c r="G559" s="264"/>
      <c r="H559" s="264"/>
      <c r="I559" s="267"/>
      <c r="J559" s="118"/>
      <c r="K559" s="136"/>
      <c r="L559" s="118"/>
      <c r="M559" s="136"/>
      <c r="N559" s="118"/>
      <c r="O559" s="136"/>
      <c r="P559" s="272"/>
      <c r="Q559" s="272"/>
      <c r="R559" s="272"/>
      <c r="S559" s="272"/>
      <c r="T559" s="272"/>
      <c r="U559" s="272"/>
      <c r="V559" s="273"/>
      <c r="W559" s="253"/>
      <c r="X559" s="253"/>
      <c r="Y559" s="253"/>
      <c r="Z559" s="253"/>
      <c r="AA559" s="253"/>
      <c r="AB559" s="218"/>
    </row>
    <row r="560">
      <c r="A560" s="118"/>
      <c r="B560" s="118"/>
      <c r="C560" s="143"/>
      <c r="D560" s="118"/>
      <c r="E560" s="118"/>
      <c r="F560" s="262"/>
      <c r="G560" s="264"/>
      <c r="H560" s="264"/>
      <c r="I560" s="267"/>
      <c r="J560" s="118"/>
      <c r="K560" s="136"/>
      <c r="L560" s="118"/>
      <c r="M560" s="136"/>
      <c r="N560" s="118"/>
      <c r="O560" s="136"/>
      <c r="P560" s="272"/>
      <c r="Q560" s="272"/>
      <c r="R560" s="272"/>
      <c r="S560" s="272"/>
      <c r="T560" s="272"/>
      <c r="U560" s="272"/>
      <c r="V560" s="273"/>
      <c r="W560" s="253"/>
      <c r="X560" s="253"/>
      <c r="Y560" s="253"/>
      <c r="Z560" s="253"/>
      <c r="AA560" s="253"/>
      <c r="AB560" s="218"/>
    </row>
    <row r="561">
      <c r="A561" s="118"/>
      <c r="B561" s="118"/>
      <c r="C561" s="143"/>
      <c r="D561" s="118"/>
      <c r="E561" s="118"/>
      <c r="F561" s="262"/>
      <c r="G561" s="264"/>
      <c r="H561" s="264"/>
      <c r="I561" s="267"/>
      <c r="J561" s="118"/>
      <c r="K561" s="136"/>
      <c r="L561" s="118"/>
      <c r="M561" s="136"/>
      <c r="N561" s="118"/>
      <c r="O561" s="136"/>
      <c r="P561" s="272"/>
      <c r="Q561" s="272"/>
      <c r="R561" s="272"/>
      <c r="S561" s="272"/>
      <c r="T561" s="272"/>
      <c r="U561" s="272"/>
      <c r="V561" s="273"/>
      <c r="W561" s="253"/>
      <c r="X561" s="253"/>
      <c r="Y561" s="253"/>
      <c r="Z561" s="253"/>
      <c r="AA561" s="253"/>
      <c r="AB561" s="218"/>
    </row>
    <row r="562">
      <c r="A562" s="118"/>
      <c r="B562" s="118"/>
      <c r="C562" s="143"/>
      <c r="D562" s="118"/>
      <c r="E562" s="118"/>
      <c r="F562" s="262"/>
      <c r="G562" s="264"/>
      <c r="H562" s="264"/>
      <c r="I562" s="267"/>
      <c r="J562" s="118"/>
      <c r="K562" s="136"/>
      <c r="L562" s="118"/>
      <c r="M562" s="136"/>
      <c r="N562" s="118"/>
      <c r="O562" s="136"/>
      <c r="P562" s="272"/>
      <c r="Q562" s="272"/>
      <c r="R562" s="272"/>
      <c r="S562" s="272"/>
      <c r="T562" s="272"/>
      <c r="U562" s="272"/>
      <c r="V562" s="273"/>
      <c r="W562" s="253"/>
      <c r="X562" s="253"/>
      <c r="Y562" s="253"/>
      <c r="Z562" s="253"/>
      <c r="AA562" s="253"/>
      <c r="AB562" s="218"/>
    </row>
    <row r="563">
      <c r="A563" s="118"/>
      <c r="B563" s="118"/>
      <c r="C563" s="143"/>
      <c r="D563" s="118"/>
      <c r="E563" s="118"/>
      <c r="F563" s="262"/>
      <c r="G563" s="264"/>
      <c r="H563" s="264"/>
      <c r="I563" s="267"/>
      <c r="J563" s="118"/>
      <c r="K563" s="136"/>
      <c r="L563" s="118"/>
      <c r="M563" s="136"/>
      <c r="N563" s="118"/>
      <c r="O563" s="136"/>
      <c r="P563" s="272"/>
      <c r="Q563" s="272"/>
      <c r="R563" s="272"/>
      <c r="S563" s="272"/>
      <c r="T563" s="272"/>
      <c r="U563" s="272"/>
      <c r="V563" s="273"/>
      <c r="W563" s="253"/>
      <c r="X563" s="253"/>
      <c r="Y563" s="253"/>
      <c r="Z563" s="253"/>
      <c r="AA563" s="253"/>
      <c r="AB563" s="218"/>
    </row>
    <row r="564">
      <c r="A564" s="118"/>
      <c r="B564" s="118"/>
      <c r="C564" s="143"/>
      <c r="D564" s="118"/>
      <c r="E564" s="118"/>
      <c r="F564" s="262"/>
      <c r="G564" s="264"/>
      <c r="H564" s="264"/>
      <c r="I564" s="267"/>
      <c r="J564" s="118"/>
      <c r="K564" s="136"/>
      <c r="L564" s="118"/>
      <c r="M564" s="136"/>
      <c r="N564" s="118"/>
      <c r="O564" s="136"/>
      <c r="P564" s="272"/>
      <c r="Q564" s="272"/>
      <c r="R564" s="272"/>
      <c r="S564" s="272"/>
      <c r="T564" s="272"/>
      <c r="U564" s="272"/>
      <c r="V564" s="273"/>
      <c r="W564" s="253"/>
      <c r="X564" s="253"/>
      <c r="Y564" s="253"/>
      <c r="Z564" s="253"/>
      <c r="AA564" s="253"/>
      <c r="AB564" s="218"/>
    </row>
    <row r="565">
      <c r="A565" s="118"/>
      <c r="B565" s="118"/>
      <c r="C565" s="143"/>
      <c r="D565" s="118"/>
      <c r="E565" s="118"/>
      <c r="F565" s="262"/>
      <c r="G565" s="264"/>
      <c r="H565" s="264"/>
      <c r="I565" s="267"/>
      <c r="J565" s="118"/>
      <c r="K565" s="136"/>
      <c r="L565" s="118"/>
      <c r="M565" s="136"/>
      <c r="N565" s="118"/>
      <c r="O565" s="136"/>
      <c r="P565" s="272"/>
      <c r="Q565" s="272"/>
      <c r="R565" s="272"/>
      <c r="S565" s="272"/>
      <c r="T565" s="272"/>
      <c r="U565" s="272"/>
      <c r="V565" s="273"/>
      <c r="W565" s="253"/>
      <c r="X565" s="253"/>
      <c r="Y565" s="253"/>
      <c r="Z565" s="253"/>
      <c r="AA565" s="253"/>
      <c r="AB565" s="218"/>
    </row>
    <row r="566">
      <c r="A566" s="118"/>
      <c r="B566" s="118"/>
      <c r="C566" s="143"/>
      <c r="D566" s="118"/>
      <c r="E566" s="118"/>
      <c r="F566" s="262"/>
      <c r="G566" s="264"/>
      <c r="H566" s="264"/>
      <c r="I566" s="267"/>
      <c r="J566" s="118"/>
      <c r="K566" s="136"/>
      <c r="L566" s="118"/>
      <c r="M566" s="136"/>
      <c r="N566" s="118"/>
      <c r="O566" s="136"/>
      <c r="P566" s="272"/>
      <c r="Q566" s="272"/>
      <c r="R566" s="272"/>
      <c r="S566" s="272"/>
      <c r="T566" s="272"/>
      <c r="U566" s="272"/>
      <c r="V566" s="273"/>
      <c r="W566" s="253"/>
      <c r="X566" s="253"/>
      <c r="Y566" s="253"/>
      <c r="Z566" s="253"/>
      <c r="AA566" s="253"/>
      <c r="AB566" s="218"/>
    </row>
    <row r="567">
      <c r="A567" s="118"/>
      <c r="B567" s="118"/>
      <c r="C567" s="143"/>
      <c r="D567" s="118"/>
      <c r="E567" s="118"/>
      <c r="F567" s="262"/>
      <c r="G567" s="264"/>
      <c r="H567" s="264"/>
      <c r="I567" s="267"/>
      <c r="J567" s="118"/>
      <c r="K567" s="136"/>
      <c r="L567" s="118"/>
      <c r="M567" s="136"/>
      <c r="N567" s="118"/>
      <c r="O567" s="136"/>
      <c r="P567" s="272"/>
      <c r="Q567" s="272"/>
      <c r="R567" s="272"/>
      <c r="S567" s="272"/>
      <c r="T567" s="272"/>
      <c r="U567" s="272"/>
      <c r="V567" s="273"/>
      <c r="W567" s="253"/>
      <c r="X567" s="253"/>
      <c r="Y567" s="253"/>
      <c r="Z567" s="253"/>
      <c r="AA567" s="253"/>
      <c r="AB567" s="218"/>
    </row>
    <row r="568">
      <c r="A568" s="118"/>
      <c r="B568" s="118"/>
      <c r="C568" s="143"/>
      <c r="D568" s="118"/>
      <c r="E568" s="118"/>
      <c r="F568" s="262"/>
      <c r="G568" s="264"/>
      <c r="H568" s="264"/>
      <c r="I568" s="267"/>
      <c r="J568" s="118"/>
      <c r="K568" s="136"/>
      <c r="L568" s="118"/>
      <c r="M568" s="136"/>
      <c r="N568" s="118"/>
      <c r="O568" s="136"/>
      <c r="P568" s="272"/>
      <c r="Q568" s="272"/>
      <c r="R568" s="272"/>
      <c r="S568" s="272"/>
      <c r="T568" s="272"/>
      <c r="U568" s="272"/>
      <c r="V568" s="273"/>
      <c r="W568" s="253"/>
      <c r="X568" s="253"/>
      <c r="Y568" s="253"/>
      <c r="Z568" s="253"/>
      <c r="AA568" s="253"/>
      <c r="AB568" s="218"/>
    </row>
    <row r="569">
      <c r="A569" s="118"/>
      <c r="B569" s="118"/>
      <c r="C569" s="143"/>
      <c r="D569" s="118"/>
      <c r="E569" s="118"/>
      <c r="F569" s="262"/>
      <c r="G569" s="264"/>
      <c r="H569" s="264"/>
      <c r="I569" s="267"/>
      <c r="J569" s="118"/>
      <c r="K569" s="136"/>
      <c r="L569" s="118"/>
      <c r="M569" s="136"/>
      <c r="N569" s="118"/>
      <c r="O569" s="136"/>
      <c r="P569" s="272"/>
      <c r="Q569" s="272"/>
      <c r="R569" s="272"/>
      <c r="S569" s="272"/>
      <c r="T569" s="272"/>
      <c r="U569" s="272"/>
      <c r="V569" s="273"/>
      <c r="W569" s="253"/>
      <c r="X569" s="253"/>
      <c r="Y569" s="253"/>
      <c r="Z569" s="253"/>
      <c r="AA569" s="253"/>
      <c r="AB569" s="218"/>
    </row>
    <row r="570">
      <c r="A570" s="118"/>
      <c r="B570" s="118"/>
      <c r="C570" s="143"/>
      <c r="D570" s="118"/>
      <c r="E570" s="118"/>
      <c r="F570" s="262"/>
      <c r="G570" s="264"/>
      <c r="H570" s="264"/>
      <c r="I570" s="267"/>
      <c r="J570" s="118"/>
      <c r="K570" s="136"/>
      <c r="L570" s="118"/>
      <c r="M570" s="136"/>
      <c r="N570" s="118"/>
      <c r="O570" s="136"/>
      <c r="P570" s="272"/>
      <c r="Q570" s="272"/>
      <c r="R570" s="272"/>
      <c r="S570" s="272"/>
      <c r="T570" s="272"/>
      <c r="U570" s="272"/>
      <c r="V570" s="273"/>
      <c r="W570" s="253"/>
      <c r="X570" s="253"/>
      <c r="Y570" s="253"/>
      <c r="Z570" s="253"/>
      <c r="AA570" s="253"/>
      <c r="AB570" s="218"/>
    </row>
    <row r="571">
      <c r="A571" s="118"/>
      <c r="B571" s="118"/>
      <c r="C571" s="143"/>
      <c r="D571" s="118"/>
      <c r="E571" s="118"/>
      <c r="F571" s="262"/>
      <c r="G571" s="264"/>
      <c r="H571" s="264"/>
      <c r="I571" s="267"/>
      <c r="J571" s="118"/>
      <c r="K571" s="136"/>
      <c r="L571" s="118"/>
      <c r="M571" s="136"/>
      <c r="N571" s="118"/>
      <c r="O571" s="136"/>
      <c r="P571" s="272"/>
      <c r="Q571" s="272"/>
      <c r="R571" s="272"/>
      <c r="S571" s="272"/>
      <c r="T571" s="272"/>
      <c r="U571" s="272"/>
      <c r="V571" s="273"/>
      <c r="W571" s="253"/>
      <c r="X571" s="253"/>
      <c r="Y571" s="253"/>
      <c r="Z571" s="253"/>
      <c r="AA571" s="253"/>
      <c r="AB571" s="218"/>
    </row>
    <row r="572">
      <c r="A572" s="118"/>
      <c r="B572" s="118"/>
      <c r="C572" s="143"/>
      <c r="D572" s="118"/>
      <c r="E572" s="118"/>
      <c r="F572" s="262"/>
      <c r="G572" s="264"/>
      <c r="H572" s="264"/>
      <c r="I572" s="267"/>
      <c r="J572" s="118"/>
      <c r="K572" s="136"/>
      <c r="L572" s="118"/>
      <c r="M572" s="136"/>
      <c r="N572" s="118"/>
      <c r="O572" s="136"/>
      <c r="P572" s="272"/>
      <c r="Q572" s="272"/>
      <c r="R572" s="272"/>
      <c r="S572" s="272"/>
      <c r="T572" s="272"/>
      <c r="U572" s="272"/>
      <c r="V572" s="273"/>
      <c r="W572" s="253"/>
      <c r="X572" s="253"/>
      <c r="Y572" s="253"/>
      <c r="Z572" s="253"/>
      <c r="AA572" s="253"/>
      <c r="AB572" s="218"/>
    </row>
    <row r="573">
      <c r="A573" s="118"/>
      <c r="B573" s="118"/>
      <c r="C573" s="143"/>
      <c r="D573" s="118"/>
      <c r="E573" s="118"/>
      <c r="F573" s="262"/>
      <c r="G573" s="264"/>
      <c r="H573" s="264"/>
      <c r="I573" s="267"/>
      <c r="J573" s="118"/>
      <c r="K573" s="136"/>
      <c r="L573" s="118"/>
      <c r="M573" s="136"/>
      <c r="N573" s="118"/>
      <c r="O573" s="136"/>
      <c r="P573" s="272"/>
      <c r="Q573" s="272"/>
      <c r="R573" s="272"/>
      <c r="S573" s="272"/>
      <c r="T573" s="272"/>
      <c r="U573" s="272"/>
      <c r="V573" s="273"/>
      <c r="W573" s="253"/>
      <c r="X573" s="253"/>
      <c r="Y573" s="253"/>
      <c r="Z573" s="253"/>
      <c r="AA573" s="253"/>
      <c r="AB573" s="218"/>
    </row>
    <row r="574">
      <c r="A574" s="118"/>
      <c r="B574" s="118"/>
      <c r="C574" s="143"/>
      <c r="D574" s="118"/>
      <c r="E574" s="118"/>
      <c r="F574" s="262"/>
      <c r="G574" s="264"/>
      <c r="H574" s="264"/>
      <c r="I574" s="267"/>
      <c r="J574" s="118"/>
      <c r="K574" s="136"/>
      <c r="L574" s="118"/>
      <c r="M574" s="136"/>
      <c r="N574" s="118"/>
      <c r="O574" s="136"/>
      <c r="P574" s="272"/>
      <c r="Q574" s="272"/>
      <c r="R574" s="272"/>
      <c r="S574" s="272"/>
      <c r="T574" s="272"/>
      <c r="U574" s="272"/>
      <c r="V574" s="273"/>
      <c r="W574" s="253"/>
      <c r="X574" s="253"/>
      <c r="Y574" s="253"/>
      <c r="Z574" s="253"/>
      <c r="AA574" s="253"/>
      <c r="AB574" s="218"/>
    </row>
    <row r="575">
      <c r="A575" s="118"/>
      <c r="B575" s="118"/>
      <c r="C575" s="143"/>
      <c r="D575" s="118"/>
      <c r="E575" s="118"/>
      <c r="F575" s="262"/>
      <c r="G575" s="264"/>
      <c r="H575" s="264"/>
      <c r="I575" s="267"/>
      <c r="J575" s="118"/>
      <c r="K575" s="136"/>
      <c r="L575" s="118"/>
      <c r="M575" s="136"/>
      <c r="N575" s="118"/>
      <c r="O575" s="136"/>
      <c r="P575" s="272"/>
      <c r="Q575" s="272"/>
      <c r="R575" s="272"/>
      <c r="S575" s="272"/>
      <c r="T575" s="272"/>
      <c r="U575" s="272"/>
      <c r="V575" s="273"/>
      <c r="W575" s="253"/>
      <c r="X575" s="253"/>
      <c r="Y575" s="253"/>
      <c r="Z575" s="253"/>
      <c r="AA575" s="253"/>
      <c r="AB575" s="218"/>
    </row>
    <row r="576">
      <c r="A576" s="118"/>
      <c r="B576" s="118"/>
      <c r="C576" s="143"/>
      <c r="D576" s="118"/>
      <c r="E576" s="118"/>
      <c r="F576" s="262"/>
      <c r="G576" s="264"/>
      <c r="H576" s="264"/>
      <c r="I576" s="267"/>
      <c r="J576" s="118"/>
      <c r="K576" s="136"/>
      <c r="L576" s="118"/>
      <c r="M576" s="136"/>
      <c r="N576" s="118"/>
      <c r="O576" s="136"/>
      <c r="P576" s="272"/>
      <c r="Q576" s="272"/>
      <c r="R576" s="272"/>
      <c r="S576" s="272"/>
      <c r="T576" s="272"/>
      <c r="U576" s="272"/>
      <c r="V576" s="273"/>
      <c r="W576" s="253"/>
      <c r="X576" s="253"/>
      <c r="Y576" s="253"/>
      <c r="Z576" s="253"/>
      <c r="AA576" s="253"/>
      <c r="AB576" s="218"/>
    </row>
    <row r="577">
      <c r="A577" s="118"/>
      <c r="B577" s="118"/>
      <c r="C577" s="143"/>
      <c r="D577" s="118"/>
      <c r="E577" s="118"/>
      <c r="F577" s="262"/>
      <c r="G577" s="264"/>
      <c r="H577" s="264"/>
      <c r="I577" s="267"/>
      <c r="J577" s="118"/>
      <c r="K577" s="136"/>
      <c r="L577" s="118"/>
      <c r="M577" s="136"/>
      <c r="N577" s="118"/>
      <c r="O577" s="136"/>
      <c r="P577" s="272"/>
      <c r="Q577" s="272"/>
      <c r="R577" s="272"/>
      <c r="S577" s="272"/>
      <c r="T577" s="272"/>
      <c r="U577" s="272"/>
      <c r="V577" s="273"/>
      <c r="W577" s="253"/>
      <c r="X577" s="253"/>
      <c r="Y577" s="253"/>
      <c r="Z577" s="253"/>
      <c r="AA577" s="253"/>
      <c r="AB577" s="218"/>
    </row>
    <row r="578">
      <c r="A578" s="118"/>
      <c r="B578" s="118"/>
      <c r="C578" s="143"/>
      <c r="D578" s="118"/>
      <c r="E578" s="118"/>
      <c r="F578" s="262"/>
      <c r="G578" s="264"/>
      <c r="H578" s="264"/>
      <c r="I578" s="267"/>
      <c r="J578" s="118"/>
      <c r="K578" s="136"/>
      <c r="L578" s="118"/>
      <c r="M578" s="136"/>
      <c r="N578" s="118"/>
      <c r="O578" s="136"/>
      <c r="P578" s="272"/>
      <c r="Q578" s="272"/>
      <c r="R578" s="272"/>
      <c r="S578" s="272"/>
      <c r="T578" s="272"/>
      <c r="U578" s="272"/>
      <c r="V578" s="273"/>
      <c r="W578" s="253"/>
      <c r="X578" s="253"/>
      <c r="Y578" s="253"/>
      <c r="Z578" s="253"/>
      <c r="AA578" s="253"/>
      <c r="AB578" s="218"/>
    </row>
    <row r="579">
      <c r="A579" s="118"/>
      <c r="B579" s="118"/>
      <c r="C579" s="143"/>
      <c r="D579" s="118"/>
      <c r="E579" s="118"/>
      <c r="F579" s="262"/>
      <c r="G579" s="264"/>
      <c r="H579" s="264"/>
      <c r="I579" s="267"/>
      <c r="J579" s="118"/>
      <c r="K579" s="136"/>
      <c r="L579" s="118"/>
      <c r="M579" s="136"/>
      <c r="N579" s="118"/>
      <c r="O579" s="136"/>
      <c r="P579" s="272"/>
      <c r="Q579" s="272"/>
      <c r="R579" s="272"/>
      <c r="S579" s="272"/>
      <c r="T579" s="272"/>
      <c r="U579" s="272"/>
      <c r="V579" s="273"/>
      <c r="W579" s="253"/>
      <c r="X579" s="253"/>
      <c r="Y579" s="253"/>
      <c r="Z579" s="253"/>
      <c r="AA579" s="253"/>
      <c r="AB579" s="218"/>
    </row>
    <row r="580">
      <c r="A580" s="118"/>
      <c r="B580" s="118"/>
      <c r="C580" s="143"/>
      <c r="D580" s="118"/>
      <c r="E580" s="118"/>
      <c r="F580" s="262"/>
      <c r="G580" s="264"/>
      <c r="H580" s="264"/>
      <c r="I580" s="267"/>
      <c r="J580" s="118"/>
      <c r="K580" s="136"/>
      <c r="L580" s="118"/>
      <c r="M580" s="136"/>
      <c r="N580" s="118"/>
      <c r="O580" s="136"/>
      <c r="P580" s="272"/>
      <c r="Q580" s="272"/>
      <c r="R580" s="272"/>
      <c r="S580" s="272"/>
      <c r="T580" s="272"/>
      <c r="U580" s="272"/>
      <c r="V580" s="273"/>
      <c r="W580" s="253"/>
      <c r="X580" s="253"/>
      <c r="Y580" s="253"/>
      <c r="Z580" s="253"/>
      <c r="AA580" s="253"/>
      <c r="AB580" s="218"/>
    </row>
    <row r="581">
      <c r="A581" s="118"/>
      <c r="B581" s="118"/>
      <c r="C581" s="143"/>
      <c r="D581" s="118"/>
      <c r="E581" s="118"/>
      <c r="F581" s="262"/>
      <c r="G581" s="264"/>
      <c r="H581" s="264"/>
      <c r="I581" s="267"/>
      <c r="J581" s="118"/>
      <c r="K581" s="136"/>
      <c r="L581" s="118"/>
      <c r="M581" s="136"/>
      <c r="N581" s="118"/>
      <c r="O581" s="136"/>
      <c r="P581" s="272"/>
      <c r="Q581" s="272"/>
      <c r="R581" s="272"/>
      <c r="S581" s="272"/>
      <c r="T581" s="272"/>
      <c r="U581" s="272"/>
      <c r="V581" s="273"/>
      <c r="W581" s="253"/>
      <c r="X581" s="253"/>
      <c r="Y581" s="253"/>
      <c r="Z581" s="253"/>
      <c r="AA581" s="253"/>
      <c r="AB581" s="218"/>
    </row>
    <row r="582">
      <c r="A582" s="118"/>
      <c r="B582" s="118"/>
      <c r="C582" s="143"/>
      <c r="D582" s="118"/>
      <c r="E582" s="118"/>
      <c r="F582" s="262"/>
      <c r="G582" s="264"/>
      <c r="H582" s="264"/>
      <c r="I582" s="267"/>
      <c r="J582" s="118"/>
      <c r="K582" s="136"/>
      <c r="L582" s="118"/>
      <c r="M582" s="136"/>
      <c r="N582" s="118"/>
      <c r="O582" s="136"/>
      <c r="P582" s="272"/>
      <c r="Q582" s="272"/>
      <c r="R582" s="272"/>
      <c r="S582" s="272"/>
      <c r="T582" s="272"/>
      <c r="U582" s="272"/>
      <c r="V582" s="273"/>
      <c r="W582" s="253"/>
      <c r="X582" s="253"/>
      <c r="Y582" s="253"/>
      <c r="Z582" s="253"/>
      <c r="AA582" s="253"/>
      <c r="AB582" s="218"/>
    </row>
    <row r="583">
      <c r="A583" s="118"/>
      <c r="B583" s="118"/>
      <c r="C583" s="143"/>
      <c r="D583" s="118"/>
      <c r="E583" s="118"/>
      <c r="F583" s="262"/>
      <c r="G583" s="264"/>
      <c r="H583" s="264"/>
      <c r="I583" s="267"/>
      <c r="J583" s="118"/>
      <c r="K583" s="136"/>
      <c r="L583" s="118"/>
      <c r="M583" s="136"/>
      <c r="N583" s="118"/>
      <c r="O583" s="136"/>
      <c r="P583" s="272"/>
      <c r="Q583" s="272"/>
      <c r="R583" s="272"/>
      <c r="S583" s="272"/>
      <c r="T583" s="272"/>
      <c r="U583" s="272"/>
      <c r="V583" s="273"/>
      <c r="W583" s="253"/>
      <c r="X583" s="253"/>
      <c r="Y583" s="253"/>
      <c r="Z583" s="253"/>
      <c r="AA583" s="253"/>
      <c r="AB583" s="218"/>
    </row>
    <row r="584">
      <c r="A584" s="118"/>
      <c r="B584" s="118"/>
      <c r="C584" s="143"/>
      <c r="D584" s="118"/>
      <c r="E584" s="118"/>
      <c r="F584" s="262"/>
      <c r="G584" s="264"/>
      <c r="H584" s="264"/>
      <c r="I584" s="267"/>
      <c r="J584" s="118"/>
      <c r="K584" s="136"/>
      <c r="L584" s="118"/>
      <c r="M584" s="136"/>
      <c r="N584" s="118"/>
      <c r="O584" s="136"/>
      <c r="P584" s="272"/>
      <c r="Q584" s="272"/>
      <c r="R584" s="272"/>
      <c r="S584" s="272"/>
      <c r="T584" s="272"/>
      <c r="U584" s="272"/>
      <c r="V584" s="273"/>
      <c r="W584" s="253"/>
      <c r="X584" s="253"/>
      <c r="Y584" s="253"/>
      <c r="Z584" s="253"/>
      <c r="AA584" s="253"/>
      <c r="AB584" s="218"/>
    </row>
    <row r="585">
      <c r="A585" s="118"/>
      <c r="B585" s="118"/>
      <c r="C585" s="143"/>
      <c r="D585" s="118"/>
      <c r="E585" s="118"/>
      <c r="F585" s="262"/>
      <c r="G585" s="264"/>
      <c r="H585" s="264"/>
      <c r="I585" s="267"/>
      <c r="J585" s="118"/>
      <c r="K585" s="136"/>
      <c r="L585" s="118"/>
      <c r="M585" s="136"/>
      <c r="N585" s="118"/>
      <c r="O585" s="136"/>
      <c r="P585" s="272"/>
      <c r="Q585" s="272"/>
      <c r="R585" s="272"/>
      <c r="S585" s="272"/>
      <c r="T585" s="272"/>
      <c r="U585" s="272"/>
      <c r="V585" s="273"/>
      <c r="W585" s="253"/>
      <c r="X585" s="253"/>
      <c r="Y585" s="253"/>
      <c r="Z585" s="253"/>
      <c r="AA585" s="253"/>
      <c r="AB585" s="218"/>
    </row>
    <row r="586">
      <c r="A586" s="118"/>
      <c r="B586" s="118"/>
      <c r="C586" s="143"/>
      <c r="D586" s="118"/>
      <c r="E586" s="118"/>
      <c r="F586" s="262"/>
      <c r="G586" s="264"/>
      <c r="H586" s="264"/>
      <c r="I586" s="267"/>
      <c r="J586" s="118"/>
      <c r="K586" s="136"/>
      <c r="L586" s="118"/>
      <c r="M586" s="136"/>
      <c r="N586" s="118"/>
      <c r="O586" s="136"/>
      <c r="P586" s="272"/>
      <c r="Q586" s="272"/>
      <c r="R586" s="272"/>
      <c r="S586" s="272"/>
      <c r="T586" s="272"/>
      <c r="U586" s="272"/>
      <c r="V586" s="273"/>
      <c r="W586" s="253"/>
      <c r="X586" s="253"/>
      <c r="Y586" s="253"/>
      <c r="Z586" s="253"/>
      <c r="AA586" s="253"/>
      <c r="AB586" s="218"/>
    </row>
    <row r="587">
      <c r="A587" s="118"/>
      <c r="B587" s="118"/>
      <c r="C587" s="143"/>
      <c r="D587" s="118"/>
      <c r="E587" s="118"/>
      <c r="F587" s="262"/>
      <c r="G587" s="264"/>
      <c r="H587" s="264"/>
      <c r="I587" s="267"/>
      <c r="J587" s="118"/>
      <c r="K587" s="136"/>
      <c r="L587" s="118"/>
      <c r="M587" s="136"/>
      <c r="N587" s="118"/>
      <c r="O587" s="136"/>
      <c r="P587" s="272"/>
      <c r="Q587" s="272"/>
      <c r="R587" s="272"/>
      <c r="S587" s="272"/>
      <c r="T587" s="272"/>
      <c r="U587" s="272"/>
      <c r="V587" s="273"/>
      <c r="W587" s="253"/>
      <c r="X587" s="253"/>
      <c r="Y587" s="253"/>
      <c r="Z587" s="253"/>
      <c r="AA587" s="253"/>
      <c r="AB587" s="218"/>
    </row>
    <row r="588">
      <c r="A588" s="118"/>
      <c r="B588" s="118"/>
      <c r="C588" s="143"/>
      <c r="D588" s="118"/>
      <c r="E588" s="118"/>
      <c r="F588" s="262"/>
      <c r="G588" s="264"/>
      <c r="H588" s="264"/>
      <c r="I588" s="267"/>
      <c r="J588" s="118"/>
      <c r="K588" s="136"/>
      <c r="L588" s="118"/>
      <c r="M588" s="136"/>
      <c r="N588" s="118"/>
      <c r="O588" s="136"/>
      <c r="P588" s="272"/>
      <c r="Q588" s="272"/>
      <c r="R588" s="272"/>
      <c r="S588" s="272"/>
      <c r="T588" s="272"/>
      <c r="U588" s="272"/>
      <c r="V588" s="273"/>
      <c r="W588" s="253"/>
      <c r="X588" s="253"/>
      <c r="Y588" s="253"/>
      <c r="Z588" s="253"/>
      <c r="AA588" s="253"/>
      <c r="AB588" s="218"/>
    </row>
    <row r="589">
      <c r="A589" s="118"/>
      <c r="B589" s="118"/>
      <c r="C589" s="143"/>
      <c r="D589" s="118"/>
      <c r="E589" s="118"/>
      <c r="F589" s="262"/>
      <c r="G589" s="264"/>
      <c r="H589" s="264"/>
      <c r="I589" s="267"/>
      <c r="J589" s="118"/>
      <c r="K589" s="136"/>
      <c r="L589" s="118"/>
      <c r="M589" s="136"/>
      <c r="N589" s="118"/>
      <c r="O589" s="136"/>
      <c r="P589" s="272"/>
      <c r="Q589" s="272"/>
      <c r="R589" s="272"/>
      <c r="S589" s="272"/>
      <c r="T589" s="272"/>
      <c r="U589" s="272"/>
      <c r="V589" s="273"/>
      <c r="W589" s="253"/>
      <c r="X589" s="253"/>
      <c r="Y589" s="253"/>
      <c r="Z589" s="253"/>
      <c r="AA589" s="253"/>
      <c r="AB589" s="218"/>
    </row>
    <row r="590">
      <c r="A590" s="118"/>
      <c r="B590" s="118"/>
      <c r="C590" s="143"/>
      <c r="D590" s="118"/>
      <c r="E590" s="118"/>
      <c r="F590" s="262"/>
      <c r="G590" s="264"/>
      <c r="H590" s="264"/>
      <c r="I590" s="267"/>
      <c r="J590" s="118"/>
      <c r="K590" s="136"/>
      <c r="L590" s="118"/>
      <c r="M590" s="136"/>
      <c r="N590" s="118"/>
      <c r="O590" s="136"/>
      <c r="P590" s="272"/>
      <c r="Q590" s="272"/>
      <c r="R590" s="272"/>
      <c r="S590" s="272"/>
      <c r="T590" s="272"/>
      <c r="U590" s="272"/>
      <c r="V590" s="273"/>
      <c r="W590" s="253"/>
      <c r="X590" s="253"/>
      <c r="Y590" s="253"/>
      <c r="Z590" s="253"/>
      <c r="AA590" s="253"/>
      <c r="AB590" s="218"/>
    </row>
    <row r="591">
      <c r="A591" s="118"/>
      <c r="B591" s="118"/>
      <c r="C591" s="143"/>
      <c r="D591" s="118"/>
      <c r="E591" s="118"/>
      <c r="F591" s="262"/>
      <c r="G591" s="264"/>
      <c r="H591" s="264"/>
      <c r="I591" s="267"/>
      <c r="J591" s="118"/>
      <c r="K591" s="136"/>
      <c r="L591" s="118"/>
      <c r="M591" s="136"/>
      <c r="N591" s="118"/>
      <c r="O591" s="136"/>
      <c r="P591" s="272"/>
      <c r="Q591" s="272"/>
      <c r="R591" s="272"/>
      <c r="S591" s="272"/>
      <c r="T591" s="272"/>
      <c r="U591" s="272"/>
      <c r="V591" s="273"/>
      <c r="W591" s="253"/>
      <c r="X591" s="253"/>
      <c r="Y591" s="253"/>
      <c r="Z591" s="253"/>
      <c r="AA591" s="253"/>
      <c r="AB591" s="218"/>
    </row>
    <row r="592">
      <c r="A592" s="118"/>
      <c r="B592" s="118"/>
      <c r="C592" s="143"/>
      <c r="D592" s="118"/>
      <c r="E592" s="118"/>
      <c r="F592" s="262"/>
      <c r="G592" s="264"/>
      <c r="H592" s="264"/>
      <c r="I592" s="267"/>
      <c r="J592" s="118"/>
      <c r="K592" s="136"/>
      <c r="L592" s="118"/>
      <c r="M592" s="136"/>
      <c r="N592" s="118"/>
      <c r="O592" s="136"/>
      <c r="P592" s="272"/>
      <c r="Q592" s="272"/>
      <c r="R592" s="272"/>
      <c r="S592" s="272"/>
      <c r="T592" s="272"/>
      <c r="U592" s="272"/>
      <c r="V592" s="273"/>
      <c r="W592" s="253"/>
      <c r="X592" s="253"/>
      <c r="Y592" s="253"/>
      <c r="Z592" s="253"/>
      <c r="AA592" s="253"/>
      <c r="AB592" s="218"/>
    </row>
    <row r="593">
      <c r="A593" s="118"/>
      <c r="B593" s="118"/>
      <c r="C593" s="143"/>
      <c r="D593" s="118"/>
      <c r="E593" s="118"/>
      <c r="F593" s="262"/>
      <c r="G593" s="264"/>
      <c r="H593" s="264"/>
      <c r="I593" s="267"/>
      <c r="J593" s="118"/>
      <c r="K593" s="136"/>
      <c r="L593" s="118"/>
      <c r="M593" s="136"/>
      <c r="N593" s="118"/>
      <c r="O593" s="136"/>
      <c r="P593" s="272"/>
      <c r="Q593" s="272"/>
      <c r="R593" s="272"/>
      <c r="S593" s="272"/>
      <c r="T593" s="272"/>
      <c r="U593" s="272"/>
      <c r="V593" s="273"/>
      <c r="W593" s="253"/>
      <c r="X593" s="253"/>
      <c r="Y593" s="253"/>
      <c r="Z593" s="253"/>
      <c r="AA593" s="253"/>
      <c r="AB593" s="218"/>
    </row>
    <row r="594">
      <c r="A594" s="118"/>
      <c r="B594" s="118"/>
      <c r="C594" s="143"/>
      <c r="D594" s="118"/>
      <c r="E594" s="118"/>
      <c r="F594" s="262"/>
      <c r="G594" s="264"/>
      <c r="H594" s="264"/>
      <c r="I594" s="267"/>
      <c r="J594" s="118"/>
      <c r="K594" s="136"/>
      <c r="L594" s="118"/>
      <c r="M594" s="136"/>
      <c r="N594" s="118"/>
      <c r="O594" s="136"/>
      <c r="P594" s="272"/>
      <c r="Q594" s="272"/>
      <c r="R594" s="272"/>
      <c r="S594" s="272"/>
      <c r="T594" s="272"/>
      <c r="U594" s="272"/>
      <c r="V594" s="273"/>
      <c r="W594" s="253"/>
      <c r="X594" s="253"/>
      <c r="Y594" s="253"/>
      <c r="Z594" s="253"/>
      <c r="AA594" s="253"/>
      <c r="AB594" s="218"/>
    </row>
    <row r="595">
      <c r="A595" s="118"/>
      <c r="B595" s="118"/>
      <c r="C595" s="143"/>
      <c r="D595" s="118"/>
      <c r="E595" s="118"/>
      <c r="F595" s="262"/>
      <c r="G595" s="264"/>
      <c r="H595" s="264"/>
      <c r="I595" s="267"/>
      <c r="J595" s="118"/>
      <c r="K595" s="136"/>
      <c r="L595" s="118"/>
      <c r="M595" s="136"/>
      <c r="N595" s="118"/>
      <c r="O595" s="136"/>
      <c r="P595" s="272"/>
      <c r="Q595" s="272"/>
      <c r="R595" s="272"/>
      <c r="S595" s="272"/>
      <c r="T595" s="272"/>
      <c r="U595" s="272"/>
      <c r="V595" s="273"/>
      <c r="W595" s="253"/>
      <c r="X595" s="253"/>
      <c r="Y595" s="253"/>
      <c r="Z595" s="253"/>
      <c r="AA595" s="253"/>
      <c r="AB595" s="218"/>
    </row>
    <row r="596">
      <c r="A596" s="118"/>
      <c r="B596" s="118"/>
      <c r="C596" s="143"/>
      <c r="D596" s="118"/>
      <c r="E596" s="118"/>
      <c r="F596" s="262"/>
      <c r="G596" s="264"/>
      <c r="H596" s="264"/>
      <c r="I596" s="267"/>
      <c r="J596" s="118"/>
      <c r="K596" s="136"/>
      <c r="L596" s="118"/>
      <c r="M596" s="136"/>
      <c r="N596" s="118"/>
      <c r="O596" s="136"/>
      <c r="P596" s="272"/>
      <c r="Q596" s="272"/>
      <c r="R596" s="272"/>
      <c r="S596" s="272"/>
      <c r="T596" s="272"/>
      <c r="U596" s="272"/>
      <c r="V596" s="273"/>
      <c r="W596" s="253"/>
      <c r="X596" s="253"/>
      <c r="Y596" s="253"/>
      <c r="Z596" s="253"/>
      <c r="AA596" s="253"/>
      <c r="AB596" s="218"/>
    </row>
    <row r="597">
      <c r="A597" s="118"/>
      <c r="B597" s="118"/>
      <c r="C597" s="143"/>
      <c r="D597" s="118"/>
      <c r="E597" s="118"/>
      <c r="F597" s="262"/>
      <c r="G597" s="264"/>
      <c r="H597" s="264"/>
      <c r="I597" s="267"/>
      <c r="J597" s="118"/>
      <c r="K597" s="136"/>
      <c r="L597" s="118"/>
      <c r="M597" s="136"/>
      <c r="N597" s="118"/>
      <c r="O597" s="136"/>
      <c r="P597" s="272"/>
      <c r="Q597" s="272"/>
      <c r="R597" s="272"/>
      <c r="S597" s="272"/>
      <c r="T597" s="272"/>
      <c r="U597" s="272"/>
      <c r="V597" s="273"/>
      <c r="W597" s="253"/>
      <c r="X597" s="253"/>
      <c r="Y597" s="253"/>
      <c r="Z597" s="253"/>
      <c r="AA597" s="253"/>
      <c r="AB597" s="218"/>
    </row>
    <row r="598">
      <c r="A598" s="118"/>
      <c r="B598" s="118"/>
      <c r="C598" s="143"/>
      <c r="D598" s="118"/>
      <c r="E598" s="118"/>
      <c r="F598" s="262"/>
      <c r="G598" s="264"/>
      <c r="H598" s="264"/>
      <c r="I598" s="267"/>
      <c r="J598" s="118"/>
      <c r="K598" s="136"/>
      <c r="L598" s="118"/>
      <c r="M598" s="136"/>
      <c r="N598" s="118"/>
      <c r="O598" s="136"/>
      <c r="P598" s="272"/>
      <c r="Q598" s="272"/>
      <c r="R598" s="272"/>
      <c r="S598" s="272"/>
      <c r="T598" s="272"/>
      <c r="U598" s="272"/>
      <c r="V598" s="273"/>
      <c r="W598" s="253"/>
      <c r="X598" s="253"/>
      <c r="Y598" s="253"/>
      <c r="Z598" s="253"/>
      <c r="AA598" s="253"/>
      <c r="AB598" s="218"/>
    </row>
    <row r="599">
      <c r="A599" s="118"/>
      <c r="B599" s="118"/>
      <c r="C599" s="143"/>
      <c r="D599" s="118"/>
      <c r="E599" s="118"/>
      <c r="F599" s="262"/>
      <c r="G599" s="264"/>
      <c r="H599" s="264"/>
      <c r="I599" s="267"/>
      <c r="J599" s="118"/>
      <c r="K599" s="136"/>
      <c r="L599" s="118"/>
      <c r="M599" s="136"/>
      <c r="N599" s="118"/>
      <c r="O599" s="136"/>
      <c r="P599" s="272"/>
      <c r="Q599" s="272"/>
      <c r="R599" s="272"/>
      <c r="S599" s="272"/>
      <c r="T599" s="272"/>
      <c r="U599" s="272"/>
      <c r="V599" s="273"/>
      <c r="W599" s="253"/>
      <c r="X599" s="253"/>
      <c r="Y599" s="253"/>
      <c r="Z599" s="253"/>
      <c r="AA599" s="253"/>
      <c r="AB599" s="218"/>
    </row>
    <row r="600">
      <c r="A600" s="118"/>
      <c r="B600" s="118"/>
      <c r="C600" s="143"/>
      <c r="D600" s="118"/>
      <c r="E600" s="118"/>
      <c r="F600" s="262"/>
      <c r="G600" s="264"/>
      <c r="H600" s="264"/>
      <c r="I600" s="267"/>
      <c r="J600" s="118"/>
      <c r="K600" s="136"/>
      <c r="L600" s="118"/>
      <c r="M600" s="136"/>
      <c r="N600" s="118"/>
      <c r="O600" s="136"/>
      <c r="P600" s="272"/>
      <c r="Q600" s="272"/>
      <c r="R600" s="272"/>
      <c r="S600" s="272"/>
      <c r="T600" s="272"/>
      <c r="U600" s="272"/>
      <c r="V600" s="273"/>
      <c r="W600" s="253"/>
      <c r="X600" s="253"/>
      <c r="Y600" s="253"/>
      <c r="Z600" s="253"/>
      <c r="AA600" s="253"/>
      <c r="AB600" s="218"/>
    </row>
    <row r="601">
      <c r="A601" s="118"/>
      <c r="B601" s="118"/>
      <c r="C601" s="143"/>
      <c r="D601" s="118"/>
      <c r="E601" s="118"/>
      <c r="F601" s="262"/>
      <c r="G601" s="264"/>
      <c r="H601" s="264"/>
      <c r="I601" s="267"/>
      <c r="J601" s="118"/>
      <c r="K601" s="136"/>
      <c r="L601" s="118"/>
      <c r="M601" s="136"/>
      <c r="N601" s="118"/>
      <c r="O601" s="136"/>
      <c r="P601" s="272"/>
      <c r="Q601" s="272"/>
      <c r="R601" s="272"/>
      <c r="S601" s="272"/>
      <c r="T601" s="272"/>
      <c r="U601" s="272"/>
      <c r="V601" s="273"/>
      <c r="W601" s="253"/>
      <c r="X601" s="253"/>
      <c r="Y601" s="253"/>
      <c r="Z601" s="253"/>
      <c r="AA601" s="253"/>
      <c r="AB601" s="218"/>
    </row>
    <row r="602">
      <c r="A602" s="118"/>
      <c r="B602" s="118"/>
      <c r="C602" s="143"/>
      <c r="D602" s="118"/>
      <c r="E602" s="118"/>
      <c r="F602" s="262"/>
      <c r="G602" s="264"/>
      <c r="H602" s="264"/>
      <c r="I602" s="267"/>
      <c r="J602" s="118"/>
      <c r="K602" s="136"/>
      <c r="L602" s="118"/>
      <c r="M602" s="136"/>
      <c r="N602" s="118"/>
      <c r="O602" s="136"/>
      <c r="P602" s="272"/>
      <c r="Q602" s="272"/>
      <c r="R602" s="272"/>
      <c r="S602" s="272"/>
      <c r="T602" s="272"/>
      <c r="U602" s="272"/>
      <c r="V602" s="273"/>
      <c r="W602" s="253"/>
      <c r="X602" s="253"/>
      <c r="Y602" s="253"/>
      <c r="Z602" s="253"/>
      <c r="AA602" s="253"/>
      <c r="AB602" s="218"/>
    </row>
    <row r="603">
      <c r="A603" s="118"/>
      <c r="B603" s="118"/>
      <c r="C603" s="143"/>
      <c r="D603" s="118"/>
      <c r="E603" s="118"/>
      <c r="F603" s="262"/>
      <c r="G603" s="264"/>
      <c r="H603" s="264"/>
      <c r="I603" s="267"/>
      <c r="J603" s="118"/>
      <c r="K603" s="136"/>
      <c r="L603" s="118"/>
      <c r="M603" s="136"/>
      <c r="N603" s="118"/>
      <c r="O603" s="136"/>
      <c r="P603" s="272"/>
      <c r="Q603" s="272"/>
      <c r="R603" s="272"/>
      <c r="S603" s="272"/>
      <c r="T603" s="272"/>
      <c r="U603" s="272"/>
      <c r="V603" s="273"/>
      <c r="W603" s="253"/>
      <c r="X603" s="253"/>
      <c r="Y603" s="253"/>
      <c r="Z603" s="253"/>
      <c r="AA603" s="253"/>
      <c r="AB603" s="218"/>
    </row>
    <row r="604">
      <c r="A604" s="118"/>
      <c r="B604" s="118"/>
      <c r="C604" s="143"/>
      <c r="D604" s="118"/>
      <c r="E604" s="118"/>
      <c r="F604" s="262"/>
      <c r="G604" s="264"/>
      <c r="H604" s="264"/>
      <c r="I604" s="267"/>
      <c r="J604" s="118"/>
      <c r="K604" s="136"/>
      <c r="L604" s="118"/>
      <c r="M604" s="136"/>
      <c r="N604" s="118"/>
      <c r="O604" s="136"/>
      <c r="P604" s="272"/>
      <c r="Q604" s="272"/>
      <c r="R604" s="272"/>
      <c r="S604" s="272"/>
      <c r="T604" s="272"/>
      <c r="U604" s="272"/>
      <c r="V604" s="273"/>
      <c r="W604" s="253"/>
      <c r="X604" s="253"/>
      <c r="Y604" s="253"/>
      <c r="Z604" s="253"/>
      <c r="AA604" s="253"/>
      <c r="AB604" s="218"/>
    </row>
    <row r="605">
      <c r="A605" s="118"/>
      <c r="B605" s="118"/>
      <c r="C605" s="143"/>
      <c r="D605" s="118"/>
      <c r="E605" s="118"/>
      <c r="F605" s="262"/>
      <c r="G605" s="264"/>
      <c r="H605" s="264"/>
      <c r="I605" s="267"/>
      <c r="J605" s="118"/>
      <c r="K605" s="136"/>
      <c r="L605" s="118"/>
      <c r="M605" s="136"/>
      <c r="N605" s="118"/>
      <c r="O605" s="136"/>
      <c r="P605" s="272"/>
      <c r="Q605" s="272"/>
      <c r="R605" s="272"/>
      <c r="S605" s="272"/>
      <c r="T605" s="272"/>
      <c r="U605" s="272"/>
      <c r="V605" s="273"/>
      <c r="W605" s="253"/>
      <c r="X605" s="253"/>
      <c r="Y605" s="253"/>
      <c r="Z605" s="253"/>
      <c r="AA605" s="253"/>
      <c r="AB605" s="218"/>
    </row>
    <row r="606">
      <c r="A606" s="118"/>
      <c r="B606" s="118"/>
      <c r="C606" s="143"/>
      <c r="D606" s="118"/>
      <c r="E606" s="118"/>
      <c r="F606" s="262"/>
      <c r="G606" s="264"/>
      <c r="H606" s="264"/>
      <c r="I606" s="267"/>
      <c r="J606" s="118"/>
      <c r="K606" s="136"/>
      <c r="L606" s="118"/>
      <c r="M606" s="136"/>
      <c r="N606" s="118"/>
      <c r="O606" s="136"/>
      <c r="P606" s="272"/>
      <c r="Q606" s="272"/>
      <c r="R606" s="272"/>
      <c r="S606" s="272"/>
      <c r="T606" s="272"/>
      <c r="U606" s="272"/>
      <c r="V606" s="273"/>
      <c r="W606" s="253"/>
      <c r="X606" s="253"/>
      <c r="Y606" s="253"/>
      <c r="Z606" s="253"/>
      <c r="AA606" s="253"/>
      <c r="AB606" s="218"/>
    </row>
    <row r="607">
      <c r="A607" s="118"/>
      <c r="B607" s="118"/>
      <c r="C607" s="143"/>
      <c r="D607" s="118"/>
      <c r="E607" s="118"/>
      <c r="F607" s="262"/>
      <c r="G607" s="264"/>
      <c r="H607" s="264"/>
      <c r="I607" s="267"/>
      <c r="J607" s="118"/>
      <c r="K607" s="136"/>
      <c r="L607" s="118"/>
      <c r="M607" s="136"/>
      <c r="N607" s="118"/>
      <c r="O607" s="136"/>
      <c r="P607" s="272"/>
      <c r="Q607" s="272"/>
      <c r="R607" s="272"/>
      <c r="S607" s="272"/>
      <c r="T607" s="272"/>
      <c r="U607" s="272"/>
      <c r="V607" s="273"/>
      <c r="W607" s="253"/>
      <c r="X607" s="253"/>
      <c r="Y607" s="253"/>
      <c r="Z607" s="253"/>
      <c r="AA607" s="253"/>
      <c r="AB607" s="218"/>
    </row>
    <row r="608">
      <c r="A608" s="118"/>
      <c r="B608" s="118"/>
      <c r="C608" s="143"/>
      <c r="D608" s="118"/>
      <c r="E608" s="118"/>
      <c r="F608" s="262"/>
      <c r="G608" s="264"/>
      <c r="H608" s="264"/>
      <c r="I608" s="267"/>
      <c r="J608" s="118"/>
      <c r="K608" s="136"/>
      <c r="L608" s="118"/>
      <c r="M608" s="136"/>
      <c r="N608" s="118"/>
      <c r="O608" s="136"/>
      <c r="P608" s="272"/>
      <c r="Q608" s="272"/>
      <c r="R608" s="272"/>
      <c r="S608" s="272"/>
      <c r="T608" s="272"/>
      <c r="U608" s="272"/>
      <c r="V608" s="273"/>
      <c r="W608" s="253"/>
      <c r="X608" s="253"/>
      <c r="Y608" s="253"/>
      <c r="Z608" s="253"/>
      <c r="AA608" s="253"/>
      <c r="AB608" s="218"/>
    </row>
    <row r="609">
      <c r="A609" s="118"/>
      <c r="B609" s="118"/>
      <c r="C609" s="143"/>
      <c r="D609" s="118"/>
      <c r="E609" s="118"/>
      <c r="F609" s="262"/>
      <c r="G609" s="264"/>
      <c r="H609" s="264"/>
      <c r="I609" s="267"/>
      <c r="J609" s="118"/>
      <c r="K609" s="136"/>
      <c r="L609" s="118"/>
      <c r="M609" s="136"/>
      <c r="N609" s="118"/>
      <c r="O609" s="136"/>
      <c r="P609" s="272"/>
      <c r="Q609" s="272"/>
      <c r="R609" s="272"/>
      <c r="S609" s="272"/>
      <c r="T609" s="272"/>
      <c r="U609" s="272"/>
      <c r="V609" s="273"/>
      <c r="W609" s="253"/>
      <c r="X609" s="253"/>
      <c r="Y609" s="253"/>
      <c r="Z609" s="253"/>
      <c r="AA609" s="253"/>
      <c r="AB609" s="218"/>
    </row>
    <row r="610">
      <c r="A610" s="118"/>
      <c r="B610" s="118"/>
      <c r="C610" s="143"/>
      <c r="D610" s="118"/>
      <c r="E610" s="118"/>
      <c r="F610" s="262"/>
      <c r="G610" s="264"/>
      <c r="H610" s="264"/>
      <c r="I610" s="267"/>
      <c r="J610" s="118"/>
      <c r="K610" s="136"/>
      <c r="L610" s="118"/>
      <c r="M610" s="136"/>
      <c r="N610" s="118"/>
      <c r="O610" s="136"/>
      <c r="P610" s="272"/>
      <c r="Q610" s="272"/>
      <c r="R610" s="272"/>
      <c r="S610" s="272"/>
      <c r="T610" s="272"/>
      <c r="U610" s="272"/>
      <c r="V610" s="273"/>
      <c r="W610" s="253"/>
      <c r="X610" s="253"/>
      <c r="Y610" s="253"/>
      <c r="Z610" s="253"/>
      <c r="AA610" s="253"/>
      <c r="AB610" s="218"/>
    </row>
    <row r="611">
      <c r="A611" s="118"/>
      <c r="B611" s="118"/>
      <c r="C611" s="143"/>
      <c r="D611" s="118"/>
      <c r="E611" s="118"/>
      <c r="F611" s="262"/>
      <c r="G611" s="264"/>
      <c r="H611" s="264"/>
      <c r="I611" s="267"/>
      <c r="J611" s="118"/>
      <c r="K611" s="136"/>
      <c r="L611" s="118"/>
      <c r="M611" s="136"/>
      <c r="N611" s="118"/>
      <c r="O611" s="136"/>
      <c r="P611" s="272"/>
      <c r="Q611" s="272"/>
      <c r="R611" s="272"/>
      <c r="S611" s="272"/>
      <c r="T611" s="272"/>
      <c r="U611" s="272"/>
      <c r="V611" s="273"/>
      <c r="W611" s="253"/>
      <c r="X611" s="253"/>
      <c r="Y611" s="253"/>
      <c r="Z611" s="253"/>
      <c r="AA611" s="253"/>
      <c r="AB611" s="218"/>
    </row>
    <row r="612">
      <c r="A612" s="118"/>
      <c r="B612" s="118"/>
      <c r="C612" s="143"/>
      <c r="D612" s="118"/>
      <c r="E612" s="118"/>
      <c r="F612" s="262"/>
      <c r="G612" s="264"/>
      <c r="H612" s="264"/>
      <c r="I612" s="267"/>
      <c r="J612" s="118"/>
      <c r="K612" s="136"/>
      <c r="L612" s="118"/>
      <c r="M612" s="136"/>
      <c r="N612" s="118"/>
      <c r="O612" s="136"/>
      <c r="P612" s="272"/>
      <c r="Q612" s="272"/>
      <c r="R612" s="272"/>
      <c r="S612" s="272"/>
      <c r="T612" s="272"/>
      <c r="U612" s="272"/>
      <c r="V612" s="273"/>
      <c r="W612" s="253"/>
      <c r="X612" s="253"/>
      <c r="Y612" s="253"/>
      <c r="Z612" s="253"/>
      <c r="AA612" s="253"/>
      <c r="AB612" s="218"/>
    </row>
    <row r="613">
      <c r="A613" s="118"/>
      <c r="B613" s="118"/>
      <c r="C613" s="143"/>
      <c r="D613" s="118"/>
      <c r="E613" s="118"/>
      <c r="F613" s="262"/>
      <c r="G613" s="264"/>
      <c r="H613" s="264"/>
      <c r="I613" s="267"/>
      <c r="J613" s="118"/>
      <c r="K613" s="136"/>
      <c r="L613" s="118"/>
      <c r="M613" s="136"/>
      <c r="N613" s="118"/>
      <c r="O613" s="136"/>
      <c r="P613" s="272"/>
      <c r="Q613" s="272"/>
      <c r="R613" s="272"/>
      <c r="S613" s="272"/>
      <c r="T613" s="272"/>
      <c r="U613" s="272"/>
      <c r="V613" s="273"/>
      <c r="W613" s="253"/>
      <c r="X613" s="253"/>
      <c r="Y613" s="253"/>
      <c r="Z613" s="253"/>
      <c r="AA613" s="253"/>
      <c r="AB613" s="218"/>
    </row>
    <row r="614">
      <c r="A614" s="118"/>
      <c r="B614" s="118"/>
      <c r="C614" s="143"/>
      <c r="D614" s="118"/>
      <c r="E614" s="118"/>
      <c r="F614" s="262"/>
      <c r="G614" s="264"/>
      <c r="H614" s="264"/>
      <c r="I614" s="267"/>
      <c r="J614" s="118"/>
      <c r="K614" s="136"/>
      <c r="L614" s="118"/>
      <c r="M614" s="136"/>
      <c r="N614" s="118"/>
      <c r="O614" s="136"/>
      <c r="P614" s="272"/>
      <c r="Q614" s="272"/>
      <c r="R614" s="272"/>
      <c r="S614" s="272"/>
      <c r="T614" s="272"/>
      <c r="U614" s="272"/>
      <c r="V614" s="273"/>
      <c r="W614" s="253"/>
      <c r="X614" s="253"/>
      <c r="Y614" s="253"/>
      <c r="Z614" s="253"/>
      <c r="AA614" s="253"/>
      <c r="AB614" s="218"/>
    </row>
    <row r="615">
      <c r="A615" s="118"/>
      <c r="B615" s="118"/>
      <c r="C615" s="143"/>
      <c r="D615" s="118"/>
      <c r="E615" s="118"/>
      <c r="F615" s="262"/>
      <c r="G615" s="264"/>
      <c r="H615" s="264"/>
      <c r="I615" s="267"/>
      <c r="J615" s="118"/>
      <c r="K615" s="136"/>
      <c r="L615" s="118"/>
      <c r="M615" s="136"/>
      <c r="N615" s="118"/>
      <c r="O615" s="136"/>
      <c r="P615" s="272"/>
      <c r="Q615" s="272"/>
      <c r="R615" s="272"/>
      <c r="S615" s="272"/>
      <c r="T615" s="272"/>
      <c r="U615" s="272"/>
      <c r="V615" s="273"/>
      <c r="W615" s="253"/>
      <c r="X615" s="253"/>
      <c r="Y615" s="253"/>
      <c r="Z615" s="253"/>
      <c r="AA615" s="253"/>
      <c r="AB615" s="218"/>
    </row>
    <row r="616">
      <c r="A616" s="118"/>
      <c r="B616" s="118"/>
      <c r="C616" s="143"/>
      <c r="D616" s="118"/>
      <c r="E616" s="118"/>
      <c r="F616" s="262"/>
      <c r="G616" s="264"/>
      <c r="H616" s="264"/>
      <c r="I616" s="267"/>
      <c r="J616" s="118"/>
      <c r="K616" s="136"/>
      <c r="L616" s="118"/>
      <c r="M616" s="136"/>
      <c r="N616" s="118"/>
      <c r="O616" s="136"/>
      <c r="P616" s="272"/>
      <c r="Q616" s="272"/>
      <c r="R616" s="272"/>
      <c r="S616" s="272"/>
      <c r="T616" s="272"/>
      <c r="U616" s="272"/>
      <c r="V616" s="273"/>
      <c r="W616" s="253"/>
      <c r="X616" s="253"/>
      <c r="Y616" s="253"/>
      <c r="Z616" s="253"/>
      <c r="AA616" s="253"/>
      <c r="AB616" s="218"/>
    </row>
    <row r="617">
      <c r="A617" s="118"/>
      <c r="B617" s="118"/>
      <c r="C617" s="143"/>
      <c r="D617" s="118"/>
      <c r="E617" s="118"/>
      <c r="F617" s="262"/>
      <c r="G617" s="264"/>
      <c r="H617" s="264"/>
      <c r="I617" s="267"/>
      <c r="J617" s="118"/>
      <c r="K617" s="136"/>
      <c r="L617" s="118"/>
      <c r="M617" s="136"/>
      <c r="N617" s="118"/>
      <c r="O617" s="136"/>
      <c r="P617" s="272"/>
      <c r="Q617" s="272"/>
      <c r="R617" s="272"/>
      <c r="S617" s="272"/>
      <c r="T617" s="272"/>
      <c r="U617" s="272"/>
      <c r="V617" s="273"/>
      <c r="W617" s="253"/>
      <c r="X617" s="253"/>
      <c r="Y617" s="253"/>
      <c r="Z617" s="253"/>
      <c r="AA617" s="253"/>
      <c r="AB617" s="218"/>
    </row>
    <row r="618">
      <c r="A618" s="118"/>
      <c r="B618" s="118"/>
      <c r="C618" s="143"/>
      <c r="D618" s="118"/>
      <c r="E618" s="118"/>
      <c r="F618" s="262"/>
      <c r="G618" s="264"/>
      <c r="H618" s="264"/>
      <c r="I618" s="267"/>
      <c r="J618" s="118"/>
      <c r="K618" s="136"/>
      <c r="L618" s="118"/>
      <c r="M618" s="136"/>
      <c r="N618" s="118"/>
      <c r="O618" s="136"/>
      <c r="P618" s="272"/>
      <c r="Q618" s="272"/>
      <c r="R618" s="272"/>
      <c r="S618" s="272"/>
      <c r="T618" s="272"/>
      <c r="U618" s="272"/>
      <c r="V618" s="273"/>
      <c r="W618" s="253"/>
      <c r="X618" s="253"/>
      <c r="Y618" s="253"/>
      <c r="Z618" s="253"/>
      <c r="AA618" s="253"/>
      <c r="AB618" s="218"/>
    </row>
    <row r="619">
      <c r="A619" s="118"/>
      <c r="B619" s="118"/>
      <c r="C619" s="143"/>
      <c r="D619" s="118"/>
      <c r="E619" s="118"/>
      <c r="F619" s="262"/>
      <c r="G619" s="264"/>
      <c r="H619" s="264"/>
      <c r="I619" s="267"/>
      <c r="J619" s="118"/>
      <c r="K619" s="136"/>
      <c r="L619" s="118"/>
      <c r="M619" s="136"/>
      <c r="N619" s="118"/>
      <c r="O619" s="136"/>
      <c r="P619" s="272"/>
      <c r="Q619" s="272"/>
      <c r="R619" s="272"/>
      <c r="S619" s="272"/>
      <c r="T619" s="272"/>
      <c r="U619" s="272"/>
      <c r="V619" s="273"/>
      <c r="W619" s="253"/>
      <c r="X619" s="253"/>
      <c r="Y619" s="253"/>
      <c r="Z619" s="253"/>
      <c r="AA619" s="253"/>
      <c r="AB619" s="218"/>
    </row>
    <row r="620">
      <c r="A620" s="118"/>
      <c r="B620" s="118"/>
      <c r="C620" s="143"/>
      <c r="D620" s="118"/>
      <c r="E620" s="118"/>
      <c r="F620" s="262"/>
      <c r="G620" s="264"/>
      <c r="H620" s="264"/>
      <c r="I620" s="267"/>
      <c r="J620" s="118"/>
      <c r="K620" s="136"/>
      <c r="L620" s="118"/>
      <c r="M620" s="136"/>
      <c r="N620" s="118"/>
      <c r="O620" s="136"/>
      <c r="P620" s="272"/>
      <c r="Q620" s="272"/>
      <c r="R620" s="272"/>
      <c r="S620" s="272"/>
      <c r="T620" s="272"/>
      <c r="U620" s="272"/>
      <c r="V620" s="273"/>
      <c r="W620" s="253"/>
      <c r="X620" s="253"/>
      <c r="Y620" s="253"/>
      <c r="Z620" s="253"/>
      <c r="AA620" s="253"/>
      <c r="AB620" s="218"/>
    </row>
    <row r="621">
      <c r="A621" s="118"/>
      <c r="B621" s="118"/>
      <c r="C621" s="143"/>
      <c r="D621" s="118"/>
      <c r="E621" s="118"/>
      <c r="F621" s="262"/>
      <c r="G621" s="264"/>
      <c r="H621" s="264"/>
      <c r="I621" s="267"/>
      <c r="J621" s="118"/>
      <c r="K621" s="136"/>
      <c r="L621" s="118"/>
      <c r="M621" s="136"/>
      <c r="N621" s="118"/>
      <c r="O621" s="136"/>
      <c r="P621" s="272"/>
      <c r="Q621" s="272"/>
      <c r="R621" s="272"/>
      <c r="S621" s="272"/>
      <c r="T621" s="272"/>
      <c r="U621" s="272"/>
      <c r="V621" s="273"/>
      <c r="W621" s="253"/>
      <c r="X621" s="253"/>
      <c r="Y621" s="253"/>
      <c r="Z621" s="253"/>
      <c r="AA621" s="253"/>
      <c r="AB621" s="218"/>
    </row>
    <row r="622">
      <c r="A622" s="118"/>
      <c r="B622" s="118"/>
      <c r="C622" s="143"/>
      <c r="D622" s="118"/>
      <c r="E622" s="118"/>
      <c r="F622" s="262"/>
      <c r="G622" s="264"/>
      <c r="H622" s="264"/>
      <c r="I622" s="267"/>
      <c r="J622" s="118"/>
      <c r="K622" s="136"/>
      <c r="L622" s="118"/>
      <c r="M622" s="136"/>
      <c r="N622" s="118"/>
      <c r="O622" s="136"/>
      <c r="P622" s="272"/>
      <c r="Q622" s="272"/>
      <c r="R622" s="272"/>
      <c r="S622" s="272"/>
      <c r="T622" s="272"/>
      <c r="U622" s="272"/>
      <c r="V622" s="273"/>
      <c r="W622" s="253"/>
      <c r="X622" s="253"/>
      <c r="Y622" s="253"/>
      <c r="Z622" s="253"/>
      <c r="AA622" s="253"/>
      <c r="AB622" s="218"/>
    </row>
    <row r="623">
      <c r="A623" s="118"/>
      <c r="B623" s="118"/>
      <c r="C623" s="143"/>
      <c r="D623" s="118"/>
      <c r="E623" s="118"/>
      <c r="F623" s="262"/>
      <c r="G623" s="264"/>
      <c r="H623" s="264"/>
      <c r="I623" s="267"/>
      <c r="J623" s="118"/>
      <c r="K623" s="136"/>
      <c r="L623" s="118"/>
      <c r="M623" s="136"/>
      <c r="N623" s="118"/>
      <c r="O623" s="136"/>
      <c r="P623" s="272"/>
      <c r="Q623" s="272"/>
      <c r="R623" s="272"/>
      <c r="S623" s="272"/>
      <c r="T623" s="272"/>
      <c r="U623" s="272"/>
      <c r="V623" s="273"/>
      <c r="W623" s="253"/>
      <c r="X623" s="253"/>
      <c r="Y623" s="253"/>
      <c r="Z623" s="253"/>
      <c r="AA623" s="253"/>
      <c r="AB623" s="218"/>
    </row>
    <row r="624">
      <c r="A624" s="118"/>
      <c r="B624" s="118"/>
      <c r="C624" s="143"/>
      <c r="D624" s="118"/>
      <c r="E624" s="118"/>
      <c r="F624" s="262"/>
      <c r="G624" s="264"/>
      <c r="H624" s="264"/>
      <c r="I624" s="267"/>
      <c r="J624" s="118"/>
      <c r="K624" s="136"/>
      <c r="L624" s="118"/>
      <c r="M624" s="136"/>
      <c r="N624" s="118"/>
      <c r="O624" s="136"/>
      <c r="P624" s="272"/>
      <c r="Q624" s="272"/>
      <c r="R624" s="272"/>
      <c r="S624" s="272"/>
      <c r="T624" s="272"/>
      <c r="U624" s="272"/>
      <c r="V624" s="273"/>
      <c r="W624" s="253"/>
      <c r="X624" s="253"/>
      <c r="Y624" s="253"/>
      <c r="Z624" s="253"/>
      <c r="AA624" s="253"/>
      <c r="AB624" s="218"/>
    </row>
    <row r="625">
      <c r="A625" s="118"/>
      <c r="B625" s="118"/>
      <c r="C625" s="143"/>
      <c r="D625" s="118"/>
      <c r="E625" s="118"/>
      <c r="F625" s="262"/>
      <c r="G625" s="264"/>
      <c r="H625" s="264"/>
      <c r="I625" s="267"/>
      <c r="J625" s="118"/>
      <c r="K625" s="136"/>
      <c r="L625" s="118"/>
      <c r="M625" s="136"/>
      <c r="N625" s="118"/>
      <c r="O625" s="136"/>
      <c r="P625" s="272"/>
      <c r="Q625" s="272"/>
      <c r="R625" s="272"/>
      <c r="S625" s="272"/>
      <c r="T625" s="272"/>
      <c r="U625" s="272"/>
      <c r="V625" s="273"/>
      <c r="W625" s="253"/>
      <c r="X625" s="253"/>
      <c r="Y625" s="253"/>
      <c r="Z625" s="253"/>
      <c r="AA625" s="253"/>
      <c r="AB625" s="218"/>
    </row>
    <row r="626">
      <c r="A626" s="118"/>
      <c r="B626" s="118"/>
      <c r="C626" s="143"/>
      <c r="D626" s="118"/>
      <c r="E626" s="118"/>
      <c r="F626" s="262"/>
      <c r="G626" s="264"/>
      <c r="H626" s="264"/>
      <c r="I626" s="267"/>
      <c r="J626" s="118"/>
      <c r="K626" s="136"/>
      <c r="L626" s="118"/>
      <c r="M626" s="136"/>
      <c r="N626" s="118"/>
      <c r="O626" s="136"/>
      <c r="P626" s="272"/>
      <c r="Q626" s="272"/>
      <c r="R626" s="272"/>
      <c r="S626" s="272"/>
      <c r="T626" s="272"/>
      <c r="U626" s="272"/>
      <c r="V626" s="273"/>
      <c r="W626" s="253"/>
      <c r="X626" s="253"/>
      <c r="Y626" s="253"/>
      <c r="Z626" s="253"/>
      <c r="AA626" s="253"/>
      <c r="AB626" s="218"/>
    </row>
    <row r="627">
      <c r="A627" s="118"/>
      <c r="B627" s="118"/>
      <c r="C627" s="143"/>
      <c r="D627" s="118"/>
      <c r="E627" s="118"/>
      <c r="F627" s="262"/>
      <c r="G627" s="264"/>
      <c r="H627" s="264"/>
      <c r="I627" s="267"/>
      <c r="J627" s="118"/>
      <c r="K627" s="136"/>
      <c r="L627" s="118"/>
      <c r="M627" s="136"/>
      <c r="N627" s="118"/>
      <c r="O627" s="136"/>
      <c r="P627" s="272"/>
      <c r="Q627" s="272"/>
      <c r="R627" s="272"/>
      <c r="S627" s="272"/>
      <c r="T627" s="272"/>
      <c r="U627" s="272"/>
      <c r="V627" s="273"/>
      <c r="W627" s="253"/>
      <c r="X627" s="253"/>
      <c r="Y627" s="253"/>
      <c r="Z627" s="253"/>
      <c r="AA627" s="253"/>
      <c r="AB627" s="218"/>
    </row>
    <row r="628">
      <c r="A628" s="118"/>
      <c r="B628" s="118"/>
      <c r="C628" s="143"/>
      <c r="D628" s="118"/>
      <c r="E628" s="118"/>
      <c r="F628" s="262"/>
      <c r="G628" s="264"/>
      <c r="H628" s="264"/>
      <c r="I628" s="267"/>
      <c r="J628" s="118"/>
      <c r="K628" s="136"/>
      <c r="L628" s="118"/>
      <c r="M628" s="136"/>
      <c r="N628" s="118"/>
      <c r="O628" s="136"/>
      <c r="P628" s="272"/>
      <c r="Q628" s="272"/>
      <c r="R628" s="272"/>
      <c r="S628" s="272"/>
      <c r="T628" s="272"/>
      <c r="U628" s="272"/>
      <c r="V628" s="273"/>
      <c r="W628" s="253"/>
      <c r="X628" s="253"/>
      <c r="Y628" s="253"/>
      <c r="Z628" s="253"/>
      <c r="AA628" s="253"/>
      <c r="AB628" s="218"/>
    </row>
    <row r="629">
      <c r="A629" s="118"/>
      <c r="B629" s="118"/>
      <c r="C629" s="143"/>
      <c r="D629" s="118"/>
      <c r="E629" s="118"/>
      <c r="F629" s="262"/>
      <c r="G629" s="264"/>
      <c r="H629" s="264"/>
      <c r="I629" s="267"/>
      <c r="J629" s="118"/>
      <c r="K629" s="136"/>
      <c r="L629" s="118"/>
      <c r="M629" s="136"/>
      <c r="N629" s="118"/>
      <c r="O629" s="136"/>
      <c r="P629" s="272"/>
      <c r="Q629" s="272"/>
      <c r="R629" s="272"/>
      <c r="S629" s="272"/>
      <c r="T629" s="272"/>
      <c r="U629" s="272"/>
      <c r="V629" s="273"/>
      <c r="W629" s="253"/>
      <c r="X629" s="253"/>
      <c r="Y629" s="253"/>
      <c r="Z629" s="253"/>
      <c r="AA629" s="253"/>
      <c r="AB629" s="218"/>
    </row>
    <row r="630">
      <c r="A630" s="118"/>
      <c r="B630" s="118"/>
      <c r="C630" s="143"/>
      <c r="D630" s="118"/>
      <c r="E630" s="118"/>
      <c r="F630" s="262"/>
      <c r="G630" s="264"/>
      <c r="H630" s="264"/>
      <c r="I630" s="267"/>
      <c r="J630" s="118"/>
      <c r="K630" s="136"/>
      <c r="L630" s="118"/>
      <c r="M630" s="136"/>
      <c r="N630" s="118"/>
      <c r="O630" s="136"/>
      <c r="P630" s="272"/>
      <c r="Q630" s="272"/>
      <c r="R630" s="272"/>
      <c r="S630" s="272"/>
      <c r="T630" s="272"/>
      <c r="U630" s="272"/>
      <c r="V630" s="273"/>
      <c r="W630" s="253"/>
      <c r="X630" s="253"/>
      <c r="Y630" s="253"/>
      <c r="Z630" s="253"/>
      <c r="AA630" s="253"/>
      <c r="AB630" s="218"/>
    </row>
    <row r="631">
      <c r="A631" s="118"/>
      <c r="B631" s="118"/>
      <c r="C631" s="143"/>
      <c r="D631" s="118"/>
      <c r="E631" s="118"/>
      <c r="F631" s="262"/>
      <c r="G631" s="264"/>
      <c r="H631" s="264"/>
      <c r="I631" s="267"/>
      <c r="J631" s="118"/>
      <c r="K631" s="136"/>
      <c r="L631" s="118"/>
      <c r="M631" s="136"/>
      <c r="N631" s="118"/>
      <c r="O631" s="136"/>
      <c r="P631" s="272"/>
      <c r="Q631" s="272"/>
      <c r="R631" s="272"/>
      <c r="S631" s="272"/>
      <c r="T631" s="272"/>
      <c r="U631" s="272"/>
      <c r="V631" s="273"/>
      <c r="W631" s="253"/>
      <c r="X631" s="253"/>
      <c r="Y631" s="253"/>
      <c r="Z631" s="253"/>
      <c r="AA631" s="253"/>
      <c r="AB631" s="218"/>
    </row>
    <row r="632">
      <c r="A632" s="118"/>
      <c r="B632" s="118"/>
      <c r="C632" s="143"/>
      <c r="D632" s="118"/>
      <c r="E632" s="118"/>
      <c r="F632" s="262"/>
      <c r="G632" s="264"/>
      <c r="H632" s="264"/>
      <c r="I632" s="267"/>
      <c r="J632" s="118"/>
      <c r="K632" s="136"/>
      <c r="L632" s="118"/>
      <c r="M632" s="136"/>
      <c r="N632" s="118"/>
      <c r="O632" s="136"/>
      <c r="P632" s="272"/>
      <c r="Q632" s="272"/>
      <c r="R632" s="272"/>
      <c r="S632" s="272"/>
      <c r="T632" s="272"/>
      <c r="U632" s="272"/>
      <c r="V632" s="273"/>
      <c r="W632" s="253"/>
      <c r="X632" s="253"/>
      <c r="Y632" s="253"/>
      <c r="Z632" s="253"/>
      <c r="AA632" s="253"/>
      <c r="AB632" s="218"/>
    </row>
    <row r="633">
      <c r="A633" s="118"/>
      <c r="B633" s="118"/>
      <c r="C633" s="143"/>
      <c r="D633" s="118"/>
      <c r="E633" s="118"/>
      <c r="F633" s="262"/>
      <c r="G633" s="264"/>
      <c r="H633" s="264"/>
      <c r="I633" s="267"/>
      <c r="J633" s="118"/>
      <c r="K633" s="136"/>
      <c r="L633" s="118"/>
      <c r="M633" s="136"/>
      <c r="N633" s="118"/>
      <c r="O633" s="136"/>
      <c r="P633" s="272"/>
      <c r="Q633" s="272"/>
      <c r="R633" s="272"/>
      <c r="S633" s="272"/>
      <c r="T633" s="272"/>
      <c r="U633" s="272"/>
      <c r="V633" s="273"/>
      <c r="W633" s="253"/>
      <c r="X633" s="253"/>
      <c r="Y633" s="253"/>
      <c r="Z633" s="253"/>
      <c r="AA633" s="253"/>
      <c r="AB633" s="218"/>
    </row>
    <row r="634">
      <c r="A634" s="118"/>
      <c r="B634" s="118"/>
      <c r="C634" s="143"/>
      <c r="D634" s="118"/>
      <c r="E634" s="118"/>
      <c r="F634" s="262"/>
      <c r="G634" s="264"/>
      <c r="H634" s="264"/>
      <c r="I634" s="267"/>
      <c r="J634" s="118"/>
      <c r="K634" s="136"/>
      <c r="L634" s="118"/>
      <c r="M634" s="136"/>
      <c r="N634" s="118"/>
      <c r="O634" s="136"/>
      <c r="P634" s="272"/>
      <c r="Q634" s="272"/>
      <c r="R634" s="272"/>
      <c r="S634" s="272"/>
      <c r="T634" s="272"/>
      <c r="U634" s="272"/>
      <c r="V634" s="273"/>
      <c r="W634" s="253"/>
      <c r="X634" s="253"/>
      <c r="Y634" s="253"/>
      <c r="Z634" s="253"/>
      <c r="AA634" s="253"/>
      <c r="AB634" s="218"/>
    </row>
    <row r="635">
      <c r="A635" s="118"/>
      <c r="B635" s="118"/>
      <c r="C635" s="143"/>
      <c r="D635" s="118"/>
      <c r="E635" s="118"/>
      <c r="F635" s="262"/>
      <c r="G635" s="264"/>
      <c r="H635" s="264"/>
      <c r="I635" s="267"/>
      <c r="J635" s="118"/>
      <c r="K635" s="136"/>
      <c r="L635" s="118"/>
      <c r="M635" s="136"/>
      <c r="N635" s="118"/>
      <c r="O635" s="136"/>
      <c r="P635" s="272"/>
      <c r="Q635" s="272"/>
      <c r="R635" s="272"/>
      <c r="S635" s="272"/>
      <c r="T635" s="272"/>
      <c r="U635" s="272"/>
      <c r="V635" s="273"/>
      <c r="W635" s="253"/>
      <c r="X635" s="253"/>
      <c r="Y635" s="253"/>
      <c r="Z635" s="253"/>
      <c r="AA635" s="253"/>
      <c r="AB635" s="218"/>
    </row>
    <row r="636">
      <c r="A636" s="118"/>
      <c r="B636" s="118"/>
      <c r="C636" s="143"/>
      <c r="D636" s="118"/>
      <c r="E636" s="118"/>
      <c r="F636" s="262"/>
      <c r="G636" s="264"/>
      <c r="H636" s="264"/>
      <c r="I636" s="267"/>
      <c r="J636" s="118"/>
      <c r="K636" s="136"/>
      <c r="L636" s="118"/>
      <c r="M636" s="136"/>
      <c r="N636" s="118"/>
      <c r="O636" s="136"/>
      <c r="P636" s="272"/>
      <c r="Q636" s="272"/>
      <c r="R636" s="272"/>
      <c r="S636" s="272"/>
      <c r="T636" s="272"/>
      <c r="U636" s="272"/>
      <c r="V636" s="273"/>
      <c r="W636" s="253"/>
      <c r="X636" s="253"/>
      <c r="Y636" s="253"/>
      <c r="Z636" s="253"/>
      <c r="AA636" s="253"/>
      <c r="AB636" s="218"/>
    </row>
    <row r="637">
      <c r="A637" s="118"/>
      <c r="B637" s="118"/>
      <c r="C637" s="143"/>
      <c r="D637" s="118"/>
      <c r="E637" s="118"/>
      <c r="F637" s="262"/>
      <c r="G637" s="264"/>
      <c r="H637" s="264"/>
      <c r="I637" s="267"/>
      <c r="J637" s="118"/>
      <c r="K637" s="136"/>
      <c r="L637" s="118"/>
      <c r="M637" s="136"/>
      <c r="N637" s="118"/>
      <c r="O637" s="136"/>
      <c r="P637" s="272"/>
      <c r="Q637" s="272"/>
      <c r="R637" s="272"/>
      <c r="S637" s="272"/>
      <c r="T637" s="272"/>
      <c r="U637" s="272"/>
      <c r="V637" s="273"/>
      <c r="W637" s="253"/>
      <c r="X637" s="253"/>
      <c r="Y637" s="253"/>
      <c r="Z637" s="253"/>
      <c r="AA637" s="253"/>
      <c r="AB637" s="218"/>
    </row>
    <row r="638">
      <c r="A638" s="118"/>
      <c r="B638" s="118"/>
      <c r="C638" s="143"/>
      <c r="D638" s="118"/>
      <c r="E638" s="118"/>
      <c r="F638" s="262"/>
      <c r="G638" s="264"/>
      <c r="H638" s="264"/>
      <c r="I638" s="267"/>
      <c r="J638" s="118"/>
      <c r="K638" s="136"/>
      <c r="L638" s="118"/>
      <c r="M638" s="136"/>
      <c r="N638" s="118"/>
      <c r="O638" s="136"/>
      <c r="P638" s="272"/>
      <c r="Q638" s="272"/>
      <c r="R638" s="272"/>
      <c r="S638" s="272"/>
      <c r="T638" s="272"/>
      <c r="U638" s="272"/>
      <c r="V638" s="273"/>
      <c r="W638" s="253"/>
      <c r="X638" s="253"/>
      <c r="Y638" s="253"/>
      <c r="Z638" s="253"/>
      <c r="AA638" s="253"/>
      <c r="AB638" s="218"/>
    </row>
    <row r="639">
      <c r="A639" s="118"/>
      <c r="B639" s="118"/>
      <c r="C639" s="143"/>
      <c r="D639" s="118"/>
      <c r="E639" s="118"/>
      <c r="F639" s="262"/>
      <c r="G639" s="264"/>
      <c r="H639" s="264"/>
      <c r="I639" s="267"/>
      <c r="J639" s="118"/>
      <c r="K639" s="136"/>
      <c r="L639" s="118"/>
      <c r="M639" s="136"/>
      <c r="N639" s="118"/>
      <c r="O639" s="136"/>
      <c r="P639" s="272"/>
      <c r="Q639" s="272"/>
      <c r="R639" s="272"/>
      <c r="S639" s="272"/>
      <c r="T639" s="272"/>
      <c r="U639" s="272"/>
      <c r="V639" s="273"/>
      <c r="W639" s="253"/>
      <c r="X639" s="253"/>
      <c r="Y639" s="253"/>
      <c r="Z639" s="253"/>
      <c r="AA639" s="253"/>
      <c r="AB639" s="218"/>
    </row>
    <row r="640">
      <c r="A640" s="118"/>
      <c r="B640" s="118"/>
      <c r="C640" s="143"/>
      <c r="D640" s="118"/>
      <c r="E640" s="118"/>
      <c r="F640" s="262"/>
      <c r="G640" s="264"/>
      <c r="H640" s="264"/>
      <c r="I640" s="267"/>
      <c r="J640" s="118"/>
      <c r="K640" s="136"/>
      <c r="L640" s="118"/>
      <c r="M640" s="136"/>
      <c r="N640" s="118"/>
      <c r="O640" s="136"/>
      <c r="P640" s="272"/>
      <c r="Q640" s="272"/>
      <c r="R640" s="272"/>
      <c r="S640" s="272"/>
      <c r="T640" s="272"/>
      <c r="U640" s="272"/>
      <c r="V640" s="273"/>
      <c r="W640" s="253"/>
      <c r="X640" s="253"/>
      <c r="Y640" s="253"/>
      <c r="Z640" s="253"/>
      <c r="AA640" s="253"/>
      <c r="AB640" s="218"/>
    </row>
    <row r="641">
      <c r="A641" s="118"/>
      <c r="B641" s="118"/>
      <c r="C641" s="143"/>
      <c r="D641" s="118"/>
      <c r="E641" s="118"/>
      <c r="F641" s="262"/>
      <c r="G641" s="264"/>
      <c r="H641" s="264"/>
      <c r="I641" s="267"/>
      <c r="J641" s="118"/>
      <c r="K641" s="136"/>
      <c r="L641" s="118"/>
      <c r="M641" s="136"/>
      <c r="N641" s="118"/>
      <c r="O641" s="136"/>
      <c r="P641" s="272"/>
      <c r="Q641" s="272"/>
      <c r="R641" s="272"/>
      <c r="S641" s="272"/>
      <c r="T641" s="272"/>
      <c r="U641" s="272"/>
      <c r="V641" s="273"/>
      <c r="W641" s="253"/>
      <c r="X641" s="253"/>
      <c r="Y641" s="253"/>
      <c r="Z641" s="253"/>
      <c r="AA641" s="253"/>
      <c r="AB641" s="218"/>
    </row>
    <row r="642">
      <c r="A642" s="118"/>
      <c r="B642" s="118"/>
      <c r="C642" s="143"/>
      <c r="D642" s="118"/>
      <c r="E642" s="118"/>
      <c r="F642" s="262"/>
      <c r="G642" s="264"/>
      <c r="H642" s="264"/>
      <c r="I642" s="267"/>
      <c r="J642" s="118"/>
      <c r="K642" s="136"/>
      <c r="L642" s="118"/>
      <c r="M642" s="136"/>
      <c r="N642" s="118"/>
      <c r="O642" s="136"/>
      <c r="P642" s="272"/>
      <c r="Q642" s="272"/>
      <c r="R642" s="272"/>
      <c r="S642" s="272"/>
      <c r="T642" s="272"/>
      <c r="U642" s="272"/>
      <c r="V642" s="273"/>
      <c r="W642" s="253"/>
      <c r="X642" s="253"/>
      <c r="Y642" s="253"/>
      <c r="Z642" s="253"/>
      <c r="AA642" s="253"/>
      <c r="AB642" s="218"/>
    </row>
    <row r="643">
      <c r="A643" s="118"/>
      <c r="B643" s="118"/>
      <c r="C643" s="143"/>
      <c r="D643" s="118"/>
      <c r="E643" s="118"/>
      <c r="F643" s="262"/>
      <c r="G643" s="264"/>
      <c r="H643" s="264"/>
      <c r="I643" s="267"/>
      <c r="J643" s="118"/>
      <c r="K643" s="136"/>
      <c r="L643" s="118"/>
      <c r="M643" s="136"/>
      <c r="N643" s="118"/>
      <c r="O643" s="136"/>
      <c r="P643" s="272"/>
      <c r="Q643" s="272"/>
      <c r="R643" s="272"/>
      <c r="S643" s="272"/>
      <c r="T643" s="272"/>
      <c r="U643" s="272"/>
      <c r="V643" s="273"/>
      <c r="W643" s="253"/>
      <c r="X643" s="253"/>
      <c r="Y643" s="253"/>
      <c r="Z643" s="253"/>
      <c r="AA643" s="253"/>
      <c r="AB643" s="218"/>
    </row>
    <row r="644">
      <c r="A644" s="118"/>
      <c r="B644" s="118"/>
      <c r="C644" s="143"/>
      <c r="D644" s="118"/>
      <c r="E644" s="118"/>
      <c r="F644" s="262"/>
      <c r="G644" s="264"/>
      <c r="H644" s="264"/>
      <c r="I644" s="267"/>
      <c r="J644" s="118"/>
      <c r="K644" s="136"/>
      <c r="L644" s="118"/>
      <c r="M644" s="136"/>
      <c r="N644" s="118"/>
      <c r="O644" s="136"/>
      <c r="P644" s="272"/>
      <c r="Q644" s="272"/>
      <c r="R644" s="272"/>
      <c r="S644" s="272"/>
      <c r="T644" s="272"/>
      <c r="U644" s="272"/>
      <c r="V644" s="273"/>
      <c r="W644" s="253"/>
      <c r="X644" s="253"/>
      <c r="Y644" s="253"/>
      <c r="Z644" s="253"/>
      <c r="AA644" s="253"/>
      <c r="AB644" s="218"/>
    </row>
    <row r="645">
      <c r="A645" s="118"/>
      <c r="B645" s="118"/>
      <c r="C645" s="143"/>
      <c r="D645" s="118"/>
      <c r="E645" s="118"/>
      <c r="F645" s="262"/>
      <c r="G645" s="264"/>
      <c r="H645" s="264"/>
      <c r="I645" s="267"/>
      <c r="J645" s="118"/>
      <c r="K645" s="136"/>
      <c r="L645" s="118"/>
      <c r="M645" s="136"/>
      <c r="N645" s="118"/>
      <c r="O645" s="136"/>
      <c r="P645" s="272"/>
      <c r="Q645" s="272"/>
      <c r="R645" s="272"/>
      <c r="S645" s="272"/>
      <c r="T645" s="272"/>
      <c r="U645" s="272"/>
      <c r="V645" s="273"/>
      <c r="W645" s="253"/>
      <c r="X645" s="253"/>
      <c r="Y645" s="253"/>
      <c r="Z645" s="253"/>
      <c r="AA645" s="253"/>
      <c r="AB645" s="218"/>
    </row>
    <row r="646">
      <c r="A646" s="118"/>
      <c r="B646" s="118"/>
      <c r="C646" s="143"/>
      <c r="D646" s="118"/>
      <c r="E646" s="118"/>
      <c r="F646" s="262"/>
      <c r="G646" s="264"/>
      <c r="H646" s="264"/>
      <c r="I646" s="267"/>
      <c r="J646" s="118"/>
      <c r="K646" s="136"/>
      <c r="L646" s="118"/>
      <c r="M646" s="136"/>
      <c r="N646" s="118"/>
      <c r="O646" s="136"/>
      <c r="P646" s="272"/>
      <c r="Q646" s="272"/>
      <c r="R646" s="272"/>
      <c r="S646" s="272"/>
      <c r="T646" s="272"/>
      <c r="U646" s="272"/>
      <c r="V646" s="273"/>
      <c r="W646" s="253"/>
      <c r="X646" s="253"/>
      <c r="Y646" s="253"/>
      <c r="Z646" s="253"/>
      <c r="AA646" s="253"/>
      <c r="AB646" s="218"/>
    </row>
    <row r="647">
      <c r="A647" s="118"/>
      <c r="B647" s="118"/>
      <c r="C647" s="143"/>
      <c r="D647" s="118"/>
      <c r="E647" s="118"/>
      <c r="F647" s="262"/>
      <c r="G647" s="264"/>
      <c r="H647" s="264"/>
      <c r="I647" s="267"/>
      <c r="J647" s="118"/>
      <c r="K647" s="136"/>
      <c r="L647" s="118"/>
      <c r="M647" s="136"/>
      <c r="N647" s="118"/>
      <c r="O647" s="136"/>
      <c r="P647" s="272"/>
      <c r="Q647" s="272"/>
      <c r="R647" s="272"/>
      <c r="S647" s="272"/>
      <c r="T647" s="272"/>
      <c r="U647" s="272"/>
      <c r="V647" s="273"/>
      <c r="W647" s="253"/>
      <c r="X647" s="253"/>
      <c r="Y647" s="253"/>
      <c r="Z647" s="253"/>
      <c r="AA647" s="253"/>
      <c r="AB647" s="218"/>
    </row>
    <row r="648">
      <c r="A648" s="118"/>
      <c r="B648" s="118"/>
      <c r="C648" s="143"/>
      <c r="D648" s="118"/>
      <c r="E648" s="118"/>
      <c r="F648" s="262"/>
      <c r="G648" s="264"/>
      <c r="H648" s="264"/>
      <c r="I648" s="267"/>
      <c r="J648" s="118"/>
      <c r="K648" s="136"/>
      <c r="L648" s="118"/>
      <c r="M648" s="136"/>
      <c r="N648" s="118"/>
      <c r="O648" s="136"/>
      <c r="P648" s="272"/>
      <c r="Q648" s="272"/>
      <c r="R648" s="272"/>
      <c r="S648" s="272"/>
      <c r="T648" s="272"/>
      <c r="U648" s="272"/>
      <c r="V648" s="273"/>
      <c r="W648" s="253"/>
      <c r="X648" s="253"/>
      <c r="Y648" s="253"/>
      <c r="Z648" s="253"/>
      <c r="AA648" s="253"/>
      <c r="AB648" s="218"/>
    </row>
    <row r="649">
      <c r="A649" s="118"/>
      <c r="B649" s="118"/>
      <c r="C649" s="143"/>
      <c r="D649" s="118"/>
      <c r="E649" s="118"/>
      <c r="F649" s="262"/>
      <c r="G649" s="264"/>
      <c r="H649" s="264"/>
      <c r="I649" s="267"/>
      <c r="J649" s="118"/>
      <c r="K649" s="136"/>
      <c r="L649" s="118"/>
      <c r="M649" s="136"/>
      <c r="N649" s="118"/>
      <c r="O649" s="136"/>
      <c r="P649" s="272"/>
      <c r="Q649" s="272"/>
      <c r="R649" s="272"/>
      <c r="S649" s="272"/>
      <c r="T649" s="272"/>
      <c r="U649" s="272"/>
      <c r="V649" s="273"/>
      <c r="W649" s="253"/>
      <c r="X649" s="253"/>
      <c r="Y649" s="253"/>
      <c r="Z649" s="253"/>
      <c r="AA649" s="253"/>
      <c r="AB649" s="218"/>
    </row>
    <row r="650">
      <c r="A650" s="118"/>
      <c r="B650" s="118"/>
      <c r="C650" s="143"/>
      <c r="D650" s="118"/>
      <c r="E650" s="118"/>
      <c r="F650" s="262"/>
      <c r="G650" s="264"/>
      <c r="H650" s="264"/>
      <c r="I650" s="267"/>
      <c r="J650" s="118"/>
      <c r="K650" s="136"/>
      <c r="L650" s="118"/>
      <c r="M650" s="136"/>
      <c r="N650" s="118"/>
      <c r="O650" s="136"/>
      <c r="P650" s="272"/>
      <c r="Q650" s="272"/>
      <c r="R650" s="272"/>
      <c r="S650" s="272"/>
      <c r="T650" s="272"/>
      <c r="U650" s="272"/>
      <c r="V650" s="273"/>
      <c r="W650" s="253"/>
      <c r="X650" s="253"/>
      <c r="Y650" s="253"/>
      <c r="Z650" s="253"/>
      <c r="AA650" s="253"/>
      <c r="AB650" s="218"/>
    </row>
    <row r="651">
      <c r="A651" s="118"/>
      <c r="B651" s="118"/>
      <c r="C651" s="143"/>
      <c r="D651" s="118"/>
      <c r="E651" s="118"/>
      <c r="F651" s="262"/>
      <c r="G651" s="264"/>
      <c r="H651" s="264"/>
      <c r="I651" s="267"/>
      <c r="J651" s="118"/>
      <c r="K651" s="136"/>
      <c r="L651" s="118"/>
      <c r="M651" s="136"/>
      <c r="N651" s="118"/>
      <c r="O651" s="136"/>
      <c r="P651" s="272"/>
      <c r="Q651" s="272"/>
      <c r="R651" s="272"/>
      <c r="S651" s="272"/>
      <c r="T651" s="272"/>
      <c r="U651" s="272"/>
      <c r="V651" s="273"/>
      <c r="W651" s="253"/>
      <c r="X651" s="253"/>
      <c r="Y651" s="253"/>
      <c r="Z651" s="253"/>
      <c r="AA651" s="253"/>
      <c r="AB651" s="218"/>
    </row>
    <row r="652">
      <c r="A652" s="118"/>
      <c r="B652" s="118"/>
      <c r="C652" s="143"/>
      <c r="D652" s="118"/>
      <c r="E652" s="118"/>
      <c r="F652" s="262"/>
      <c r="G652" s="264"/>
      <c r="H652" s="264"/>
      <c r="I652" s="267"/>
      <c r="J652" s="118"/>
      <c r="K652" s="136"/>
      <c r="L652" s="118"/>
      <c r="M652" s="136"/>
      <c r="N652" s="118"/>
      <c r="O652" s="136"/>
      <c r="P652" s="272"/>
      <c r="Q652" s="272"/>
      <c r="R652" s="272"/>
      <c r="S652" s="272"/>
      <c r="T652" s="272"/>
      <c r="U652" s="272"/>
      <c r="V652" s="273"/>
      <c r="W652" s="253"/>
      <c r="X652" s="253"/>
      <c r="Y652" s="253"/>
      <c r="Z652" s="253"/>
      <c r="AA652" s="253"/>
      <c r="AB652" s="218"/>
    </row>
    <row r="653">
      <c r="A653" s="118"/>
      <c r="B653" s="118"/>
      <c r="C653" s="143"/>
      <c r="D653" s="118"/>
      <c r="E653" s="118"/>
      <c r="F653" s="262"/>
      <c r="G653" s="264"/>
      <c r="H653" s="264"/>
      <c r="I653" s="267"/>
      <c r="J653" s="118"/>
      <c r="K653" s="136"/>
      <c r="L653" s="118"/>
      <c r="M653" s="136"/>
      <c r="N653" s="118"/>
      <c r="O653" s="136"/>
      <c r="P653" s="272"/>
      <c r="Q653" s="272"/>
      <c r="R653" s="272"/>
      <c r="S653" s="272"/>
      <c r="T653" s="272"/>
      <c r="U653" s="272"/>
      <c r="V653" s="273"/>
      <c r="W653" s="253"/>
      <c r="X653" s="253"/>
      <c r="Y653" s="253"/>
      <c r="Z653" s="253"/>
      <c r="AA653" s="253"/>
      <c r="AB653" s="218"/>
    </row>
    <row r="654">
      <c r="A654" s="118"/>
      <c r="B654" s="118"/>
      <c r="C654" s="143"/>
      <c r="D654" s="118"/>
      <c r="E654" s="118"/>
      <c r="F654" s="262"/>
      <c r="G654" s="264"/>
      <c r="H654" s="264"/>
      <c r="I654" s="267"/>
      <c r="J654" s="118"/>
      <c r="K654" s="136"/>
      <c r="L654" s="118"/>
      <c r="M654" s="136"/>
      <c r="N654" s="118"/>
      <c r="O654" s="136"/>
      <c r="P654" s="272"/>
      <c r="Q654" s="272"/>
      <c r="R654" s="272"/>
      <c r="S654" s="272"/>
      <c r="T654" s="272"/>
      <c r="U654" s="272"/>
      <c r="V654" s="273"/>
      <c r="W654" s="253"/>
      <c r="X654" s="253"/>
      <c r="Y654" s="253"/>
      <c r="Z654" s="253"/>
      <c r="AA654" s="253"/>
      <c r="AB654" s="218"/>
    </row>
    <row r="655">
      <c r="A655" s="118"/>
      <c r="B655" s="118"/>
      <c r="C655" s="143"/>
      <c r="D655" s="118"/>
      <c r="E655" s="118"/>
      <c r="F655" s="262"/>
      <c r="G655" s="264"/>
      <c r="H655" s="264"/>
      <c r="I655" s="267"/>
      <c r="J655" s="118"/>
      <c r="K655" s="136"/>
      <c r="L655" s="118"/>
      <c r="M655" s="136"/>
      <c r="N655" s="118"/>
      <c r="O655" s="136"/>
      <c r="P655" s="272"/>
      <c r="Q655" s="272"/>
      <c r="R655" s="272"/>
      <c r="S655" s="272"/>
      <c r="T655" s="272"/>
      <c r="U655" s="272"/>
      <c r="V655" s="273"/>
      <c r="W655" s="253"/>
      <c r="X655" s="253"/>
      <c r="Y655" s="253"/>
      <c r="Z655" s="253"/>
      <c r="AA655" s="253"/>
      <c r="AB655" s="218"/>
    </row>
    <row r="656">
      <c r="A656" s="118"/>
      <c r="B656" s="118"/>
      <c r="C656" s="143"/>
      <c r="D656" s="118"/>
      <c r="E656" s="118"/>
      <c r="F656" s="262"/>
      <c r="G656" s="264"/>
      <c r="H656" s="264"/>
      <c r="I656" s="267"/>
      <c r="J656" s="118"/>
      <c r="K656" s="136"/>
      <c r="L656" s="118"/>
      <c r="M656" s="136"/>
      <c r="N656" s="118"/>
      <c r="O656" s="136"/>
      <c r="P656" s="272"/>
      <c r="Q656" s="272"/>
      <c r="R656" s="272"/>
      <c r="S656" s="272"/>
      <c r="T656" s="272"/>
      <c r="U656" s="272"/>
      <c r="V656" s="273"/>
      <c r="W656" s="253"/>
      <c r="X656" s="253"/>
      <c r="Y656" s="253"/>
      <c r="Z656" s="253"/>
      <c r="AA656" s="253"/>
      <c r="AB656" s="218"/>
    </row>
    <row r="657">
      <c r="A657" s="118"/>
      <c r="B657" s="118"/>
      <c r="C657" s="143"/>
      <c r="D657" s="118"/>
      <c r="E657" s="118"/>
      <c r="F657" s="262"/>
      <c r="G657" s="264"/>
      <c r="H657" s="264"/>
      <c r="I657" s="267"/>
      <c r="J657" s="118"/>
      <c r="K657" s="136"/>
      <c r="L657" s="118"/>
      <c r="M657" s="136"/>
      <c r="N657" s="118"/>
      <c r="O657" s="136"/>
      <c r="P657" s="272"/>
      <c r="Q657" s="272"/>
      <c r="R657" s="272"/>
      <c r="S657" s="272"/>
      <c r="T657" s="272"/>
      <c r="U657" s="272"/>
      <c r="V657" s="273"/>
      <c r="W657" s="253"/>
      <c r="X657" s="253"/>
      <c r="Y657" s="253"/>
      <c r="Z657" s="253"/>
      <c r="AA657" s="253"/>
      <c r="AB657" s="218"/>
    </row>
    <row r="658">
      <c r="A658" s="118"/>
      <c r="B658" s="118"/>
      <c r="C658" s="143"/>
      <c r="D658" s="118"/>
      <c r="E658" s="118"/>
      <c r="F658" s="262"/>
      <c r="G658" s="264"/>
      <c r="H658" s="264"/>
      <c r="I658" s="267"/>
      <c r="J658" s="118"/>
      <c r="K658" s="136"/>
      <c r="L658" s="118"/>
      <c r="M658" s="136"/>
      <c r="N658" s="118"/>
      <c r="O658" s="136"/>
      <c r="P658" s="272"/>
      <c r="Q658" s="272"/>
      <c r="R658" s="272"/>
      <c r="S658" s="272"/>
      <c r="T658" s="272"/>
      <c r="U658" s="272"/>
      <c r="V658" s="273"/>
      <c r="W658" s="253"/>
      <c r="X658" s="253"/>
      <c r="Y658" s="253"/>
      <c r="Z658" s="253"/>
      <c r="AA658" s="253"/>
      <c r="AB658" s="218"/>
    </row>
    <row r="659">
      <c r="A659" s="118"/>
      <c r="B659" s="118"/>
      <c r="C659" s="143"/>
      <c r="D659" s="118"/>
      <c r="E659" s="118"/>
      <c r="F659" s="262"/>
      <c r="G659" s="264"/>
      <c r="H659" s="264"/>
      <c r="I659" s="267"/>
      <c r="J659" s="118"/>
      <c r="K659" s="136"/>
      <c r="L659" s="118"/>
      <c r="M659" s="136"/>
      <c r="N659" s="118"/>
      <c r="O659" s="136"/>
      <c r="P659" s="272"/>
      <c r="Q659" s="272"/>
      <c r="R659" s="272"/>
      <c r="S659" s="272"/>
      <c r="T659" s="272"/>
      <c r="U659" s="272"/>
      <c r="V659" s="273"/>
      <c r="W659" s="253"/>
      <c r="X659" s="253"/>
      <c r="Y659" s="253"/>
      <c r="Z659" s="253"/>
      <c r="AA659" s="253"/>
      <c r="AB659" s="218"/>
    </row>
    <row r="660">
      <c r="A660" s="118"/>
      <c r="B660" s="118"/>
      <c r="C660" s="143"/>
      <c r="D660" s="118"/>
      <c r="E660" s="118"/>
      <c r="F660" s="262"/>
      <c r="G660" s="264"/>
      <c r="H660" s="264"/>
      <c r="I660" s="267"/>
      <c r="J660" s="118"/>
      <c r="K660" s="136"/>
      <c r="L660" s="118"/>
      <c r="M660" s="136"/>
      <c r="N660" s="118"/>
      <c r="O660" s="136"/>
      <c r="P660" s="272"/>
      <c r="Q660" s="272"/>
      <c r="R660" s="272"/>
      <c r="S660" s="272"/>
      <c r="T660" s="272"/>
      <c r="U660" s="272"/>
      <c r="V660" s="273"/>
      <c r="W660" s="253"/>
      <c r="X660" s="253"/>
      <c r="Y660" s="253"/>
      <c r="Z660" s="253"/>
      <c r="AA660" s="253"/>
      <c r="AB660" s="218"/>
    </row>
    <row r="661">
      <c r="A661" s="118"/>
      <c r="B661" s="118"/>
      <c r="C661" s="143"/>
      <c r="D661" s="118"/>
      <c r="E661" s="118"/>
      <c r="F661" s="262"/>
      <c r="G661" s="264"/>
      <c r="H661" s="264"/>
      <c r="I661" s="267"/>
      <c r="J661" s="118"/>
      <c r="K661" s="136"/>
      <c r="L661" s="118"/>
      <c r="M661" s="136"/>
      <c r="N661" s="118"/>
      <c r="O661" s="136"/>
      <c r="P661" s="272"/>
      <c r="Q661" s="272"/>
      <c r="R661" s="272"/>
      <c r="S661" s="272"/>
      <c r="T661" s="272"/>
      <c r="U661" s="272"/>
      <c r="V661" s="273"/>
      <c r="W661" s="253"/>
      <c r="X661" s="253"/>
      <c r="Y661" s="253"/>
      <c r="Z661" s="253"/>
      <c r="AA661" s="253"/>
      <c r="AB661" s="218"/>
    </row>
    <row r="662">
      <c r="A662" s="118"/>
      <c r="B662" s="118"/>
      <c r="C662" s="143"/>
      <c r="D662" s="118"/>
      <c r="E662" s="118"/>
      <c r="F662" s="262"/>
      <c r="G662" s="264"/>
      <c r="H662" s="264"/>
      <c r="I662" s="267"/>
      <c r="J662" s="118"/>
      <c r="K662" s="136"/>
      <c r="L662" s="118"/>
      <c r="M662" s="136"/>
      <c r="N662" s="118"/>
      <c r="O662" s="136"/>
      <c r="P662" s="272"/>
      <c r="Q662" s="272"/>
      <c r="R662" s="272"/>
      <c r="S662" s="272"/>
      <c r="T662" s="272"/>
      <c r="U662" s="272"/>
      <c r="V662" s="273"/>
      <c r="W662" s="253"/>
      <c r="X662" s="253"/>
      <c r="Y662" s="253"/>
      <c r="Z662" s="253"/>
      <c r="AA662" s="253"/>
      <c r="AB662" s="218"/>
    </row>
    <row r="663">
      <c r="A663" s="118"/>
      <c r="B663" s="118"/>
      <c r="C663" s="143"/>
      <c r="D663" s="118"/>
      <c r="E663" s="118"/>
      <c r="F663" s="262"/>
      <c r="G663" s="264"/>
      <c r="H663" s="264"/>
      <c r="I663" s="267"/>
      <c r="J663" s="118"/>
      <c r="K663" s="136"/>
      <c r="L663" s="118"/>
      <c r="M663" s="136"/>
      <c r="N663" s="118"/>
      <c r="O663" s="136"/>
      <c r="P663" s="272"/>
      <c r="Q663" s="272"/>
      <c r="R663" s="272"/>
      <c r="S663" s="272"/>
      <c r="T663" s="272"/>
      <c r="U663" s="272"/>
      <c r="V663" s="273"/>
      <c r="W663" s="253"/>
      <c r="X663" s="253"/>
      <c r="Y663" s="253"/>
      <c r="Z663" s="253"/>
      <c r="AA663" s="253"/>
      <c r="AB663" s="218"/>
    </row>
    <row r="664">
      <c r="A664" s="118"/>
      <c r="B664" s="118"/>
      <c r="C664" s="143"/>
      <c r="D664" s="118"/>
      <c r="E664" s="118"/>
      <c r="F664" s="262"/>
      <c r="G664" s="264"/>
      <c r="H664" s="264"/>
      <c r="I664" s="267"/>
      <c r="J664" s="118"/>
      <c r="K664" s="136"/>
      <c r="L664" s="118"/>
      <c r="M664" s="136"/>
      <c r="N664" s="118"/>
      <c r="O664" s="136"/>
      <c r="P664" s="272"/>
      <c r="Q664" s="272"/>
      <c r="R664" s="272"/>
      <c r="S664" s="272"/>
      <c r="T664" s="272"/>
      <c r="U664" s="272"/>
      <c r="V664" s="273"/>
      <c r="W664" s="253"/>
      <c r="X664" s="253"/>
      <c r="Y664" s="253"/>
      <c r="Z664" s="253"/>
      <c r="AA664" s="253"/>
      <c r="AB664" s="218"/>
    </row>
    <row r="665">
      <c r="A665" s="118"/>
      <c r="B665" s="118"/>
      <c r="C665" s="143"/>
      <c r="D665" s="118"/>
      <c r="E665" s="118"/>
      <c r="F665" s="262"/>
      <c r="G665" s="264"/>
      <c r="H665" s="264"/>
      <c r="I665" s="267"/>
      <c r="J665" s="118"/>
      <c r="K665" s="136"/>
      <c r="L665" s="118"/>
      <c r="M665" s="136"/>
      <c r="N665" s="118"/>
      <c r="O665" s="136"/>
      <c r="P665" s="272"/>
      <c r="Q665" s="272"/>
      <c r="R665" s="272"/>
      <c r="S665" s="272"/>
      <c r="T665" s="272"/>
      <c r="U665" s="272"/>
      <c r="V665" s="273"/>
      <c r="W665" s="253"/>
      <c r="X665" s="253"/>
      <c r="Y665" s="253"/>
      <c r="Z665" s="253"/>
      <c r="AA665" s="253"/>
      <c r="AB665" s="218"/>
    </row>
    <row r="666">
      <c r="A666" s="118"/>
      <c r="B666" s="118"/>
      <c r="C666" s="143"/>
      <c r="D666" s="118"/>
      <c r="E666" s="118"/>
      <c r="F666" s="262"/>
      <c r="G666" s="264"/>
      <c r="H666" s="264"/>
      <c r="I666" s="267"/>
      <c r="J666" s="118"/>
      <c r="K666" s="136"/>
      <c r="L666" s="118"/>
      <c r="M666" s="136"/>
      <c r="N666" s="118"/>
      <c r="O666" s="136"/>
      <c r="P666" s="272"/>
      <c r="Q666" s="272"/>
      <c r="R666" s="272"/>
      <c r="S666" s="272"/>
      <c r="T666" s="272"/>
      <c r="U666" s="272"/>
      <c r="V666" s="273"/>
      <c r="W666" s="253"/>
      <c r="X666" s="253"/>
      <c r="Y666" s="253"/>
      <c r="Z666" s="253"/>
      <c r="AA666" s="253"/>
      <c r="AB666" s="218"/>
    </row>
    <row r="667">
      <c r="A667" s="118"/>
      <c r="B667" s="118"/>
      <c r="C667" s="143"/>
      <c r="D667" s="118"/>
      <c r="E667" s="118"/>
      <c r="F667" s="262"/>
      <c r="G667" s="264"/>
      <c r="H667" s="264"/>
      <c r="I667" s="267"/>
      <c r="J667" s="118"/>
      <c r="K667" s="136"/>
      <c r="L667" s="118"/>
      <c r="M667" s="136"/>
      <c r="N667" s="118"/>
      <c r="O667" s="136"/>
      <c r="P667" s="272"/>
      <c r="Q667" s="272"/>
      <c r="R667" s="272"/>
      <c r="S667" s="272"/>
      <c r="T667" s="272"/>
      <c r="U667" s="272"/>
      <c r="V667" s="273"/>
      <c r="W667" s="253"/>
      <c r="X667" s="253"/>
      <c r="Y667" s="253"/>
      <c r="Z667" s="253"/>
      <c r="AA667" s="253"/>
      <c r="AB667" s="218"/>
    </row>
    <row r="668">
      <c r="A668" s="118"/>
      <c r="B668" s="118"/>
      <c r="C668" s="143"/>
      <c r="D668" s="118"/>
      <c r="E668" s="118"/>
      <c r="F668" s="262"/>
      <c r="G668" s="264"/>
      <c r="H668" s="264"/>
      <c r="I668" s="267"/>
      <c r="J668" s="118"/>
      <c r="K668" s="136"/>
      <c r="L668" s="118"/>
      <c r="M668" s="136"/>
      <c r="N668" s="118"/>
      <c r="O668" s="136"/>
      <c r="P668" s="272"/>
      <c r="Q668" s="272"/>
      <c r="R668" s="272"/>
      <c r="S668" s="272"/>
      <c r="T668" s="272"/>
      <c r="U668" s="272"/>
      <c r="V668" s="273"/>
      <c r="W668" s="253"/>
      <c r="X668" s="253"/>
      <c r="Y668" s="253"/>
      <c r="Z668" s="253"/>
      <c r="AA668" s="253"/>
      <c r="AB668" s="218"/>
    </row>
    <row r="669">
      <c r="A669" s="118"/>
      <c r="B669" s="118"/>
      <c r="C669" s="143"/>
      <c r="D669" s="118"/>
      <c r="E669" s="118"/>
      <c r="F669" s="262"/>
      <c r="G669" s="264"/>
      <c r="H669" s="264"/>
      <c r="I669" s="267"/>
      <c r="J669" s="118"/>
      <c r="K669" s="136"/>
      <c r="L669" s="118"/>
      <c r="M669" s="136"/>
      <c r="N669" s="118"/>
      <c r="O669" s="136"/>
      <c r="P669" s="272"/>
      <c r="Q669" s="272"/>
      <c r="R669" s="272"/>
      <c r="S669" s="272"/>
      <c r="T669" s="272"/>
      <c r="U669" s="272"/>
      <c r="V669" s="273"/>
      <c r="W669" s="253"/>
      <c r="X669" s="253"/>
      <c r="Y669" s="253"/>
      <c r="Z669" s="253"/>
      <c r="AA669" s="253"/>
      <c r="AB669" s="218"/>
    </row>
    <row r="670">
      <c r="A670" s="118"/>
      <c r="B670" s="118"/>
      <c r="C670" s="143"/>
      <c r="D670" s="118"/>
      <c r="E670" s="118"/>
      <c r="F670" s="262"/>
      <c r="G670" s="264"/>
      <c r="H670" s="264"/>
      <c r="I670" s="267"/>
      <c r="J670" s="118"/>
      <c r="K670" s="136"/>
      <c r="L670" s="118"/>
      <c r="M670" s="136"/>
      <c r="N670" s="118"/>
      <c r="O670" s="136"/>
      <c r="P670" s="272"/>
      <c r="Q670" s="272"/>
      <c r="R670" s="272"/>
      <c r="S670" s="272"/>
      <c r="T670" s="272"/>
      <c r="U670" s="272"/>
      <c r="V670" s="273"/>
      <c r="W670" s="253"/>
      <c r="X670" s="253"/>
      <c r="Y670" s="253"/>
      <c r="Z670" s="253"/>
      <c r="AA670" s="253"/>
      <c r="AB670" s="218"/>
    </row>
    <row r="671">
      <c r="A671" s="118"/>
      <c r="B671" s="118"/>
      <c r="C671" s="143"/>
      <c r="D671" s="118"/>
      <c r="E671" s="118"/>
      <c r="F671" s="262"/>
      <c r="G671" s="264"/>
      <c r="H671" s="264"/>
      <c r="I671" s="267"/>
      <c r="J671" s="118"/>
      <c r="K671" s="136"/>
      <c r="L671" s="118"/>
      <c r="M671" s="136"/>
      <c r="N671" s="118"/>
      <c r="O671" s="136"/>
      <c r="P671" s="272"/>
      <c r="Q671" s="272"/>
      <c r="R671" s="272"/>
      <c r="S671" s="272"/>
      <c r="T671" s="272"/>
      <c r="U671" s="272"/>
      <c r="V671" s="273"/>
      <c r="W671" s="253"/>
      <c r="X671" s="253"/>
      <c r="Y671" s="253"/>
      <c r="Z671" s="253"/>
      <c r="AA671" s="253"/>
      <c r="AB671" s="218"/>
    </row>
    <row r="672">
      <c r="A672" s="118"/>
      <c r="B672" s="118"/>
      <c r="C672" s="143"/>
      <c r="D672" s="118"/>
      <c r="E672" s="118"/>
      <c r="F672" s="262"/>
      <c r="G672" s="264"/>
      <c r="H672" s="264"/>
      <c r="I672" s="267"/>
      <c r="J672" s="118"/>
      <c r="K672" s="136"/>
      <c r="L672" s="118"/>
      <c r="M672" s="136"/>
      <c r="N672" s="118"/>
      <c r="O672" s="136"/>
      <c r="P672" s="272"/>
      <c r="Q672" s="272"/>
      <c r="R672" s="272"/>
      <c r="S672" s="272"/>
      <c r="T672" s="272"/>
      <c r="U672" s="272"/>
      <c r="V672" s="273"/>
      <c r="W672" s="253"/>
      <c r="X672" s="253"/>
      <c r="Y672" s="253"/>
      <c r="Z672" s="253"/>
      <c r="AA672" s="253"/>
      <c r="AB672" s="218"/>
    </row>
    <row r="673">
      <c r="A673" s="118"/>
      <c r="B673" s="118"/>
      <c r="C673" s="143"/>
      <c r="D673" s="118"/>
      <c r="E673" s="118"/>
      <c r="F673" s="262"/>
      <c r="G673" s="264"/>
      <c r="H673" s="264"/>
      <c r="I673" s="267"/>
      <c r="J673" s="118"/>
      <c r="K673" s="136"/>
      <c r="L673" s="118"/>
      <c r="M673" s="136"/>
      <c r="N673" s="118"/>
      <c r="O673" s="136"/>
      <c r="P673" s="272"/>
      <c r="Q673" s="272"/>
      <c r="R673" s="272"/>
      <c r="S673" s="272"/>
      <c r="T673" s="272"/>
      <c r="U673" s="272"/>
      <c r="V673" s="273"/>
      <c r="W673" s="253"/>
      <c r="X673" s="253"/>
      <c r="Y673" s="253"/>
      <c r="Z673" s="253"/>
      <c r="AA673" s="253"/>
      <c r="AB673" s="218"/>
    </row>
    <row r="674">
      <c r="A674" s="118"/>
      <c r="B674" s="118"/>
      <c r="C674" s="143"/>
      <c r="D674" s="118"/>
      <c r="E674" s="118"/>
      <c r="F674" s="262"/>
      <c r="G674" s="264"/>
      <c r="H674" s="264"/>
      <c r="I674" s="267"/>
      <c r="J674" s="118"/>
      <c r="K674" s="136"/>
      <c r="L674" s="118"/>
      <c r="M674" s="136"/>
      <c r="N674" s="118"/>
      <c r="O674" s="136"/>
      <c r="P674" s="272"/>
      <c r="Q674" s="272"/>
      <c r="R674" s="272"/>
      <c r="S674" s="272"/>
      <c r="T674" s="272"/>
      <c r="U674" s="272"/>
      <c r="V674" s="273"/>
      <c r="W674" s="253"/>
      <c r="X674" s="253"/>
      <c r="Y674" s="253"/>
      <c r="Z674" s="253"/>
      <c r="AA674" s="253"/>
      <c r="AB674" s="218"/>
    </row>
    <row r="675">
      <c r="A675" s="118"/>
      <c r="B675" s="118"/>
      <c r="C675" s="143"/>
      <c r="D675" s="118"/>
      <c r="E675" s="118"/>
      <c r="F675" s="262"/>
      <c r="G675" s="264"/>
      <c r="H675" s="264"/>
      <c r="I675" s="267"/>
      <c r="J675" s="118"/>
      <c r="K675" s="136"/>
      <c r="L675" s="118"/>
      <c r="M675" s="136"/>
      <c r="N675" s="118"/>
      <c r="O675" s="136"/>
      <c r="P675" s="272"/>
      <c r="Q675" s="272"/>
      <c r="R675" s="272"/>
      <c r="S675" s="272"/>
      <c r="T675" s="272"/>
      <c r="U675" s="272"/>
      <c r="V675" s="273"/>
      <c r="W675" s="253"/>
      <c r="X675" s="253"/>
      <c r="Y675" s="253"/>
      <c r="Z675" s="253"/>
      <c r="AA675" s="253"/>
      <c r="AB675" s="218"/>
    </row>
    <row r="676">
      <c r="A676" s="118"/>
      <c r="B676" s="118"/>
      <c r="C676" s="143"/>
      <c r="D676" s="118"/>
      <c r="E676" s="118"/>
      <c r="F676" s="262"/>
      <c r="G676" s="264"/>
      <c r="H676" s="264"/>
      <c r="I676" s="267"/>
      <c r="J676" s="118"/>
      <c r="K676" s="136"/>
      <c r="L676" s="118"/>
      <c r="M676" s="136"/>
      <c r="N676" s="118"/>
      <c r="O676" s="136"/>
      <c r="P676" s="272"/>
      <c r="Q676" s="272"/>
      <c r="R676" s="272"/>
      <c r="S676" s="272"/>
      <c r="T676" s="272"/>
      <c r="U676" s="272"/>
      <c r="V676" s="273"/>
      <c r="W676" s="253"/>
      <c r="X676" s="253"/>
      <c r="Y676" s="253"/>
      <c r="Z676" s="253"/>
      <c r="AA676" s="253"/>
      <c r="AB676" s="218"/>
    </row>
    <row r="677">
      <c r="A677" s="118"/>
      <c r="B677" s="118"/>
      <c r="C677" s="143"/>
      <c r="D677" s="118"/>
      <c r="E677" s="118"/>
      <c r="F677" s="262"/>
      <c r="G677" s="264"/>
      <c r="H677" s="264"/>
      <c r="I677" s="267"/>
      <c r="J677" s="118"/>
      <c r="K677" s="136"/>
      <c r="L677" s="118"/>
      <c r="M677" s="136"/>
      <c r="N677" s="118"/>
      <c r="O677" s="136"/>
      <c r="P677" s="272"/>
      <c r="Q677" s="272"/>
      <c r="R677" s="272"/>
      <c r="S677" s="272"/>
      <c r="T677" s="272"/>
      <c r="U677" s="272"/>
      <c r="V677" s="273"/>
      <c r="W677" s="253"/>
      <c r="X677" s="253"/>
      <c r="Y677" s="253"/>
      <c r="Z677" s="253"/>
      <c r="AA677" s="253"/>
      <c r="AB677" s="218"/>
    </row>
    <row r="678">
      <c r="A678" s="118"/>
      <c r="B678" s="118"/>
      <c r="C678" s="143"/>
      <c r="D678" s="118"/>
      <c r="E678" s="118"/>
      <c r="F678" s="262"/>
      <c r="G678" s="264"/>
      <c r="H678" s="264"/>
      <c r="I678" s="267"/>
      <c r="J678" s="118"/>
      <c r="K678" s="136"/>
      <c r="L678" s="118"/>
      <c r="M678" s="136"/>
      <c r="N678" s="118"/>
      <c r="O678" s="136"/>
      <c r="P678" s="272"/>
      <c r="Q678" s="272"/>
      <c r="R678" s="272"/>
      <c r="S678" s="272"/>
      <c r="T678" s="272"/>
      <c r="U678" s="272"/>
      <c r="V678" s="273"/>
      <c r="W678" s="253"/>
      <c r="X678" s="253"/>
      <c r="Y678" s="253"/>
      <c r="Z678" s="253"/>
      <c r="AA678" s="253"/>
      <c r="AB678" s="218"/>
    </row>
    <row r="679">
      <c r="A679" s="118"/>
      <c r="B679" s="118"/>
      <c r="C679" s="143"/>
      <c r="D679" s="118"/>
      <c r="E679" s="118"/>
      <c r="F679" s="262"/>
      <c r="G679" s="264"/>
      <c r="H679" s="264"/>
      <c r="I679" s="267"/>
      <c r="J679" s="118"/>
      <c r="K679" s="136"/>
      <c r="L679" s="118"/>
      <c r="M679" s="136"/>
      <c r="N679" s="118"/>
      <c r="O679" s="136"/>
      <c r="P679" s="272"/>
      <c r="Q679" s="272"/>
      <c r="R679" s="272"/>
      <c r="S679" s="272"/>
      <c r="T679" s="272"/>
      <c r="U679" s="272"/>
      <c r="V679" s="273"/>
      <c r="W679" s="253"/>
      <c r="X679" s="253"/>
      <c r="Y679" s="253"/>
      <c r="Z679" s="253"/>
      <c r="AA679" s="253"/>
      <c r="AB679" s="218"/>
    </row>
    <row r="680">
      <c r="A680" s="118"/>
      <c r="B680" s="118"/>
      <c r="C680" s="143"/>
      <c r="D680" s="118"/>
      <c r="E680" s="118"/>
      <c r="F680" s="262"/>
      <c r="G680" s="264"/>
      <c r="H680" s="264"/>
      <c r="I680" s="267"/>
      <c r="J680" s="118"/>
      <c r="K680" s="136"/>
      <c r="L680" s="118"/>
      <c r="M680" s="136"/>
      <c r="N680" s="118"/>
      <c r="O680" s="136"/>
      <c r="P680" s="272"/>
      <c r="Q680" s="272"/>
      <c r="R680" s="272"/>
      <c r="S680" s="272"/>
      <c r="T680" s="272"/>
      <c r="U680" s="272"/>
      <c r="V680" s="273"/>
      <c r="W680" s="253"/>
      <c r="X680" s="253"/>
      <c r="Y680" s="253"/>
      <c r="Z680" s="253"/>
      <c r="AA680" s="253"/>
      <c r="AB680" s="218"/>
    </row>
    <row r="681">
      <c r="A681" s="118"/>
      <c r="B681" s="118"/>
      <c r="C681" s="143"/>
      <c r="D681" s="118"/>
      <c r="E681" s="118"/>
      <c r="F681" s="262"/>
      <c r="G681" s="264"/>
      <c r="H681" s="264"/>
      <c r="I681" s="267"/>
      <c r="J681" s="118"/>
      <c r="K681" s="136"/>
      <c r="L681" s="118"/>
      <c r="M681" s="136"/>
      <c r="N681" s="118"/>
      <c r="O681" s="136"/>
      <c r="P681" s="272"/>
      <c r="Q681" s="272"/>
      <c r="R681" s="272"/>
      <c r="S681" s="272"/>
      <c r="T681" s="272"/>
      <c r="U681" s="272"/>
      <c r="V681" s="273"/>
      <c r="W681" s="253"/>
      <c r="X681" s="253"/>
      <c r="Y681" s="253"/>
      <c r="Z681" s="253"/>
      <c r="AA681" s="253"/>
      <c r="AB681" s="218"/>
    </row>
    <row r="682">
      <c r="A682" s="118"/>
      <c r="B682" s="118"/>
      <c r="C682" s="143"/>
      <c r="D682" s="118"/>
      <c r="E682" s="118"/>
      <c r="F682" s="262"/>
      <c r="G682" s="264"/>
      <c r="H682" s="264"/>
      <c r="I682" s="267"/>
      <c r="J682" s="118"/>
      <c r="K682" s="136"/>
      <c r="L682" s="118"/>
      <c r="M682" s="136"/>
      <c r="N682" s="118"/>
      <c r="O682" s="136"/>
      <c r="P682" s="272"/>
      <c r="Q682" s="272"/>
      <c r="R682" s="272"/>
      <c r="S682" s="272"/>
      <c r="T682" s="272"/>
      <c r="U682" s="272"/>
      <c r="V682" s="273"/>
      <c r="W682" s="253"/>
      <c r="X682" s="253"/>
      <c r="Y682" s="253"/>
      <c r="Z682" s="253"/>
      <c r="AA682" s="253"/>
      <c r="AB682" s="218"/>
    </row>
    <row r="683">
      <c r="A683" s="118"/>
      <c r="B683" s="118"/>
      <c r="C683" s="143"/>
      <c r="D683" s="118"/>
      <c r="E683" s="118"/>
      <c r="F683" s="262"/>
      <c r="G683" s="264"/>
      <c r="H683" s="264"/>
      <c r="I683" s="267"/>
      <c r="J683" s="118"/>
      <c r="K683" s="136"/>
      <c r="L683" s="118"/>
      <c r="M683" s="136"/>
      <c r="N683" s="118"/>
      <c r="O683" s="136"/>
      <c r="P683" s="272"/>
      <c r="Q683" s="272"/>
      <c r="R683" s="272"/>
      <c r="S683" s="272"/>
      <c r="T683" s="272"/>
      <c r="U683" s="272"/>
      <c r="V683" s="273"/>
      <c r="W683" s="253"/>
      <c r="X683" s="253"/>
      <c r="Y683" s="253"/>
      <c r="Z683" s="253"/>
      <c r="AA683" s="253"/>
      <c r="AB683" s="218"/>
    </row>
    <row r="684">
      <c r="A684" s="118"/>
      <c r="B684" s="118"/>
      <c r="C684" s="143"/>
      <c r="D684" s="118"/>
      <c r="E684" s="118"/>
      <c r="F684" s="262"/>
      <c r="G684" s="264"/>
      <c r="H684" s="264"/>
      <c r="I684" s="267"/>
      <c r="J684" s="118"/>
      <c r="K684" s="136"/>
      <c r="L684" s="118"/>
      <c r="M684" s="136"/>
      <c r="N684" s="118"/>
      <c r="O684" s="136"/>
      <c r="P684" s="272"/>
      <c r="Q684" s="272"/>
      <c r="R684" s="272"/>
      <c r="S684" s="272"/>
      <c r="T684" s="272"/>
      <c r="U684" s="272"/>
      <c r="V684" s="273"/>
      <c r="W684" s="253"/>
      <c r="X684" s="253"/>
      <c r="Y684" s="253"/>
      <c r="Z684" s="253"/>
      <c r="AA684" s="253"/>
      <c r="AB684" s="218"/>
    </row>
    <row r="685">
      <c r="A685" s="118"/>
      <c r="B685" s="118"/>
      <c r="C685" s="143"/>
      <c r="D685" s="118"/>
      <c r="E685" s="118"/>
      <c r="F685" s="262"/>
      <c r="G685" s="264"/>
      <c r="H685" s="264"/>
      <c r="I685" s="267"/>
      <c r="J685" s="118"/>
      <c r="K685" s="136"/>
      <c r="L685" s="118"/>
      <c r="M685" s="136"/>
      <c r="N685" s="118"/>
      <c r="O685" s="136"/>
      <c r="P685" s="272"/>
      <c r="Q685" s="272"/>
      <c r="R685" s="272"/>
      <c r="S685" s="272"/>
      <c r="T685" s="272"/>
      <c r="U685" s="272"/>
      <c r="V685" s="273"/>
      <c r="W685" s="253"/>
      <c r="X685" s="253"/>
      <c r="Y685" s="253"/>
      <c r="Z685" s="253"/>
      <c r="AA685" s="253"/>
      <c r="AB685" s="218"/>
    </row>
    <row r="686">
      <c r="A686" s="118"/>
      <c r="B686" s="118"/>
      <c r="C686" s="143"/>
      <c r="D686" s="118"/>
      <c r="E686" s="118"/>
      <c r="F686" s="262"/>
      <c r="G686" s="264"/>
      <c r="H686" s="264"/>
      <c r="I686" s="267"/>
      <c r="J686" s="118"/>
      <c r="K686" s="136"/>
      <c r="L686" s="118"/>
      <c r="M686" s="136"/>
      <c r="N686" s="118"/>
      <c r="O686" s="136"/>
      <c r="P686" s="272"/>
      <c r="Q686" s="272"/>
      <c r="R686" s="272"/>
      <c r="S686" s="272"/>
      <c r="T686" s="272"/>
      <c r="U686" s="272"/>
      <c r="V686" s="273"/>
      <c r="W686" s="253"/>
      <c r="X686" s="253"/>
      <c r="Y686" s="253"/>
      <c r="Z686" s="253"/>
      <c r="AA686" s="253"/>
      <c r="AB686" s="218"/>
    </row>
    <row r="687">
      <c r="A687" s="118"/>
      <c r="B687" s="118"/>
      <c r="C687" s="143"/>
      <c r="D687" s="118"/>
      <c r="E687" s="118"/>
      <c r="F687" s="262"/>
      <c r="G687" s="264"/>
      <c r="H687" s="264"/>
      <c r="I687" s="267"/>
      <c r="J687" s="118"/>
      <c r="K687" s="136"/>
      <c r="L687" s="118"/>
      <c r="M687" s="136"/>
      <c r="N687" s="118"/>
      <c r="O687" s="136"/>
      <c r="P687" s="272"/>
      <c r="Q687" s="272"/>
      <c r="R687" s="272"/>
      <c r="S687" s="272"/>
      <c r="T687" s="272"/>
      <c r="U687" s="272"/>
      <c r="V687" s="273"/>
      <c r="W687" s="253"/>
      <c r="X687" s="253"/>
      <c r="Y687" s="253"/>
      <c r="Z687" s="253"/>
      <c r="AA687" s="253"/>
      <c r="AB687" s="218"/>
    </row>
    <row r="688">
      <c r="A688" s="118"/>
      <c r="B688" s="118"/>
      <c r="C688" s="143"/>
      <c r="D688" s="118"/>
      <c r="E688" s="118"/>
      <c r="F688" s="262"/>
      <c r="G688" s="264"/>
      <c r="H688" s="264"/>
      <c r="I688" s="267"/>
      <c r="J688" s="118"/>
      <c r="K688" s="136"/>
      <c r="L688" s="118"/>
      <c r="M688" s="136"/>
      <c r="N688" s="118"/>
      <c r="O688" s="136"/>
      <c r="P688" s="272"/>
      <c r="Q688" s="272"/>
      <c r="R688" s="272"/>
      <c r="S688" s="272"/>
      <c r="T688" s="272"/>
      <c r="U688" s="272"/>
      <c r="V688" s="273"/>
      <c r="W688" s="253"/>
      <c r="X688" s="253"/>
      <c r="Y688" s="253"/>
      <c r="Z688" s="253"/>
      <c r="AA688" s="253"/>
      <c r="AB688" s="218"/>
    </row>
    <row r="689">
      <c r="A689" s="118"/>
      <c r="B689" s="118"/>
      <c r="C689" s="143"/>
      <c r="D689" s="118"/>
      <c r="E689" s="118"/>
      <c r="F689" s="262"/>
      <c r="G689" s="264"/>
      <c r="H689" s="264"/>
      <c r="I689" s="267"/>
      <c r="J689" s="118"/>
      <c r="K689" s="136"/>
      <c r="L689" s="118"/>
      <c r="M689" s="136"/>
      <c r="N689" s="118"/>
      <c r="O689" s="136"/>
      <c r="P689" s="272"/>
      <c r="Q689" s="272"/>
      <c r="R689" s="272"/>
      <c r="S689" s="272"/>
      <c r="T689" s="272"/>
      <c r="U689" s="272"/>
      <c r="V689" s="273"/>
      <c r="W689" s="253"/>
      <c r="X689" s="253"/>
      <c r="Y689" s="253"/>
      <c r="Z689" s="253"/>
      <c r="AA689" s="253"/>
      <c r="AB689" s="218"/>
    </row>
    <row r="690">
      <c r="A690" s="118"/>
      <c r="B690" s="118"/>
      <c r="C690" s="143"/>
      <c r="D690" s="118"/>
      <c r="E690" s="118"/>
      <c r="F690" s="262"/>
      <c r="G690" s="264"/>
      <c r="H690" s="264"/>
      <c r="I690" s="267"/>
      <c r="J690" s="118"/>
      <c r="K690" s="136"/>
      <c r="L690" s="118"/>
      <c r="M690" s="136"/>
      <c r="N690" s="118"/>
      <c r="O690" s="136"/>
      <c r="P690" s="272"/>
      <c r="Q690" s="272"/>
      <c r="R690" s="272"/>
      <c r="S690" s="272"/>
      <c r="T690" s="272"/>
      <c r="U690" s="272"/>
      <c r="V690" s="273"/>
      <c r="W690" s="253"/>
      <c r="X690" s="253"/>
      <c r="Y690" s="253"/>
      <c r="Z690" s="253"/>
      <c r="AA690" s="253"/>
      <c r="AB690" s="218"/>
    </row>
    <row r="691">
      <c r="A691" s="118"/>
      <c r="B691" s="118"/>
      <c r="C691" s="143"/>
      <c r="D691" s="118"/>
      <c r="E691" s="118"/>
      <c r="F691" s="262"/>
      <c r="G691" s="264"/>
      <c r="H691" s="264"/>
      <c r="I691" s="267"/>
      <c r="J691" s="118"/>
      <c r="K691" s="136"/>
      <c r="L691" s="118"/>
      <c r="M691" s="136"/>
      <c r="N691" s="118"/>
      <c r="O691" s="136"/>
      <c r="P691" s="272"/>
      <c r="Q691" s="272"/>
      <c r="R691" s="272"/>
      <c r="S691" s="272"/>
      <c r="T691" s="272"/>
      <c r="U691" s="272"/>
      <c r="V691" s="273"/>
      <c r="W691" s="253"/>
      <c r="X691" s="253"/>
      <c r="Y691" s="253"/>
      <c r="Z691" s="253"/>
      <c r="AA691" s="253"/>
      <c r="AB691" s="218"/>
    </row>
    <row r="692">
      <c r="A692" s="118"/>
      <c r="B692" s="118"/>
      <c r="C692" s="143"/>
      <c r="D692" s="118"/>
      <c r="E692" s="118"/>
      <c r="F692" s="262"/>
      <c r="G692" s="264"/>
      <c r="H692" s="264"/>
      <c r="I692" s="267"/>
      <c r="J692" s="118"/>
      <c r="K692" s="136"/>
      <c r="L692" s="118"/>
      <c r="M692" s="136"/>
      <c r="N692" s="118"/>
      <c r="O692" s="136"/>
      <c r="P692" s="272"/>
      <c r="Q692" s="272"/>
      <c r="R692" s="272"/>
      <c r="S692" s="272"/>
      <c r="T692" s="272"/>
      <c r="U692" s="272"/>
      <c r="V692" s="273"/>
      <c r="W692" s="253"/>
      <c r="X692" s="253"/>
      <c r="Y692" s="253"/>
      <c r="Z692" s="253"/>
      <c r="AA692" s="253"/>
      <c r="AB692" s="218"/>
    </row>
    <row r="693">
      <c r="A693" s="118"/>
      <c r="B693" s="118"/>
      <c r="C693" s="143"/>
      <c r="D693" s="118"/>
      <c r="E693" s="118"/>
      <c r="F693" s="262"/>
      <c r="G693" s="264"/>
      <c r="H693" s="264"/>
      <c r="I693" s="267"/>
      <c r="J693" s="118"/>
      <c r="K693" s="136"/>
      <c r="L693" s="118"/>
      <c r="M693" s="136"/>
      <c r="N693" s="118"/>
      <c r="O693" s="136"/>
      <c r="P693" s="272"/>
      <c r="Q693" s="272"/>
      <c r="R693" s="272"/>
      <c r="S693" s="272"/>
      <c r="T693" s="272"/>
      <c r="U693" s="272"/>
      <c r="V693" s="273"/>
      <c r="W693" s="253"/>
      <c r="X693" s="253"/>
      <c r="Y693" s="253"/>
      <c r="Z693" s="253"/>
      <c r="AA693" s="253"/>
      <c r="AB693" s="218"/>
    </row>
    <row r="694">
      <c r="A694" s="118"/>
      <c r="B694" s="118"/>
      <c r="C694" s="143"/>
      <c r="D694" s="118"/>
      <c r="E694" s="118"/>
      <c r="F694" s="262"/>
      <c r="G694" s="264"/>
      <c r="H694" s="264"/>
      <c r="I694" s="267"/>
      <c r="J694" s="118"/>
      <c r="K694" s="136"/>
      <c r="L694" s="118"/>
      <c r="M694" s="136"/>
      <c r="N694" s="118"/>
      <c r="O694" s="136"/>
      <c r="P694" s="272"/>
      <c r="Q694" s="272"/>
      <c r="R694" s="272"/>
      <c r="S694" s="272"/>
      <c r="T694" s="272"/>
      <c r="U694" s="272"/>
      <c r="V694" s="273"/>
      <c r="W694" s="253"/>
      <c r="X694" s="253"/>
      <c r="Y694" s="253"/>
      <c r="Z694" s="253"/>
      <c r="AA694" s="253"/>
      <c r="AB694" s="218"/>
    </row>
    <row r="695">
      <c r="A695" s="118"/>
      <c r="B695" s="118"/>
      <c r="C695" s="143"/>
      <c r="D695" s="118"/>
      <c r="E695" s="118"/>
      <c r="F695" s="262"/>
      <c r="G695" s="264"/>
      <c r="H695" s="264"/>
      <c r="I695" s="267"/>
      <c r="J695" s="118"/>
      <c r="K695" s="136"/>
      <c r="L695" s="118"/>
      <c r="M695" s="136"/>
      <c r="N695" s="118"/>
      <c r="O695" s="136"/>
      <c r="P695" s="272"/>
      <c r="Q695" s="272"/>
      <c r="R695" s="272"/>
      <c r="S695" s="272"/>
      <c r="T695" s="272"/>
      <c r="U695" s="272"/>
      <c r="V695" s="273"/>
      <c r="W695" s="253"/>
      <c r="X695" s="253"/>
      <c r="Y695" s="253"/>
      <c r="Z695" s="253"/>
      <c r="AA695" s="253"/>
      <c r="AB695" s="218"/>
    </row>
    <row r="696">
      <c r="A696" s="118"/>
      <c r="B696" s="118"/>
      <c r="C696" s="143"/>
      <c r="D696" s="118"/>
      <c r="E696" s="118"/>
      <c r="F696" s="262"/>
      <c r="G696" s="264"/>
      <c r="H696" s="264"/>
      <c r="I696" s="267"/>
      <c r="J696" s="118"/>
      <c r="K696" s="136"/>
      <c r="L696" s="118"/>
      <c r="M696" s="136"/>
      <c r="N696" s="118"/>
      <c r="O696" s="136"/>
      <c r="P696" s="272"/>
      <c r="Q696" s="272"/>
      <c r="R696" s="272"/>
      <c r="S696" s="272"/>
      <c r="T696" s="272"/>
      <c r="U696" s="272"/>
      <c r="V696" s="273"/>
      <c r="W696" s="253"/>
      <c r="X696" s="253"/>
      <c r="Y696" s="253"/>
      <c r="Z696" s="253"/>
      <c r="AA696" s="253"/>
      <c r="AB696" s="218"/>
    </row>
    <row r="697">
      <c r="A697" s="118"/>
      <c r="B697" s="118"/>
      <c r="C697" s="143"/>
      <c r="D697" s="118"/>
      <c r="E697" s="118"/>
      <c r="F697" s="262"/>
      <c r="G697" s="264"/>
      <c r="H697" s="264"/>
      <c r="I697" s="267"/>
      <c r="J697" s="118"/>
      <c r="K697" s="136"/>
      <c r="L697" s="118"/>
      <c r="M697" s="136"/>
      <c r="N697" s="118"/>
      <c r="O697" s="136"/>
      <c r="P697" s="272"/>
      <c r="Q697" s="272"/>
      <c r="R697" s="272"/>
      <c r="S697" s="272"/>
      <c r="T697" s="272"/>
      <c r="U697" s="272"/>
      <c r="V697" s="273"/>
      <c r="W697" s="253"/>
      <c r="X697" s="253"/>
      <c r="Y697" s="253"/>
      <c r="Z697" s="253"/>
      <c r="AA697" s="253"/>
      <c r="AB697" s="218"/>
    </row>
    <row r="698">
      <c r="A698" s="118"/>
      <c r="B698" s="118"/>
      <c r="C698" s="143"/>
      <c r="D698" s="118"/>
      <c r="E698" s="118"/>
      <c r="F698" s="262"/>
      <c r="G698" s="264"/>
      <c r="H698" s="264"/>
      <c r="I698" s="267"/>
      <c r="J698" s="118"/>
      <c r="K698" s="136"/>
      <c r="L698" s="118"/>
      <c r="M698" s="136"/>
      <c r="N698" s="118"/>
      <c r="O698" s="136"/>
      <c r="P698" s="272"/>
      <c r="Q698" s="272"/>
      <c r="R698" s="272"/>
      <c r="S698" s="272"/>
      <c r="T698" s="272"/>
      <c r="U698" s="272"/>
      <c r="V698" s="273"/>
      <c r="W698" s="253"/>
      <c r="X698" s="253"/>
      <c r="Y698" s="253"/>
      <c r="Z698" s="253"/>
      <c r="AA698" s="253"/>
      <c r="AB698" s="218"/>
    </row>
    <row r="699">
      <c r="A699" s="118"/>
      <c r="B699" s="118"/>
      <c r="C699" s="143"/>
      <c r="D699" s="118"/>
      <c r="E699" s="118"/>
      <c r="F699" s="262"/>
      <c r="G699" s="264"/>
      <c r="H699" s="264"/>
      <c r="I699" s="267"/>
      <c r="J699" s="118"/>
      <c r="K699" s="136"/>
      <c r="L699" s="118"/>
      <c r="M699" s="136"/>
      <c r="N699" s="118"/>
      <c r="O699" s="136"/>
      <c r="P699" s="272"/>
      <c r="Q699" s="272"/>
      <c r="R699" s="272"/>
      <c r="S699" s="272"/>
      <c r="T699" s="272"/>
      <c r="U699" s="272"/>
      <c r="V699" s="273"/>
      <c r="W699" s="253"/>
      <c r="X699" s="253"/>
      <c r="Y699" s="253"/>
      <c r="Z699" s="253"/>
      <c r="AA699" s="253"/>
      <c r="AB699" s="218"/>
    </row>
    <row r="700">
      <c r="A700" s="118"/>
      <c r="B700" s="118"/>
      <c r="C700" s="143"/>
      <c r="D700" s="118"/>
      <c r="E700" s="118"/>
      <c r="F700" s="262"/>
      <c r="G700" s="264"/>
      <c r="H700" s="264"/>
      <c r="I700" s="267"/>
      <c r="J700" s="118"/>
      <c r="K700" s="136"/>
      <c r="L700" s="118"/>
      <c r="M700" s="136"/>
      <c r="N700" s="118"/>
      <c r="O700" s="136"/>
      <c r="P700" s="272"/>
      <c r="Q700" s="272"/>
      <c r="R700" s="272"/>
      <c r="S700" s="272"/>
      <c r="T700" s="272"/>
      <c r="U700" s="272"/>
      <c r="V700" s="273"/>
      <c r="W700" s="253"/>
      <c r="X700" s="253"/>
      <c r="Y700" s="253"/>
      <c r="Z700" s="253"/>
      <c r="AA700" s="253"/>
      <c r="AB700" s="218"/>
    </row>
    <row r="701">
      <c r="A701" s="118"/>
      <c r="B701" s="118"/>
      <c r="C701" s="143"/>
      <c r="D701" s="118"/>
      <c r="E701" s="118"/>
      <c r="F701" s="262"/>
      <c r="G701" s="264"/>
      <c r="H701" s="264"/>
      <c r="I701" s="267"/>
      <c r="J701" s="118"/>
      <c r="K701" s="136"/>
      <c r="L701" s="118"/>
      <c r="M701" s="136"/>
      <c r="N701" s="118"/>
      <c r="O701" s="136"/>
      <c r="P701" s="272"/>
      <c r="Q701" s="272"/>
      <c r="R701" s="272"/>
      <c r="S701" s="272"/>
      <c r="T701" s="272"/>
      <c r="U701" s="272"/>
      <c r="V701" s="273"/>
      <c r="W701" s="253"/>
      <c r="X701" s="253"/>
      <c r="Y701" s="253"/>
      <c r="Z701" s="253"/>
      <c r="AA701" s="253"/>
      <c r="AB701" s="218"/>
    </row>
    <row r="702">
      <c r="A702" s="118"/>
      <c r="B702" s="118"/>
      <c r="C702" s="143"/>
      <c r="D702" s="118"/>
      <c r="E702" s="118"/>
      <c r="F702" s="262"/>
      <c r="G702" s="264"/>
      <c r="H702" s="264"/>
      <c r="I702" s="267"/>
      <c r="J702" s="118"/>
      <c r="K702" s="136"/>
      <c r="L702" s="118"/>
      <c r="M702" s="136"/>
      <c r="N702" s="118"/>
      <c r="O702" s="136"/>
      <c r="P702" s="272"/>
      <c r="Q702" s="272"/>
      <c r="R702" s="272"/>
      <c r="S702" s="272"/>
      <c r="T702" s="272"/>
      <c r="U702" s="272"/>
      <c r="V702" s="273"/>
      <c r="W702" s="253"/>
      <c r="X702" s="253"/>
      <c r="Y702" s="253"/>
      <c r="Z702" s="253"/>
      <c r="AA702" s="253"/>
      <c r="AB702" s="218"/>
    </row>
    <row r="703">
      <c r="A703" s="118"/>
      <c r="B703" s="118"/>
      <c r="C703" s="143"/>
      <c r="D703" s="118"/>
      <c r="E703" s="118"/>
      <c r="F703" s="262"/>
      <c r="G703" s="264"/>
      <c r="H703" s="264"/>
      <c r="I703" s="267"/>
      <c r="J703" s="118"/>
      <c r="K703" s="136"/>
      <c r="L703" s="118"/>
      <c r="M703" s="136"/>
      <c r="N703" s="118"/>
      <c r="O703" s="136"/>
      <c r="P703" s="272"/>
      <c r="Q703" s="272"/>
      <c r="R703" s="272"/>
      <c r="S703" s="272"/>
      <c r="T703" s="272"/>
      <c r="U703" s="272"/>
      <c r="V703" s="273"/>
      <c r="W703" s="253"/>
      <c r="X703" s="253"/>
      <c r="Y703" s="253"/>
      <c r="Z703" s="253"/>
      <c r="AA703" s="253"/>
      <c r="AB703" s="218"/>
    </row>
    <row r="704">
      <c r="A704" s="118"/>
      <c r="B704" s="118"/>
      <c r="C704" s="143"/>
      <c r="D704" s="118"/>
      <c r="E704" s="118"/>
      <c r="F704" s="262"/>
      <c r="G704" s="264"/>
      <c r="H704" s="264"/>
      <c r="I704" s="267"/>
      <c r="J704" s="118"/>
      <c r="K704" s="136"/>
      <c r="L704" s="118"/>
      <c r="M704" s="136"/>
      <c r="N704" s="118"/>
      <c r="O704" s="136"/>
      <c r="P704" s="272"/>
      <c r="Q704" s="272"/>
      <c r="R704" s="272"/>
      <c r="S704" s="272"/>
      <c r="T704" s="272"/>
      <c r="U704" s="272"/>
      <c r="V704" s="273"/>
      <c r="W704" s="253"/>
      <c r="X704" s="253"/>
      <c r="Y704" s="253"/>
      <c r="Z704" s="253"/>
      <c r="AA704" s="253"/>
      <c r="AB704" s="218"/>
    </row>
    <row r="705">
      <c r="A705" s="118"/>
      <c r="B705" s="118"/>
      <c r="C705" s="143"/>
      <c r="D705" s="118"/>
      <c r="E705" s="118"/>
      <c r="F705" s="262"/>
      <c r="G705" s="264"/>
      <c r="H705" s="264"/>
      <c r="I705" s="267"/>
      <c r="J705" s="118"/>
      <c r="K705" s="136"/>
      <c r="L705" s="118"/>
      <c r="M705" s="136"/>
      <c r="N705" s="118"/>
      <c r="O705" s="136"/>
      <c r="P705" s="272"/>
      <c r="Q705" s="272"/>
      <c r="R705" s="272"/>
      <c r="S705" s="272"/>
      <c r="T705" s="272"/>
      <c r="U705" s="272"/>
      <c r="V705" s="273"/>
      <c r="W705" s="253"/>
      <c r="X705" s="253"/>
      <c r="Y705" s="253"/>
      <c r="Z705" s="253"/>
      <c r="AA705" s="253"/>
      <c r="AB705" s="218"/>
    </row>
    <row r="706">
      <c r="A706" s="118"/>
      <c r="B706" s="118"/>
      <c r="C706" s="143"/>
      <c r="D706" s="118"/>
      <c r="E706" s="118"/>
      <c r="F706" s="262"/>
      <c r="G706" s="264"/>
      <c r="H706" s="264"/>
      <c r="I706" s="267"/>
      <c r="J706" s="118"/>
      <c r="K706" s="136"/>
      <c r="L706" s="118"/>
      <c r="M706" s="136"/>
      <c r="N706" s="118"/>
      <c r="O706" s="136"/>
      <c r="P706" s="272"/>
      <c r="Q706" s="272"/>
      <c r="R706" s="272"/>
      <c r="S706" s="272"/>
      <c r="T706" s="272"/>
      <c r="U706" s="272"/>
      <c r="V706" s="273"/>
      <c r="W706" s="253"/>
      <c r="X706" s="253"/>
      <c r="Y706" s="253"/>
      <c r="Z706" s="253"/>
      <c r="AA706" s="253"/>
      <c r="AB706" s="218"/>
    </row>
    <row r="707">
      <c r="A707" s="118"/>
      <c r="B707" s="118"/>
      <c r="C707" s="143"/>
      <c r="D707" s="118"/>
      <c r="E707" s="118"/>
      <c r="F707" s="262"/>
      <c r="G707" s="264"/>
      <c r="H707" s="264"/>
      <c r="I707" s="267"/>
      <c r="J707" s="118"/>
      <c r="K707" s="136"/>
      <c r="L707" s="118"/>
      <c r="M707" s="136"/>
      <c r="N707" s="118"/>
      <c r="O707" s="136"/>
      <c r="P707" s="272"/>
      <c r="Q707" s="272"/>
      <c r="R707" s="272"/>
      <c r="S707" s="272"/>
      <c r="T707" s="272"/>
      <c r="U707" s="272"/>
      <c r="V707" s="273"/>
      <c r="W707" s="253"/>
      <c r="X707" s="253"/>
      <c r="Y707" s="253"/>
      <c r="Z707" s="253"/>
      <c r="AA707" s="253"/>
      <c r="AB707" s="218"/>
    </row>
    <row r="708">
      <c r="A708" s="118"/>
      <c r="B708" s="118"/>
      <c r="C708" s="143"/>
      <c r="D708" s="118"/>
      <c r="E708" s="118"/>
      <c r="F708" s="262"/>
      <c r="G708" s="264"/>
      <c r="H708" s="264"/>
      <c r="I708" s="267"/>
      <c r="J708" s="118"/>
      <c r="K708" s="136"/>
      <c r="L708" s="118"/>
      <c r="M708" s="136"/>
      <c r="N708" s="118"/>
      <c r="O708" s="136"/>
      <c r="P708" s="272"/>
      <c r="Q708" s="272"/>
      <c r="R708" s="272"/>
      <c r="S708" s="272"/>
      <c r="T708" s="272"/>
      <c r="U708" s="272"/>
      <c r="V708" s="273"/>
      <c r="W708" s="253"/>
      <c r="X708" s="253"/>
      <c r="Y708" s="253"/>
      <c r="Z708" s="253"/>
      <c r="AA708" s="253"/>
      <c r="AB708" s="218"/>
    </row>
    <row r="709">
      <c r="A709" s="118"/>
      <c r="B709" s="118"/>
      <c r="C709" s="143"/>
      <c r="D709" s="118"/>
      <c r="E709" s="118"/>
      <c r="F709" s="262"/>
      <c r="G709" s="264"/>
      <c r="H709" s="264"/>
      <c r="I709" s="267"/>
      <c r="J709" s="118"/>
      <c r="K709" s="136"/>
      <c r="L709" s="118"/>
      <c r="M709" s="136"/>
      <c r="N709" s="118"/>
      <c r="O709" s="136"/>
      <c r="P709" s="272"/>
      <c r="Q709" s="272"/>
      <c r="R709" s="272"/>
      <c r="S709" s="272"/>
      <c r="T709" s="272"/>
      <c r="U709" s="272"/>
      <c r="V709" s="273"/>
      <c r="W709" s="253"/>
      <c r="X709" s="253"/>
      <c r="Y709" s="253"/>
      <c r="Z709" s="253"/>
      <c r="AA709" s="253"/>
      <c r="AB709" s="218"/>
    </row>
    <row r="710">
      <c r="A710" s="118"/>
      <c r="B710" s="118"/>
      <c r="C710" s="143"/>
      <c r="D710" s="118"/>
      <c r="E710" s="118"/>
      <c r="F710" s="262"/>
      <c r="G710" s="264"/>
      <c r="H710" s="264"/>
      <c r="I710" s="267"/>
      <c r="J710" s="118"/>
      <c r="K710" s="136"/>
      <c r="L710" s="118"/>
      <c r="M710" s="136"/>
      <c r="N710" s="118"/>
      <c r="O710" s="136"/>
      <c r="P710" s="272"/>
      <c r="Q710" s="272"/>
      <c r="R710" s="272"/>
      <c r="S710" s="272"/>
      <c r="T710" s="272"/>
      <c r="U710" s="272"/>
      <c r="V710" s="273"/>
      <c r="W710" s="253"/>
      <c r="X710" s="253"/>
      <c r="Y710" s="253"/>
      <c r="Z710" s="253"/>
      <c r="AA710" s="253"/>
      <c r="AB710" s="218"/>
    </row>
    <row r="711">
      <c r="A711" s="118"/>
      <c r="B711" s="118"/>
      <c r="C711" s="143"/>
      <c r="D711" s="118"/>
      <c r="E711" s="118"/>
      <c r="F711" s="262"/>
      <c r="G711" s="264"/>
      <c r="H711" s="264"/>
      <c r="I711" s="267"/>
      <c r="J711" s="118"/>
      <c r="K711" s="136"/>
      <c r="L711" s="118"/>
      <c r="M711" s="136"/>
      <c r="N711" s="118"/>
      <c r="O711" s="136"/>
      <c r="P711" s="272"/>
      <c r="Q711" s="272"/>
      <c r="R711" s="272"/>
      <c r="S711" s="272"/>
      <c r="T711" s="272"/>
      <c r="U711" s="272"/>
      <c r="V711" s="273"/>
      <c r="W711" s="253"/>
      <c r="X711" s="253"/>
      <c r="Y711" s="253"/>
      <c r="Z711" s="253"/>
      <c r="AA711" s="253"/>
      <c r="AB711" s="218"/>
    </row>
    <row r="712">
      <c r="A712" s="118"/>
      <c r="B712" s="118"/>
      <c r="C712" s="143"/>
      <c r="D712" s="118"/>
      <c r="E712" s="118"/>
      <c r="F712" s="262"/>
      <c r="G712" s="264"/>
      <c r="H712" s="264"/>
      <c r="I712" s="267"/>
      <c r="J712" s="118"/>
      <c r="K712" s="136"/>
      <c r="L712" s="118"/>
      <c r="M712" s="136"/>
      <c r="N712" s="118"/>
      <c r="O712" s="136"/>
      <c r="P712" s="272"/>
      <c r="Q712" s="272"/>
      <c r="R712" s="272"/>
      <c r="S712" s="272"/>
      <c r="T712" s="272"/>
      <c r="U712" s="272"/>
      <c r="V712" s="273"/>
      <c r="W712" s="253"/>
      <c r="X712" s="253"/>
      <c r="Y712" s="253"/>
      <c r="Z712" s="253"/>
      <c r="AA712" s="253"/>
      <c r="AB712" s="218"/>
    </row>
    <row r="713">
      <c r="A713" s="118"/>
      <c r="B713" s="118"/>
      <c r="C713" s="143"/>
      <c r="D713" s="118"/>
      <c r="E713" s="118"/>
      <c r="F713" s="262"/>
      <c r="G713" s="264"/>
      <c r="H713" s="264"/>
      <c r="I713" s="267"/>
      <c r="J713" s="118"/>
      <c r="K713" s="136"/>
      <c r="L713" s="118"/>
      <c r="M713" s="136"/>
      <c r="N713" s="118"/>
      <c r="O713" s="136"/>
      <c r="P713" s="272"/>
      <c r="Q713" s="272"/>
      <c r="R713" s="272"/>
      <c r="S713" s="272"/>
      <c r="T713" s="272"/>
      <c r="U713" s="272"/>
      <c r="V713" s="273"/>
      <c r="W713" s="253"/>
      <c r="X713" s="253"/>
      <c r="Y713" s="253"/>
      <c r="Z713" s="253"/>
      <c r="AA713" s="253"/>
      <c r="AB713" s="218"/>
    </row>
    <row r="714">
      <c r="A714" s="118"/>
      <c r="B714" s="118"/>
      <c r="C714" s="143"/>
      <c r="D714" s="118"/>
      <c r="E714" s="118"/>
      <c r="F714" s="262"/>
      <c r="G714" s="264"/>
      <c r="H714" s="264"/>
      <c r="I714" s="267"/>
      <c r="J714" s="118"/>
      <c r="K714" s="136"/>
      <c r="L714" s="118"/>
      <c r="M714" s="136"/>
      <c r="N714" s="118"/>
      <c r="O714" s="136"/>
      <c r="P714" s="272"/>
      <c r="Q714" s="272"/>
      <c r="R714" s="272"/>
      <c r="S714" s="272"/>
      <c r="T714" s="272"/>
      <c r="U714" s="272"/>
      <c r="V714" s="273"/>
      <c r="W714" s="253"/>
      <c r="X714" s="253"/>
      <c r="Y714" s="253"/>
      <c r="Z714" s="253"/>
      <c r="AA714" s="253"/>
      <c r="AB714" s="218"/>
    </row>
    <row r="715">
      <c r="A715" s="118"/>
      <c r="B715" s="118"/>
      <c r="C715" s="143"/>
      <c r="D715" s="118"/>
      <c r="E715" s="118"/>
      <c r="F715" s="262"/>
      <c r="G715" s="264"/>
      <c r="H715" s="264"/>
      <c r="I715" s="267"/>
      <c r="J715" s="118"/>
      <c r="K715" s="136"/>
      <c r="L715" s="118"/>
      <c r="M715" s="136"/>
      <c r="N715" s="118"/>
      <c r="O715" s="136"/>
      <c r="P715" s="272"/>
      <c r="Q715" s="272"/>
      <c r="R715" s="272"/>
      <c r="S715" s="272"/>
      <c r="T715" s="272"/>
      <c r="U715" s="272"/>
      <c r="V715" s="273"/>
      <c r="W715" s="253"/>
      <c r="X715" s="253"/>
      <c r="Y715" s="253"/>
      <c r="Z715" s="253"/>
      <c r="AA715" s="253"/>
      <c r="AB715" s="218"/>
    </row>
    <row r="716">
      <c r="A716" s="118"/>
      <c r="B716" s="118"/>
      <c r="C716" s="143"/>
      <c r="D716" s="118"/>
      <c r="E716" s="118"/>
      <c r="F716" s="262"/>
      <c r="G716" s="264"/>
      <c r="H716" s="264"/>
      <c r="I716" s="267"/>
      <c r="J716" s="118"/>
      <c r="K716" s="136"/>
      <c r="L716" s="118"/>
      <c r="M716" s="136"/>
      <c r="N716" s="118"/>
      <c r="O716" s="136"/>
      <c r="P716" s="272"/>
      <c r="Q716" s="272"/>
      <c r="R716" s="272"/>
      <c r="S716" s="272"/>
      <c r="T716" s="272"/>
      <c r="U716" s="272"/>
      <c r="V716" s="273"/>
      <c r="W716" s="253"/>
      <c r="X716" s="253"/>
      <c r="Y716" s="253"/>
      <c r="Z716" s="253"/>
      <c r="AA716" s="253"/>
      <c r="AB716" s="218"/>
    </row>
    <row r="717">
      <c r="A717" s="118"/>
      <c r="B717" s="118"/>
      <c r="C717" s="143"/>
      <c r="D717" s="118"/>
      <c r="E717" s="118"/>
      <c r="F717" s="262"/>
      <c r="G717" s="264"/>
      <c r="H717" s="264"/>
      <c r="I717" s="267"/>
      <c r="J717" s="118"/>
      <c r="K717" s="136"/>
      <c r="L717" s="118"/>
      <c r="M717" s="136"/>
      <c r="N717" s="118"/>
      <c r="O717" s="136"/>
      <c r="P717" s="272"/>
      <c r="Q717" s="272"/>
      <c r="R717" s="272"/>
      <c r="S717" s="272"/>
      <c r="T717" s="272"/>
      <c r="U717" s="272"/>
      <c r="V717" s="273"/>
      <c r="W717" s="253"/>
      <c r="X717" s="253"/>
      <c r="Y717" s="253"/>
      <c r="Z717" s="253"/>
      <c r="AA717" s="253"/>
      <c r="AB717" s="218"/>
    </row>
    <row r="718">
      <c r="A718" s="118"/>
      <c r="B718" s="118"/>
      <c r="C718" s="143"/>
      <c r="D718" s="118"/>
      <c r="E718" s="118"/>
      <c r="F718" s="262"/>
      <c r="G718" s="264"/>
      <c r="H718" s="264"/>
      <c r="I718" s="267"/>
      <c r="J718" s="118"/>
      <c r="K718" s="136"/>
      <c r="L718" s="118"/>
      <c r="M718" s="136"/>
      <c r="N718" s="118"/>
      <c r="O718" s="136"/>
      <c r="P718" s="272"/>
      <c r="Q718" s="272"/>
      <c r="R718" s="272"/>
      <c r="S718" s="272"/>
      <c r="T718" s="272"/>
      <c r="U718" s="272"/>
      <c r="V718" s="273"/>
      <c r="W718" s="253"/>
      <c r="X718" s="253"/>
      <c r="Y718" s="253"/>
      <c r="Z718" s="253"/>
      <c r="AA718" s="253"/>
      <c r="AB718" s="218"/>
    </row>
    <row r="719">
      <c r="A719" s="118"/>
      <c r="B719" s="118"/>
      <c r="C719" s="143"/>
      <c r="D719" s="118"/>
      <c r="E719" s="118"/>
      <c r="F719" s="262"/>
      <c r="G719" s="264"/>
      <c r="H719" s="264"/>
      <c r="I719" s="267"/>
      <c r="J719" s="118"/>
      <c r="K719" s="136"/>
      <c r="L719" s="118"/>
      <c r="M719" s="136"/>
      <c r="N719" s="118"/>
      <c r="O719" s="136"/>
      <c r="P719" s="272"/>
      <c r="Q719" s="272"/>
      <c r="R719" s="272"/>
      <c r="S719" s="272"/>
      <c r="T719" s="272"/>
      <c r="U719" s="272"/>
      <c r="V719" s="273"/>
      <c r="W719" s="253"/>
      <c r="X719" s="253"/>
      <c r="Y719" s="253"/>
      <c r="Z719" s="253"/>
      <c r="AA719" s="253"/>
      <c r="AB719" s="218"/>
    </row>
    <row r="720">
      <c r="A720" s="118"/>
      <c r="B720" s="118"/>
      <c r="C720" s="143"/>
      <c r="D720" s="118"/>
      <c r="E720" s="118"/>
      <c r="F720" s="262"/>
      <c r="G720" s="264"/>
      <c r="H720" s="264"/>
      <c r="I720" s="267"/>
      <c r="J720" s="118"/>
      <c r="K720" s="136"/>
      <c r="L720" s="118"/>
      <c r="M720" s="136"/>
      <c r="N720" s="118"/>
      <c r="O720" s="136"/>
      <c r="P720" s="272"/>
      <c r="Q720" s="272"/>
      <c r="R720" s="272"/>
      <c r="S720" s="272"/>
      <c r="T720" s="272"/>
      <c r="U720" s="272"/>
      <c r="V720" s="273"/>
      <c r="W720" s="253"/>
      <c r="X720" s="253"/>
      <c r="Y720" s="253"/>
      <c r="Z720" s="253"/>
      <c r="AA720" s="253"/>
      <c r="AB720" s="218"/>
    </row>
    <row r="721">
      <c r="A721" s="118"/>
      <c r="B721" s="118"/>
      <c r="C721" s="143"/>
      <c r="D721" s="118"/>
      <c r="E721" s="118"/>
      <c r="F721" s="262"/>
      <c r="G721" s="264"/>
      <c r="H721" s="264"/>
      <c r="I721" s="267"/>
      <c r="J721" s="118"/>
      <c r="K721" s="136"/>
      <c r="L721" s="118"/>
      <c r="M721" s="136"/>
      <c r="N721" s="118"/>
      <c r="O721" s="136"/>
      <c r="P721" s="272"/>
      <c r="Q721" s="272"/>
      <c r="R721" s="272"/>
      <c r="S721" s="272"/>
      <c r="T721" s="272"/>
      <c r="U721" s="272"/>
      <c r="V721" s="273"/>
      <c r="W721" s="253"/>
      <c r="X721" s="253"/>
      <c r="Y721" s="253"/>
      <c r="Z721" s="253"/>
      <c r="AA721" s="253"/>
      <c r="AB721" s="218"/>
    </row>
    <row r="722">
      <c r="A722" s="118"/>
      <c r="B722" s="118"/>
      <c r="C722" s="143"/>
      <c r="D722" s="118"/>
      <c r="E722" s="118"/>
      <c r="F722" s="262"/>
      <c r="G722" s="264"/>
      <c r="H722" s="264"/>
      <c r="I722" s="267"/>
      <c r="J722" s="118"/>
      <c r="K722" s="136"/>
      <c r="L722" s="118"/>
      <c r="M722" s="136"/>
      <c r="N722" s="118"/>
      <c r="O722" s="136"/>
      <c r="P722" s="272"/>
      <c r="Q722" s="272"/>
      <c r="R722" s="272"/>
      <c r="S722" s="272"/>
      <c r="T722" s="272"/>
      <c r="U722" s="272"/>
      <c r="V722" s="273"/>
      <c r="W722" s="253"/>
      <c r="X722" s="253"/>
      <c r="Y722" s="253"/>
      <c r="Z722" s="253"/>
      <c r="AA722" s="253"/>
      <c r="AB722" s="218"/>
    </row>
    <row r="723">
      <c r="A723" s="118"/>
      <c r="B723" s="118"/>
      <c r="C723" s="143"/>
      <c r="D723" s="118"/>
      <c r="E723" s="118"/>
      <c r="F723" s="262"/>
      <c r="G723" s="264"/>
      <c r="H723" s="264"/>
      <c r="I723" s="267"/>
      <c r="J723" s="118"/>
      <c r="K723" s="136"/>
      <c r="L723" s="118"/>
      <c r="M723" s="136"/>
      <c r="N723" s="118"/>
      <c r="O723" s="136"/>
      <c r="P723" s="272"/>
      <c r="Q723" s="272"/>
      <c r="R723" s="272"/>
      <c r="S723" s="272"/>
      <c r="T723" s="272"/>
      <c r="U723" s="272"/>
      <c r="V723" s="273"/>
      <c r="W723" s="253"/>
      <c r="X723" s="253"/>
      <c r="Y723" s="253"/>
      <c r="Z723" s="253"/>
      <c r="AA723" s="253"/>
      <c r="AB723" s="218"/>
    </row>
    <row r="724">
      <c r="A724" s="118"/>
      <c r="B724" s="118"/>
      <c r="C724" s="143"/>
      <c r="D724" s="118"/>
      <c r="E724" s="118"/>
      <c r="F724" s="262"/>
      <c r="G724" s="264"/>
      <c r="H724" s="264"/>
      <c r="I724" s="267"/>
      <c r="J724" s="118"/>
      <c r="K724" s="136"/>
      <c r="L724" s="118"/>
      <c r="M724" s="136"/>
      <c r="N724" s="118"/>
      <c r="O724" s="136"/>
      <c r="P724" s="272"/>
      <c r="Q724" s="272"/>
      <c r="R724" s="272"/>
      <c r="S724" s="272"/>
      <c r="T724" s="272"/>
      <c r="U724" s="272"/>
      <c r="V724" s="273"/>
      <c r="W724" s="253"/>
      <c r="X724" s="253"/>
      <c r="Y724" s="253"/>
      <c r="Z724" s="253"/>
      <c r="AA724" s="253"/>
      <c r="AB724" s="218"/>
    </row>
    <row r="725">
      <c r="A725" s="118"/>
      <c r="B725" s="118"/>
      <c r="C725" s="143"/>
      <c r="D725" s="118"/>
      <c r="E725" s="118"/>
      <c r="F725" s="262"/>
      <c r="G725" s="264"/>
      <c r="H725" s="264"/>
      <c r="I725" s="267"/>
      <c r="J725" s="118"/>
      <c r="K725" s="136"/>
      <c r="L725" s="118"/>
      <c r="M725" s="136"/>
      <c r="N725" s="118"/>
      <c r="O725" s="136"/>
      <c r="P725" s="272"/>
      <c r="Q725" s="272"/>
      <c r="R725" s="272"/>
      <c r="S725" s="272"/>
      <c r="T725" s="272"/>
      <c r="U725" s="272"/>
      <c r="V725" s="273"/>
      <c r="W725" s="253"/>
      <c r="X725" s="253"/>
      <c r="Y725" s="253"/>
      <c r="Z725" s="253"/>
      <c r="AA725" s="253"/>
      <c r="AB725" s="218"/>
    </row>
    <row r="726">
      <c r="A726" s="118"/>
      <c r="B726" s="118"/>
      <c r="C726" s="143"/>
      <c r="D726" s="118"/>
      <c r="E726" s="118"/>
      <c r="F726" s="262"/>
      <c r="G726" s="264"/>
      <c r="H726" s="264"/>
      <c r="I726" s="267"/>
      <c r="J726" s="118"/>
      <c r="K726" s="136"/>
      <c r="L726" s="118"/>
      <c r="M726" s="136"/>
      <c r="N726" s="118"/>
      <c r="O726" s="136"/>
      <c r="P726" s="272"/>
      <c r="Q726" s="272"/>
      <c r="R726" s="272"/>
      <c r="S726" s="272"/>
      <c r="T726" s="272"/>
      <c r="U726" s="272"/>
      <c r="V726" s="273"/>
      <c r="W726" s="253"/>
      <c r="X726" s="253"/>
      <c r="Y726" s="253"/>
      <c r="Z726" s="253"/>
      <c r="AA726" s="253"/>
      <c r="AB726" s="218"/>
    </row>
    <row r="727">
      <c r="A727" s="118"/>
      <c r="B727" s="118"/>
      <c r="C727" s="143"/>
      <c r="D727" s="118"/>
      <c r="E727" s="118"/>
      <c r="F727" s="262"/>
      <c r="G727" s="264"/>
      <c r="H727" s="264"/>
      <c r="I727" s="267"/>
      <c r="J727" s="118"/>
      <c r="K727" s="136"/>
      <c r="L727" s="118"/>
      <c r="M727" s="136"/>
      <c r="N727" s="118"/>
      <c r="O727" s="136"/>
      <c r="P727" s="272"/>
      <c r="Q727" s="272"/>
      <c r="R727" s="272"/>
      <c r="S727" s="272"/>
      <c r="T727" s="272"/>
      <c r="U727" s="272"/>
      <c r="V727" s="273"/>
      <c r="W727" s="253"/>
      <c r="X727" s="253"/>
      <c r="Y727" s="253"/>
      <c r="Z727" s="253"/>
      <c r="AA727" s="253"/>
      <c r="AB727" s="218"/>
    </row>
    <row r="728">
      <c r="A728" s="118"/>
      <c r="B728" s="118"/>
      <c r="C728" s="143"/>
      <c r="D728" s="118"/>
      <c r="E728" s="118"/>
      <c r="F728" s="262"/>
      <c r="G728" s="264"/>
      <c r="H728" s="264"/>
      <c r="I728" s="267"/>
      <c r="J728" s="118"/>
      <c r="K728" s="136"/>
      <c r="L728" s="118"/>
      <c r="M728" s="136"/>
      <c r="N728" s="118"/>
      <c r="O728" s="136"/>
      <c r="P728" s="272"/>
      <c r="Q728" s="272"/>
      <c r="R728" s="272"/>
      <c r="S728" s="272"/>
      <c r="T728" s="272"/>
      <c r="U728" s="272"/>
      <c r="V728" s="273"/>
      <c r="W728" s="253"/>
      <c r="X728" s="253"/>
      <c r="Y728" s="253"/>
      <c r="Z728" s="253"/>
      <c r="AA728" s="253"/>
      <c r="AB728" s="218"/>
    </row>
    <row r="729">
      <c r="A729" s="118"/>
      <c r="B729" s="118"/>
      <c r="C729" s="143"/>
      <c r="D729" s="118"/>
      <c r="E729" s="118"/>
      <c r="F729" s="262"/>
      <c r="G729" s="264"/>
      <c r="H729" s="264"/>
      <c r="I729" s="267"/>
      <c r="J729" s="118"/>
      <c r="K729" s="136"/>
      <c r="L729" s="118"/>
      <c r="M729" s="136"/>
      <c r="N729" s="118"/>
      <c r="O729" s="136"/>
      <c r="P729" s="272"/>
      <c r="Q729" s="272"/>
      <c r="R729" s="272"/>
      <c r="S729" s="272"/>
      <c r="T729" s="272"/>
      <c r="U729" s="272"/>
      <c r="V729" s="273"/>
      <c r="W729" s="253"/>
      <c r="X729" s="253"/>
      <c r="Y729" s="253"/>
      <c r="Z729" s="253"/>
      <c r="AA729" s="253"/>
      <c r="AB729" s="218"/>
    </row>
    <row r="730">
      <c r="A730" s="118"/>
      <c r="B730" s="118"/>
      <c r="C730" s="143"/>
      <c r="D730" s="118"/>
      <c r="E730" s="118"/>
      <c r="F730" s="262"/>
      <c r="G730" s="264"/>
      <c r="H730" s="264"/>
      <c r="I730" s="267"/>
      <c r="J730" s="118"/>
      <c r="K730" s="136"/>
      <c r="L730" s="118"/>
      <c r="M730" s="136"/>
      <c r="N730" s="118"/>
      <c r="O730" s="136"/>
      <c r="P730" s="272"/>
      <c r="Q730" s="272"/>
      <c r="R730" s="272"/>
      <c r="S730" s="272"/>
      <c r="T730" s="272"/>
      <c r="U730" s="272"/>
      <c r="V730" s="273"/>
      <c r="W730" s="253"/>
      <c r="X730" s="253"/>
      <c r="Y730" s="253"/>
      <c r="Z730" s="253"/>
      <c r="AA730" s="253"/>
      <c r="AB730" s="218"/>
    </row>
    <row r="731">
      <c r="A731" s="118"/>
      <c r="B731" s="118"/>
      <c r="C731" s="143"/>
      <c r="D731" s="118"/>
      <c r="E731" s="118"/>
      <c r="F731" s="262"/>
      <c r="G731" s="264"/>
      <c r="H731" s="264"/>
      <c r="I731" s="267"/>
      <c r="J731" s="118"/>
      <c r="K731" s="136"/>
      <c r="L731" s="118"/>
      <c r="M731" s="136"/>
      <c r="N731" s="118"/>
      <c r="O731" s="136"/>
      <c r="P731" s="272"/>
      <c r="Q731" s="272"/>
      <c r="R731" s="272"/>
      <c r="S731" s="272"/>
      <c r="T731" s="272"/>
      <c r="U731" s="272"/>
      <c r="V731" s="273"/>
      <c r="W731" s="253"/>
      <c r="X731" s="253"/>
      <c r="Y731" s="253"/>
      <c r="Z731" s="253"/>
      <c r="AA731" s="253"/>
      <c r="AB731" s="218"/>
    </row>
    <row r="732">
      <c r="A732" s="118"/>
      <c r="B732" s="118"/>
      <c r="C732" s="143"/>
      <c r="D732" s="118"/>
      <c r="E732" s="118"/>
      <c r="F732" s="262"/>
      <c r="G732" s="264"/>
      <c r="H732" s="264"/>
      <c r="I732" s="267"/>
      <c r="J732" s="118"/>
      <c r="K732" s="136"/>
      <c r="L732" s="118"/>
      <c r="M732" s="136"/>
      <c r="N732" s="118"/>
      <c r="O732" s="136"/>
      <c r="P732" s="272"/>
      <c r="Q732" s="272"/>
      <c r="R732" s="272"/>
      <c r="S732" s="272"/>
      <c r="T732" s="272"/>
      <c r="U732" s="272"/>
      <c r="V732" s="273"/>
      <c r="W732" s="253"/>
      <c r="X732" s="253"/>
      <c r="Y732" s="253"/>
      <c r="Z732" s="253"/>
      <c r="AA732" s="253"/>
      <c r="AB732" s="218"/>
    </row>
    <row r="733">
      <c r="A733" s="118"/>
      <c r="B733" s="118"/>
      <c r="C733" s="143"/>
      <c r="D733" s="118"/>
      <c r="E733" s="118"/>
      <c r="F733" s="262"/>
      <c r="G733" s="264"/>
      <c r="H733" s="264"/>
      <c r="I733" s="267"/>
      <c r="J733" s="118"/>
      <c r="K733" s="136"/>
      <c r="L733" s="118"/>
      <c r="M733" s="136"/>
      <c r="N733" s="118"/>
      <c r="O733" s="136"/>
      <c r="P733" s="272"/>
      <c r="Q733" s="272"/>
      <c r="R733" s="272"/>
      <c r="S733" s="272"/>
      <c r="T733" s="272"/>
      <c r="U733" s="272"/>
      <c r="V733" s="273"/>
      <c r="W733" s="253"/>
      <c r="X733" s="253"/>
      <c r="Y733" s="253"/>
      <c r="Z733" s="253"/>
      <c r="AA733" s="253"/>
      <c r="AB733" s="218"/>
    </row>
    <row r="734">
      <c r="A734" s="118"/>
      <c r="B734" s="118"/>
      <c r="C734" s="143"/>
      <c r="D734" s="118"/>
      <c r="E734" s="118"/>
      <c r="F734" s="262"/>
      <c r="G734" s="264"/>
      <c r="H734" s="264"/>
      <c r="I734" s="267"/>
      <c r="J734" s="118"/>
      <c r="K734" s="136"/>
      <c r="L734" s="118"/>
      <c r="M734" s="136"/>
      <c r="N734" s="118"/>
      <c r="O734" s="136"/>
      <c r="P734" s="272"/>
      <c r="Q734" s="272"/>
      <c r="R734" s="272"/>
      <c r="S734" s="272"/>
      <c r="T734" s="272"/>
      <c r="U734" s="272"/>
      <c r="V734" s="273"/>
      <c r="W734" s="253"/>
      <c r="X734" s="253"/>
      <c r="Y734" s="253"/>
      <c r="Z734" s="253"/>
      <c r="AA734" s="253"/>
      <c r="AB734" s="218"/>
    </row>
    <row r="735">
      <c r="A735" s="118"/>
      <c r="B735" s="118"/>
      <c r="C735" s="143"/>
      <c r="D735" s="118"/>
      <c r="E735" s="118"/>
      <c r="F735" s="262"/>
      <c r="G735" s="264"/>
      <c r="H735" s="264"/>
      <c r="I735" s="267"/>
      <c r="J735" s="118"/>
      <c r="K735" s="136"/>
      <c r="L735" s="118"/>
      <c r="M735" s="136"/>
      <c r="N735" s="118"/>
      <c r="O735" s="136"/>
      <c r="P735" s="272"/>
      <c r="Q735" s="272"/>
      <c r="R735" s="272"/>
      <c r="S735" s="272"/>
      <c r="T735" s="272"/>
      <c r="U735" s="272"/>
      <c r="V735" s="273"/>
      <c r="W735" s="253"/>
      <c r="X735" s="253"/>
      <c r="Y735" s="253"/>
      <c r="Z735" s="253"/>
      <c r="AA735" s="253"/>
      <c r="AB735" s="218"/>
    </row>
    <row r="736">
      <c r="A736" s="118"/>
      <c r="B736" s="118"/>
      <c r="C736" s="143"/>
      <c r="D736" s="118"/>
      <c r="E736" s="118"/>
      <c r="F736" s="262"/>
      <c r="G736" s="264"/>
      <c r="H736" s="264"/>
      <c r="I736" s="267"/>
      <c r="J736" s="118"/>
      <c r="K736" s="136"/>
      <c r="L736" s="118"/>
      <c r="M736" s="136"/>
      <c r="N736" s="118"/>
      <c r="O736" s="136"/>
      <c r="P736" s="272"/>
      <c r="Q736" s="272"/>
      <c r="R736" s="272"/>
      <c r="S736" s="272"/>
      <c r="T736" s="272"/>
      <c r="U736" s="272"/>
      <c r="V736" s="273"/>
      <c r="W736" s="253"/>
      <c r="X736" s="253"/>
      <c r="Y736" s="253"/>
      <c r="Z736" s="253"/>
      <c r="AA736" s="253"/>
      <c r="AB736" s="218"/>
    </row>
    <row r="737">
      <c r="A737" s="118"/>
      <c r="B737" s="118"/>
      <c r="C737" s="143"/>
      <c r="D737" s="118"/>
      <c r="E737" s="118"/>
      <c r="F737" s="262"/>
      <c r="G737" s="264"/>
      <c r="H737" s="264"/>
      <c r="I737" s="267"/>
      <c r="J737" s="118"/>
      <c r="K737" s="136"/>
      <c r="L737" s="118"/>
      <c r="M737" s="136"/>
      <c r="N737" s="118"/>
      <c r="O737" s="136"/>
      <c r="P737" s="272"/>
      <c r="Q737" s="272"/>
      <c r="R737" s="272"/>
      <c r="S737" s="272"/>
      <c r="T737" s="272"/>
      <c r="U737" s="272"/>
      <c r="V737" s="273"/>
      <c r="W737" s="253"/>
      <c r="X737" s="253"/>
      <c r="Y737" s="253"/>
      <c r="Z737" s="253"/>
      <c r="AA737" s="253"/>
      <c r="AB737" s="218"/>
    </row>
    <row r="738">
      <c r="A738" s="118"/>
      <c r="B738" s="118"/>
      <c r="C738" s="143"/>
      <c r="D738" s="118"/>
      <c r="E738" s="118"/>
      <c r="F738" s="262"/>
      <c r="G738" s="264"/>
      <c r="H738" s="264"/>
      <c r="I738" s="267"/>
      <c r="J738" s="118"/>
      <c r="K738" s="136"/>
      <c r="L738" s="118"/>
      <c r="M738" s="136"/>
      <c r="N738" s="118"/>
      <c r="O738" s="136"/>
      <c r="P738" s="272"/>
      <c r="Q738" s="272"/>
      <c r="R738" s="272"/>
      <c r="S738" s="272"/>
      <c r="T738" s="272"/>
      <c r="U738" s="272"/>
      <c r="V738" s="273"/>
      <c r="W738" s="253"/>
      <c r="X738" s="253"/>
      <c r="Y738" s="253"/>
      <c r="Z738" s="253"/>
      <c r="AA738" s="253"/>
      <c r="AB738" s="218"/>
    </row>
    <row r="739">
      <c r="A739" s="118"/>
      <c r="B739" s="118"/>
      <c r="C739" s="143"/>
      <c r="D739" s="118"/>
      <c r="E739" s="118"/>
      <c r="F739" s="262"/>
      <c r="G739" s="264"/>
      <c r="H739" s="264"/>
      <c r="I739" s="267"/>
      <c r="J739" s="118"/>
      <c r="K739" s="136"/>
      <c r="L739" s="118"/>
      <c r="M739" s="136"/>
      <c r="N739" s="118"/>
      <c r="O739" s="136"/>
      <c r="P739" s="272"/>
      <c r="Q739" s="272"/>
      <c r="R739" s="272"/>
      <c r="S739" s="272"/>
      <c r="T739" s="272"/>
      <c r="U739" s="272"/>
      <c r="V739" s="273"/>
      <c r="W739" s="253"/>
      <c r="X739" s="253"/>
      <c r="Y739" s="253"/>
      <c r="Z739" s="253"/>
      <c r="AA739" s="253"/>
      <c r="AB739" s="218"/>
    </row>
    <row r="740">
      <c r="A740" s="118"/>
      <c r="B740" s="118"/>
      <c r="C740" s="143"/>
      <c r="D740" s="118"/>
      <c r="E740" s="118"/>
      <c r="F740" s="262"/>
      <c r="G740" s="264"/>
      <c r="H740" s="264"/>
      <c r="I740" s="267"/>
      <c r="J740" s="118"/>
      <c r="K740" s="136"/>
      <c r="L740" s="118"/>
      <c r="M740" s="136"/>
      <c r="N740" s="118"/>
      <c r="O740" s="136"/>
      <c r="P740" s="272"/>
      <c r="Q740" s="272"/>
      <c r="R740" s="272"/>
      <c r="S740" s="272"/>
      <c r="T740" s="272"/>
      <c r="U740" s="272"/>
      <c r="V740" s="273"/>
      <c r="W740" s="253"/>
      <c r="X740" s="253"/>
      <c r="Y740" s="253"/>
      <c r="Z740" s="253"/>
      <c r="AA740" s="253"/>
      <c r="AB740" s="218"/>
    </row>
    <row r="741">
      <c r="A741" s="118"/>
      <c r="B741" s="118"/>
      <c r="C741" s="143"/>
      <c r="D741" s="118"/>
      <c r="E741" s="118"/>
      <c r="F741" s="262"/>
      <c r="G741" s="264"/>
      <c r="H741" s="264"/>
      <c r="I741" s="267"/>
      <c r="J741" s="118"/>
      <c r="K741" s="136"/>
      <c r="L741" s="118"/>
      <c r="M741" s="136"/>
      <c r="N741" s="118"/>
      <c r="O741" s="136"/>
      <c r="P741" s="272"/>
      <c r="Q741" s="272"/>
      <c r="R741" s="272"/>
      <c r="S741" s="272"/>
      <c r="T741" s="272"/>
      <c r="U741" s="272"/>
      <c r="V741" s="273"/>
      <c r="W741" s="253"/>
      <c r="X741" s="253"/>
      <c r="Y741" s="253"/>
      <c r="Z741" s="253"/>
      <c r="AA741" s="253"/>
      <c r="AB741" s="218"/>
    </row>
    <row r="742">
      <c r="A742" s="118"/>
      <c r="B742" s="118"/>
      <c r="C742" s="143"/>
      <c r="D742" s="118"/>
      <c r="E742" s="118"/>
      <c r="F742" s="262"/>
      <c r="G742" s="264"/>
      <c r="H742" s="264"/>
      <c r="I742" s="267"/>
      <c r="J742" s="118"/>
      <c r="K742" s="136"/>
      <c r="L742" s="118"/>
      <c r="M742" s="136"/>
      <c r="N742" s="118"/>
      <c r="O742" s="136"/>
      <c r="P742" s="272"/>
      <c r="Q742" s="272"/>
      <c r="R742" s="272"/>
      <c r="S742" s="272"/>
      <c r="T742" s="272"/>
      <c r="U742" s="272"/>
      <c r="V742" s="273"/>
      <c r="W742" s="253"/>
      <c r="X742" s="253"/>
      <c r="Y742" s="253"/>
      <c r="Z742" s="253"/>
      <c r="AA742" s="253"/>
      <c r="AB742" s="218"/>
    </row>
    <row r="743">
      <c r="A743" s="118"/>
      <c r="B743" s="118"/>
      <c r="C743" s="143"/>
      <c r="D743" s="118"/>
      <c r="E743" s="118"/>
      <c r="F743" s="262"/>
      <c r="G743" s="264"/>
      <c r="H743" s="264"/>
      <c r="I743" s="267"/>
      <c r="J743" s="118"/>
      <c r="K743" s="136"/>
      <c r="L743" s="118"/>
      <c r="M743" s="136"/>
      <c r="N743" s="118"/>
      <c r="O743" s="136"/>
      <c r="P743" s="272"/>
      <c r="Q743" s="272"/>
      <c r="R743" s="272"/>
      <c r="S743" s="272"/>
      <c r="T743" s="272"/>
      <c r="U743" s="272"/>
      <c r="V743" s="273"/>
      <c r="W743" s="253"/>
      <c r="X743" s="253"/>
      <c r="Y743" s="253"/>
      <c r="Z743" s="253"/>
      <c r="AA743" s="253"/>
      <c r="AB743" s="218"/>
    </row>
    <row r="744">
      <c r="A744" s="118"/>
      <c r="B744" s="118"/>
      <c r="C744" s="143"/>
      <c r="D744" s="118"/>
      <c r="E744" s="118"/>
      <c r="F744" s="262"/>
      <c r="G744" s="264"/>
      <c r="H744" s="264"/>
      <c r="I744" s="267"/>
      <c r="J744" s="118"/>
      <c r="K744" s="136"/>
      <c r="L744" s="118"/>
      <c r="M744" s="136"/>
      <c r="N744" s="118"/>
      <c r="O744" s="136"/>
      <c r="P744" s="272"/>
      <c r="Q744" s="272"/>
      <c r="R744" s="272"/>
      <c r="S744" s="272"/>
      <c r="T744" s="272"/>
      <c r="U744" s="272"/>
      <c r="V744" s="273"/>
      <c r="W744" s="253"/>
      <c r="X744" s="253"/>
      <c r="Y744" s="253"/>
      <c r="Z744" s="253"/>
      <c r="AA744" s="253"/>
      <c r="AB744" s="218"/>
    </row>
    <row r="745">
      <c r="A745" s="118"/>
      <c r="B745" s="118"/>
      <c r="C745" s="143"/>
      <c r="D745" s="118"/>
      <c r="E745" s="118"/>
      <c r="F745" s="262"/>
      <c r="G745" s="264"/>
      <c r="H745" s="264"/>
      <c r="I745" s="267"/>
      <c r="J745" s="118"/>
      <c r="K745" s="136"/>
      <c r="L745" s="118"/>
      <c r="M745" s="136"/>
      <c r="N745" s="118"/>
      <c r="O745" s="136"/>
      <c r="P745" s="272"/>
      <c r="Q745" s="272"/>
      <c r="R745" s="272"/>
      <c r="S745" s="272"/>
      <c r="T745" s="272"/>
      <c r="U745" s="272"/>
      <c r="V745" s="273"/>
      <c r="W745" s="253"/>
      <c r="X745" s="253"/>
      <c r="Y745" s="253"/>
      <c r="Z745" s="253"/>
      <c r="AA745" s="253"/>
      <c r="AB745" s="218"/>
    </row>
    <row r="746">
      <c r="A746" s="118"/>
      <c r="B746" s="118"/>
      <c r="C746" s="143"/>
      <c r="D746" s="118"/>
      <c r="E746" s="118"/>
      <c r="F746" s="262"/>
      <c r="G746" s="264"/>
      <c r="H746" s="264"/>
      <c r="I746" s="267"/>
      <c r="J746" s="118"/>
      <c r="K746" s="136"/>
      <c r="L746" s="118"/>
      <c r="M746" s="136"/>
      <c r="N746" s="118"/>
      <c r="O746" s="136"/>
      <c r="P746" s="272"/>
      <c r="Q746" s="272"/>
      <c r="R746" s="272"/>
      <c r="S746" s="272"/>
      <c r="T746" s="272"/>
      <c r="U746" s="272"/>
      <c r="V746" s="273"/>
      <c r="W746" s="253"/>
      <c r="X746" s="253"/>
      <c r="Y746" s="253"/>
      <c r="Z746" s="253"/>
      <c r="AA746" s="253"/>
      <c r="AB746" s="218"/>
    </row>
    <row r="747">
      <c r="A747" s="118"/>
      <c r="B747" s="118"/>
      <c r="C747" s="143"/>
      <c r="D747" s="118"/>
      <c r="E747" s="118"/>
      <c r="F747" s="262"/>
      <c r="G747" s="264"/>
      <c r="H747" s="264"/>
      <c r="I747" s="267"/>
      <c r="J747" s="118"/>
      <c r="K747" s="136"/>
      <c r="L747" s="118"/>
      <c r="M747" s="136"/>
      <c r="N747" s="118"/>
      <c r="O747" s="136"/>
      <c r="P747" s="272"/>
      <c r="Q747" s="272"/>
      <c r="R747" s="272"/>
      <c r="S747" s="272"/>
      <c r="T747" s="272"/>
      <c r="U747" s="272"/>
      <c r="V747" s="273"/>
      <c r="W747" s="253"/>
      <c r="X747" s="253"/>
      <c r="Y747" s="253"/>
      <c r="Z747" s="253"/>
      <c r="AA747" s="253"/>
      <c r="AB747" s="218"/>
    </row>
    <row r="748">
      <c r="A748" s="118"/>
      <c r="B748" s="118"/>
      <c r="C748" s="143"/>
      <c r="D748" s="118"/>
      <c r="E748" s="118"/>
      <c r="F748" s="262"/>
      <c r="G748" s="264"/>
      <c r="H748" s="264"/>
      <c r="I748" s="267"/>
      <c r="J748" s="118"/>
      <c r="K748" s="136"/>
      <c r="L748" s="118"/>
      <c r="M748" s="136"/>
      <c r="N748" s="118"/>
      <c r="O748" s="136"/>
      <c r="P748" s="272"/>
      <c r="Q748" s="272"/>
      <c r="R748" s="272"/>
      <c r="S748" s="272"/>
      <c r="T748" s="272"/>
      <c r="U748" s="272"/>
      <c r="V748" s="273"/>
      <c r="W748" s="253"/>
      <c r="X748" s="253"/>
      <c r="Y748" s="253"/>
      <c r="Z748" s="253"/>
      <c r="AA748" s="253"/>
      <c r="AB748" s="218"/>
    </row>
    <row r="749">
      <c r="A749" s="118"/>
      <c r="B749" s="118"/>
      <c r="C749" s="143"/>
      <c r="D749" s="118"/>
      <c r="E749" s="118"/>
      <c r="F749" s="262"/>
      <c r="G749" s="264"/>
      <c r="H749" s="264"/>
      <c r="I749" s="267"/>
      <c r="J749" s="118"/>
      <c r="K749" s="136"/>
      <c r="L749" s="118"/>
      <c r="M749" s="136"/>
      <c r="N749" s="118"/>
      <c r="O749" s="136"/>
      <c r="P749" s="272"/>
      <c r="Q749" s="272"/>
      <c r="R749" s="272"/>
      <c r="S749" s="272"/>
      <c r="T749" s="272"/>
      <c r="U749" s="272"/>
      <c r="V749" s="273"/>
      <c r="W749" s="253"/>
      <c r="X749" s="253"/>
      <c r="Y749" s="253"/>
      <c r="Z749" s="253"/>
      <c r="AA749" s="253"/>
      <c r="AB749" s="218"/>
    </row>
    <row r="750">
      <c r="A750" s="118"/>
      <c r="B750" s="118"/>
      <c r="C750" s="143"/>
      <c r="D750" s="118"/>
      <c r="E750" s="118"/>
      <c r="F750" s="262"/>
      <c r="G750" s="264"/>
      <c r="H750" s="264"/>
      <c r="I750" s="267"/>
      <c r="J750" s="118"/>
      <c r="K750" s="136"/>
      <c r="L750" s="118"/>
      <c r="M750" s="136"/>
      <c r="N750" s="118"/>
      <c r="O750" s="136"/>
      <c r="P750" s="272"/>
      <c r="Q750" s="272"/>
      <c r="R750" s="272"/>
      <c r="S750" s="272"/>
      <c r="T750" s="272"/>
      <c r="U750" s="272"/>
      <c r="V750" s="273"/>
      <c r="W750" s="253"/>
      <c r="X750" s="253"/>
      <c r="Y750" s="253"/>
      <c r="Z750" s="253"/>
      <c r="AA750" s="253"/>
      <c r="AB750" s="218"/>
    </row>
    <row r="751">
      <c r="A751" s="118"/>
      <c r="B751" s="118"/>
      <c r="C751" s="143"/>
      <c r="D751" s="118"/>
      <c r="E751" s="118"/>
      <c r="F751" s="262"/>
      <c r="G751" s="264"/>
      <c r="H751" s="264"/>
      <c r="I751" s="267"/>
      <c r="J751" s="118"/>
      <c r="K751" s="136"/>
      <c r="L751" s="118"/>
      <c r="M751" s="136"/>
      <c r="N751" s="118"/>
      <c r="O751" s="136"/>
      <c r="P751" s="272"/>
      <c r="Q751" s="272"/>
      <c r="R751" s="272"/>
      <c r="S751" s="272"/>
      <c r="T751" s="272"/>
      <c r="U751" s="272"/>
      <c r="V751" s="273"/>
      <c r="W751" s="253"/>
      <c r="X751" s="253"/>
      <c r="Y751" s="253"/>
      <c r="Z751" s="253"/>
      <c r="AA751" s="253"/>
      <c r="AB751" s="218"/>
    </row>
    <row r="752">
      <c r="A752" s="118"/>
      <c r="B752" s="118"/>
      <c r="C752" s="143"/>
      <c r="D752" s="118"/>
      <c r="E752" s="118"/>
      <c r="F752" s="262"/>
      <c r="G752" s="264"/>
      <c r="H752" s="264"/>
      <c r="I752" s="267"/>
      <c r="J752" s="118"/>
      <c r="K752" s="136"/>
      <c r="L752" s="118"/>
      <c r="M752" s="136"/>
      <c r="N752" s="118"/>
      <c r="O752" s="136"/>
      <c r="P752" s="272"/>
      <c r="Q752" s="272"/>
      <c r="R752" s="272"/>
      <c r="S752" s="272"/>
      <c r="T752" s="272"/>
      <c r="U752" s="272"/>
      <c r="V752" s="273"/>
      <c r="W752" s="253"/>
      <c r="X752" s="253"/>
      <c r="Y752" s="253"/>
      <c r="Z752" s="253"/>
      <c r="AA752" s="253"/>
      <c r="AB752" s="218"/>
    </row>
    <row r="753">
      <c r="A753" s="118"/>
      <c r="B753" s="118"/>
      <c r="C753" s="143"/>
      <c r="D753" s="118"/>
      <c r="E753" s="118"/>
      <c r="F753" s="262"/>
      <c r="G753" s="264"/>
      <c r="H753" s="264"/>
      <c r="I753" s="267"/>
      <c r="J753" s="118"/>
      <c r="K753" s="136"/>
      <c r="L753" s="118"/>
      <c r="M753" s="136"/>
      <c r="N753" s="118"/>
      <c r="O753" s="136"/>
      <c r="P753" s="272"/>
      <c r="Q753" s="272"/>
      <c r="R753" s="272"/>
      <c r="S753" s="272"/>
      <c r="T753" s="272"/>
      <c r="U753" s="272"/>
      <c r="V753" s="273"/>
      <c r="W753" s="253"/>
      <c r="X753" s="253"/>
      <c r="Y753" s="253"/>
      <c r="Z753" s="253"/>
      <c r="AA753" s="253"/>
      <c r="AB753" s="218"/>
    </row>
    <row r="754">
      <c r="A754" s="118"/>
      <c r="B754" s="118"/>
      <c r="C754" s="143"/>
      <c r="D754" s="118"/>
      <c r="E754" s="118"/>
      <c r="F754" s="262"/>
      <c r="G754" s="264"/>
      <c r="H754" s="264"/>
      <c r="I754" s="267"/>
      <c r="J754" s="118"/>
      <c r="K754" s="136"/>
      <c r="L754" s="118"/>
      <c r="M754" s="136"/>
      <c r="N754" s="118"/>
      <c r="O754" s="136"/>
      <c r="P754" s="272"/>
      <c r="Q754" s="272"/>
      <c r="R754" s="272"/>
      <c r="S754" s="272"/>
      <c r="T754" s="272"/>
      <c r="U754" s="272"/>
      <c r="V754" s="273"/>
      <c r="W754" s="253"/>
      <c r="X754" s="253"/>
      <c r="Y754" s="253"/>
      <c r="Z754" s="253"/>
      <c r="AA754" s="253"/>
      <c r="AB754" s="218"/>
    </row>
    <row r="755">
      <c r="A755" s="118"/>
      <c r="B755" s="118"/>
      <c r="C755" s="143"/>
      <c r="D755" s="118"/>
      <c r="E755" s="118"/>
      <c r="F755" s="262"/>
      <c r="G755" s="264"/>
      <c r="H755" s="264"/>
      <c r="I755" s="267"/>
      <c r="J755" s="118"/>
      <c r="K755" s="136"/>
      <c r="L755" s="118"/>
      <c r="M755" s="136"/>
      <c r="N755" s="118"/>
      <c r="O755" s="136"/>
      <c r="P755" s="272"/>
      <c r="Q755" s="272"/>
      <c r="R755" s="272"/>
      <c r="S755" s="272"/>
      <c r="T755" s="272"/>
      <c r="U755" s="272"/>
      <c r="V755" s="273"/>
      <c r="W755" s="253"/>
      <c r="X755" s="253"/>
      <c r="Y755" s="253"/>
      <c r="Z755" s="253"/>
      <c r="AA755" s="253"/>
      <c r="AB755" s="218"/>
    </row>
    <row r="756">
      <c r="A756" s="118"/>
      <c r="B756" s="118"/>
      <c r="C756" s="143"/>
      <c r="D756" s="118"/>
      <c r="E756" s="118"/>
      <c r="F756" s="262"/>
      <c r="G756" s="264"/>
      <c r="H756" s="264"/>
      <c r="I756" s="267"/>
      <c r="J756" s="118"/>
      <c r="K756" s="136"/>
      <c r="L756" s="118"/>
      <c r="M756" s="136"/>
      <c r="N756" s="118"/>
      <c r="O756" s="136"/>
      <c r="P756" s="272"/>
      <c r="Q756" s="272"/>
      <c r="R756" s="272"/>
      <c r="S756" s="272"/>
      <c r="T756" s="272"/>
      <c r="U756" s="272"/>
      <c r="V756" s="273"/>
      <c r="W756" s="253"/>
      <c r="X756" s="253"/>
      <c r="Y756" s="253"/>
      <c r="Z756" s="253"/>
      <c r="AA756" s="253"/>
      <c r="AB756" s="218"/>
    </row>
    <row r="757">
      <c r="A757" s="118"/>
      <c r="B757" s="118"/>
      <c r="C757" s="143"/>
      <c r="D757" s="118"/>
      <c r="E757" s="118"/>
      <c r="F757" s="262"/>
      <c r="G757" s="264"/>
      <c r="H757" s="264"/>
      <c r="I757" s="267"/>
      <c r="J757" s="118"/>
      <c r="K757" s="136"/>
      <c r="L757" s="118"/>
      <c r="M757" s="136"/>
      <c r="N757" s="118"/>
      <c r="O757" s="136"/>
      <c r="P757" s="272"/>
      <c r="Q757" s="272"/>
      <c r="R757" s="272"/>
      <c r="S757" s="272"/>
      <c r="T757" s="272"/>
      <c r="U757" s="272"/>
      <c r="V757" s="273"/>
      <c r="W757" s="253"/>
      <c r="X757" s="253"/>
      <c r="Y757" s="253"/>
      <c r="Z757" s="253"/>
      <c r="AA757" s="253"/>
      <c r="AB757" s="218"/>
    </row>
    <row r="758">
      <c r="A758" s="118"/>
      <c r="B758" s="118"/>
      <c r="C758" s="143"/>
      <c r="D758" s="118"/>
      <c r="E758" s="118"/>
      <c r="F758" s="262"/>
      <c r="G758" s="264"/>
      <c r="H758" s="264"/>
      <c r="I758" s="267"/>
      <c r="J758" s="118"/>
      <c r="K758" s="136"/>
      <c r="L758" s="118"/>
      <c r="M758" s="136"/>
      <c r="N758" s="118"/>
      <c r="O758" s="136"/>
      <c r="P758" s="272"/>
      <c r="Q758" s="272"/>
      <c r="R758" s="272"/>
      <c r="S758" s="272"/>
      <c r="T758" s="272"/>
      <c r="U758" s="272"/>
      <c r="V758" s="273"/>
      <c r="W758" s="253"/>
      <c r="X758" s="253"/>
      <c r="Y758" s="253"/>
      <c r="Z758" s="253"/>
      <c r="AA758" s="253"/>
      <c r="AB758" s="218"/>
    </row>
    <row r="759">
      <c r="A759" s="118"/>
      <c r="B759" s="118"/>
      <c r="C759" s="143"/>
      <c r="D759" s="118"/>
      <c r="E759" s="118"/>
      <c r="F759" s="262"/>
      <c r="G759" s="264"/>
      <c r="H759" s="264"/>
      <c r="I759" s="267"/>
      <c r="J759" s="118"/>
      <c r="K759" s="136"/>
      <c r="L759" s="118"/>
      <c r="M759" s="136"/>
      <c r="N759" s="118"/>
      <c r="O759" s="136"/>
      <c r="P759" s="272"/>
      <c r="Q759" s="272"/>
      <c r="R759" s="272"/>
      <c r="S759" s="272"/>
      <c r="T759" s="272"/>
      <c r="U759" s="272"/>
      <c r="V759" s="273"/>
      <c r="W759" s="253"/>
      <c r="X759" s="253"/>
      <c r="Y759" s="253"/>
      <c r="Z759" s="253"/>
      <c r="AA759" s="253"/>
      <c r="AB759" s="218"/>
    </row>
    <row r="760">
      <c r="A760" s="118"/>
      <c r="B760" s="118"/>
      <c r="C760" s="143"/>
      <c r="D760" s="118"/>
      <c r="E760" s="118"/>
      <c r="F760" s="262"/>
      <c r="G760" s="264"/>
      <c r="H760" s="264"/>
      <c r="I760" s="267"/>
      <c r="J760" s="118"/>
      <c r="K760" s="136"/>
      <c r="L760" s="118"/>
      <c r="M760" s="136"/>
      <c r="N760" s="118"/>
      <c r="O760" s="136"/>
      <c r="P760" s="272"/>
      <c r="Q760" s="272"/>
      <c r="R760" s="272"/>
      <c r="S760" s="272"/>
      <c r="T760" s="272"/>
      <c r="U760" s="272"/>
      <c r="V760" s="273"/>
      <c r="W760" s="253"/>
      <c r="X760" s="253"/>
      <c r="Y760" s="253"/>
      <c r="Z760" s="253"/>
      <c r="AA760" s="253"/>
      <c r="AB760" s="218"/>
    </row>
    <row r="761">
      <c r="A761" s="118"/>
      <c r="B761" s="118"/>
      <c r="C761" s="143"/>
      <c r="D761" s="118"/>
      <c r="E761" s="118"/>
      <c r="F761" s="262"/>
      <c r="G761" s="264"/>
      <c r="H761" s="264"/>
      <c r="I761" s="267"/>
      <c r="J761" s="118"/>
      <c r="K761" s="136"/>
      <c r="L761" s="118"/>
      <c r="M761" s="136"/>
      <c r="N761" s="118"/>
      <c r="O761" s="136"/>
      <c r="P761" s="272"/>
      <c r="Q761" s="272"/>
      <c r="R761" s="272"/>
      <c r="S761" s="272"/>
      <c r="T761" s="272"/>
      <c r="U761" s="272"/>
      <c r="V761" s="273"/>
      <c r="W761" s="253"/>
      <c r="X761" s="253"/>
      <c r="Y761" s="253"/>
      <c r="Z761" s="253"/>
      <c r="AA761" s="253"/>
      <c r="AB761" s="218"/>
    </row>
    <row r="762">
      <c r="A762" s="118"/>
      <c r="B762" s="118"/>
      <c r="C762" s="143"/>
      <c r="D762" s="118"/>
      <c r="E762" s="118"/>
      <c r="F762" s="262"/>
      <c r="G762" s="264"/>
      <c r="H762" s="264"/>
      <c r="I762" s="267"/>
      <c r="J762" s="118"/>
      <c r="K762" s="136"/>
      <c r="L762" s="118"/>
      <c r="M762" s="136"/>
      <c r="N762" s="118"/>
      <c r="O762" s="136"/>
      <c r="P762" s="272"/>
      <c r="Q762" s="272"/>
      <c r="R762" s="272"/>
      <c r="S762" s="272"/>
      <c r="T762" s="272"/>
      <c r="U762" s="272"/>
      <c r="V762" s="273"/>
      <c r="W762" s="253"/>
      <c r="X762" s="253"/>
      <c r="Y762" s="253"/>
      <c r="Z762" s="253"/>
      <c r="AA762" s="253"/>
      <c r="AB762" s="218"/>
    </row>
    <row r="763">
      <c r="A763" s="118"/>
      <c r="B763" s="118"/>
      <c r="C763" s="143"/>
      <c r="D763" s="118"/>
      <c r="E763" s="118"/>
      <c r="F763" s="262"/>
      <c r="G763" s="264"/>
      <c r="H763" s="264"/>
      <c r="I763" s="267"/>
      <c r="J763" s="118"/>
      <c r="K763" s="136"/>
      <c r="L763" s="118"/>
      <c r="M763" s="136"/>
      <c r="N763" s="118"/>
      <c r="O763" s="136"/>
      <c r="P763" s="272"/>
      <c r="Q763" s="272"/>
      <c r="R763" s="272"/>
      <c r="S763" s="272"/>
      <c r="T763" s="272"/>
      <c r="U763" s="272"/>
      <c r="V763" s="273"/>
      <c r="W763" s="253"/>
      <c r="X763" s="253"/>
      <c r="Y763" s="253"/>
      <c r="Z763" s="253"/>
      <c r="AA763" s="253"/>
      <c r="AB763" s="218"/>
    </row>
    <row r="764">
      <c r="A764" s="118"/>
      <c r="B764" s="118"/>
      <c r="C764" s="143"/>
      <c r="D764" s="118"/>
      <c r="E764" s="118"/>
      <c r="F764" s="262"/>
      <c r="G764" s="264"/>
      <c r="H764" s="264"/>
      <c r="I764" s="267"/>
      <c r="J764" s="118"/>
      <c r="K764" s="136"/>
      <c r="L764" s="118"/>
      <c r="M764" s="136"/>
      <c r="N764" s="118"/>
      <c r="O764" s="136"/>
      <c r="P764" s="272"/>
      <c r="Q764" s="272"/>
      <c r="R764" s="272"/>
      <c r="S764" s="272"/>
      <c r="T764" s="272"/>
      <c r="U764" s="272"/>
      <c r="V764" s="273"/>
      <c r="W764" s="253"/>
      <c r="X764" s="253"/>
      <c r="Y764" s="253"/>
      <c r="Z764" s="253"/>
      <c r="AA764" s="253"/>
      <c r="AB764" s="218"/>
    </row>
    <row r="765">
      <c r="A765" s="118"/>
      <c r="B765" s="118"/>
      <c r="C765" s="143"/>
      <c r="D765" s="118"/>
      <c r="E765" s="118"/>
      <c r="F765" s="262"/>
      <c r="G765" s="264"/>
      <c r="H765" s="264"/>
      <c r="I765" s="267"/>
      <c r="J765" s="118"/>
      <c r="K765" s="136"/>
      <c r="L765" s="118"/>
      <c r="M765" s="136"/>
      <c r="N765" s="118"/>
      <c r="O765" s="136"/>
      <c r="P765" s="272"/>
      <c r="Q765" s="272"/>
      <c r="R765" s="272"/>
      <c r="S765" s="272"/>
      <c r="T765" s="272"/>
      <c r="U765" s="272"/>
      <c r="V765" s="273"/>
      <c r="W765" s="253"/>
      <c r="X765" s="253"/>
      <c r="Y765" s="253"/>
      <c r="Z765" s="253"/>
      <c r="AA765" s="253"/>
      <c r="AB765" s="218"/>
    </row>
    <row r="766">
      <c r="A766" s="118"/>
      <c r="B766" s="118"/>
      <c r="C766" s="143"/>
      <c r="D766" s="118"/>
      <c r="E766" s="118"/>
      <c r="F766" s="262"/>
      <c r="G766" s="264"/>
      <c r="H766" s="264"/>
      <c r="I766" s="267"/>
      <c r="J766" s="118"/>
      <c r="K766" s="136"/>
      <c r="L766" s="118"/>
      <c r="M766" s="136"/>
      <c r="N766" s="118"/>
      <c r="O766" s="136"/>
      <c r="P766" s="272"/>
      <c r="Q766" s="272"/>
      <c r="R766" s="272"/>
      <c r="S766" s="272"/>
      <c r="T766" s="272"/>
      <c r="U766" s="272"/>
      <c r="V766" s="273"/>
      <c r="W766" s="253"/>
      <c r="X766" s="253"/>
      <c r="Y766" s="253"/>
      <c r="Z766" s="253"/>
      <c r="AA766" s="253"/>
      <c r="AB766" s="218"/>
    </row>
    <row r="767">
      <c r="A767" s="118"/>
      <c r="B767" s="118"/>
      <c r="C767" s="143"/>
      <c r="D767" s="118"/>
      <c r="E767" s="118"/>
      <c r="F767" s="262"/>
      <c r="G767" s="264"/>
      <c r="H767" s="264"/>
      <c r="I767" s="267"/>
      <c r="J767" s="118"/>
      <c r="K767" s="136"/>
      <c r="L767" s="118"/>
      <c r="M767" s="136"/>
      <c r="N767" s="118"/>
      <c r="O767" s="136"/>
      <c r="P767" s="272"/>
      <c r="Q767" s="272"/>
      <c r="R767" s="272"/>
      <c r="S767" s="272"/>
      <c r="T767" s="272"/>
      <c r="U767" s="272"/>
      <c r="V767" s="273"/>
      <c r="W767" s="253"/>
      <c r="X767" s="253"/>
      <c r="Y767" s="253"/>
      <c r="Z767" s="253"/>
      <c r="AA767" s="253"/>
      <c r="AB767" s="218"/>
    </row>
    <row r="768">
      <c r="A768" s="118"/>
      <c r="B768" s="118"/>
      <c r="C768" s="143"/>
      <c r="D768" s="118"/>
      <c r="E768" s="118"/>
      <c r="F768" s="262"/>
      <c r="G768" s="264"/>
      <c r="H768" s="264"/>
      <c r="I768" s="267"/>
      <c r="J768" s="118"/>
      <c r="K768" s="136"/>
      <c r="L768" s="118"/>
      <c r="M768" s="136"/>
      <c r="N768" s="118"/>
      <c r="O768" s="136"/>
      <c r="P768" s="272"/>
      <c r="Q768" s="272"/>
      <c r="R768" s="272"/>
      <c r="S768" s="272"/>
      <c r="T768" s="272"/>
      <c r="U768" s="272"/>
      <c r="V768" s="273"/>
      <c r="W768" s="253"/>
      <c r="X768" s="253"/>
      <c r="Y768" s="253"/>
      <c r="Z768" s="253"/>
      <c r="AA768" s="253"/>
      <c r="AB768" s="218"/>
    </row>
    <row r="769">
      <c r="A769" s="118"/>
      <c r="B769" s="118"/>
      <c r="C769" s="143"/>
      <c r="D769" s="118"/>
      <c r="E769" s="118"/>
      <c r="F769" s="262"/>
      <c r="G769" s="264"/>
      <c r="H769" s="264"/>
      <c r="I769" s="267"/>
      <c r="J769" s="118"/>
      <c r="K769" s="136"/>
      <c r="L769" s="118"/>
      <c r="M769" s="136"/>
      <c r="N769" s="118"/>
      <c r="O769" s="136"/>
      <c r="P769" s="272"/>
      <c r="Q769" s="272"/>
      <c r="R769" s="272"/>
      <c r="S769" s="272"/>
      <c r="T769" s="272"/>
      <c r="U769" s="272"/>
      <c r="V769" s="273"/>
      <c r="W769" s="253"/>
      <c r="X769" s="253"/>
      <c r="Y769" s="253"/>
      <c r="Z769" s="253"/>
      <c r="AA769" s="253"/>
      <c r="AB769" s="218"/>
    </row>
    <row r="770">
      <c r="A770" s="118"/>
      <c r="B770" s="118"/>
      <c r="C770" s="143"/>
      <c r="D770" s="118"/>
      <c r="E770" s="118"/>
      <c r="F770" s="262"/>
      <c r="G770" s="264"/>
      <c r="H770" s="264"/>
      <c r="I770" s="267"/>
      <c r="J770" s="118"/>
      <c r="K770" s="136"/>
      <c r="L770" s="118"/>
      <c r="M770" s="136"/>
      <c r="N770" s="118"/>
      <c r="O770" s="136"/>
      <c r="P770" s="272"/>
      <c r="Q770" s="272"/>
      <c r="R770" s="272"/>
      <c r="S770" s="272"/>
      <c r="T770" s="272"/>
      <c r="U770" s="272"/>
      <c r="V770" s="273"/>
      <c r="W770" s="253"/>
      <c r="X770" s="253"/>
      <c r="Y770" s="253"/>
      <c r="Z770" s="253"/>
      <c r="AA770" s="253"/>
      <c r="AB770" s="218"/>
    </row>
    <row r="771">
      <c r="A771" s="118"/>
      <c r="B771" s="118"/>
      <c r="C771" s="143"/>
      <c r="D771" s="118"/>
      <c r="E771" s="118"/>
      <c r="F771" s="262"/>
      <c r="G771" s="264"/>
      <c r="H771" s="264"/>
      <c r="I771" s="267"/>
      <c r="J771" s="118"/>
      <c r="K771" s="136"/>
      <c r="L771" s="118"/>
      <c r="M771" s="136"/>
      <c r="N771" s="118"/>
      <c r="O771" s="136"/>
      <c r="P771" s="272"/>
      <c r="Q771" s="272"/>
      <c r="R771" s="272"/>
      <c r="S771" s="272"/>
      <c r="T771" s="272"/>
      <c r="U771" s="272"/>
      <c r="V771" s="273"/>
      <c r="W771" s="253"/>
      <c r="X771" s="253"/>
      <c r="Y771" s="253"/>
      <c r="Z771" s="253"/>
      <c r="AA771" s="253"/>
      <c r="AB771" s="218"/>
    </row>
    <row r="772">
      <c r="A772" s="118"/>
      <c r="B772" s="118"/>
      <c r="C772" s="143"/>
      <c r="D772" s="118"/>
      <c r="E772" s="118"/>
      <c r="F772" s="262"/>
      <c r="G772" s="264"/>
      <c r="H772" s="264"/>
      <c r="I772" s="267"/>
      <c r="J772" s="118"/>
      <c r="K772" s="136"/>
      <c r="L772" s="118"/>
      <c r="M772" s="136"/>
      <c r="N772" s="118"/>
      <c r="O772" s="136"/>
      <c r="P772" s="272"/>
      <c r="Q772" s="272"/>
      <c r="R772" s="272"/>
      <c r="S772" s="272"/>
      <c r="T772" s="272"/>
      <c r="U772" s="272"/>
      <c r="V772" s="273"/>
      <c r="W772" s="253"/>
      <c r="X772" s="253"/>
      <c r="Y772" s="253"/>
      <c r="Z772" s="253"/>
      <c r="AA772" s="253"/>
      <c r="AB772" s="218"/>
    </row>
    <row r="773">
      <c r="A773" s="118"/>
      <c r="B773" s="118"/>
      <c r="C773" s="143"/>
      <c r="D773" s="118"/>
      <c r="E773" s="118"/>
      <c r="F773" s="262"/>
      <c r="G773" s="264"/>
      <c r="H773" s="264"/>
      <c r="I773" s="267"/>
      <c r="J773" s="118"/>
      <c r="K773" s="136"/>
      <c r="L773" s="118"/>
      <c r="M773" s="136"/>
      <c r="N773" s="118"/>
      <c r="O773" s="136"/>
      <c r="P773" s="272"/>
      <c r="Q773" s="272"/>
      <c r="R773" s="272"/>
      <c r="S773" s="272"/>
      <c r="T773" s="272"/>
      <c r="U773" s="272"/>
      <c r="V773" s="273"/>
      <c r="W773" s="253"/>
      <c r="X773" s="253"/>
      <c r="Y773" s="253"/>
      <c r="Z773" s="253"/>
      <c r="AA773" s="253"/>
      <c r="AB773" s="218"/>
    </row>
    <row r="774">
      <c r="A774" s="118"/>
      <c r="B774" s="118"/>
      <c r="C774" s="143"/>
      <c r="D774" s="118"/>
      <c r="E774" s="118"/>
      <c r="F774" s="262"/>
      <c r="G774" s="264"/>
      <c r="H774" s="264"/>
      <c r="I774" s="267"/>
      <c r="J774" s="118"/>
      <c r="K774" s="136"/>
      <c r="L774" s="118"/>
      <c r="M774" s="136"/>
      <c r="N774" s="118"/>
      <c r="O774" s="136"/>
      <c r="P774" s="272"/>
      <c r="Q774" s="272"/>
      <c r="R774" s="272"/>
      <c r="S774" s="272"/>
      <c r="T774" s="272"/>
      <c r="U774" s="272"/>
      <c r="V774" s="273"/>
      <c r="W774" s="253"/>
      <c r="X774" s="253"/>
      <c r="Y774" s="253"/>
      <c r="Z774" s="253"/>
      <c r="AA774" s="253"/>
      <c r="AB774" s="218"/>
    </row>
    <row r="775">
      <c r="A775" s="118"/>
      <c r="B775" s="118"/>
      <c r="C775" s="143"/>
      <c r="D775" s="118"/>
      <c r="E775" s="118"/>
      <c r="F775" s="262"/>
      <c r="G775" s="264"/>
      <c r="H775" s="264"/>
      <c r="I775" s="267"/>
      <c r="J775" s="118"/>
      <c r="K775" s="136"/>
      <c r="L775" s="118"/>
      <c r="M775" s="136"/>
      <c r="N775" s="118"/>
      <c r="O775" s="136"/>
      <c r="P775" s="272"/>
      <c r="Q775" s="272"/>
      <c r="R775" s="272"/>
      <c r="S775" s="272"/>
      <c r="T775" s="272"/>
      <c r="U775" s="272"/>
      <c r="V775" s="273"/>
      <c r="W775" s="253"/>
      <c r="X775" s="253"/>
      <c r="Y775" s="253"/>
      <c r="Z775" s="253"/>
      <c r="AA775" s="253"/>
      <c r="AB775" s="218"/>
    </row>
    <row r="776">
      <c r="A776" s="118"/>
      <c r="B776" s="118"/>
      <c r="C776" s="143"/>
      <c r="D776" s="118"/>
      <c r="E776" s="118"/>
      <c r="F776" s="262"/>
      <c r="G776" s="264"/>
      <c r="H776" s="264"/>
      <c r="I776" s="267"/>
      <c r="J776" s="118"/>
      <c r="K776" s="136"/>
      <c r="L776" s="118"/>
      <c r="M776" s="136"/>
      <c r="N776" s="118"/>
      <c r="O776" s="136"/>
      <c r="P776" s="272"/>
      <c r="Q776" s="272"/>
      <c r="R776" s="272"/>
      <c r="S776" s="272"/>
      <c r="T776" s="272"/>
      <c r="U776" s="272"/>
      <c r="V776" s="273"/>
      <c r="W776" s="253"/>
      <c r="X776" s="253"/>
      <c r="Y776" s="253"/>
      <c r="Z776" s="253"/>
      <c r="AA776" s="253"/>
      <c r="AB776" s="218"/>
    </row>
    <row r="777">
      <c r="A777" s="118"/>
      <c r="B777" s="118"/>
      <c r="C777" s="143"/>
      <c r="D777" s="118"/>
      <c r="E777" s="118"/>
      <c r="F777" s="262"/>
      <c r="G777" s="264"/>
      <c r="H777" s="264"/>
      <c r="I777" s="267"/>
      <c r="J777" s="118"/>
      <c r="K777" s="136"/>
      <c r="L777" s="118"/>
      <c r="M777" s="136"/>
      <c r="N777" s="118"/>
      <c r="O777" s="136"/>
      <c r="P777" s="272"/>
      <c r="Q777" s="272"/>
      <c r="R777" s="272"/>
      <c r="S777" s="272"/>
      <c r="T777" s="272"/>
      <c r="U777" s="272"/>
      <c r="V777" s="273"/>
      <c r="W777" s="253"/>
      <c r="X777" s="253"/>
      <c r="Y777" s="253"/>
      <c r="Z777" s="253"/>
      <c r="AA777" s="253"/>
      <c r="AB777" s="218"/>
    </row>
    <row r="778">
      <c r="A778" s="118"/>
      <c r="B778" s="118"/>
      <c r="C778" s="143"/>
      <c r="D778" s="118"/>
      <c r="E778" s="118"/>
      <c r="F778" s="262"/>
      <c r="G778" s="264"/>
      <c r="H778" s="264"/>
      <c r="I778" s="267"/>
      <c r="J778" s="118"/>
      <c r="K778" s="136"/>
      <c r="L778" s="118"/>
      <c r="M778" s="136"/>
      <c r="N778" s="118"/>
      <c r="O778" s="136"/>
      <c r="P778" s="272"/>
      <c r="Q778" s="272"/>
      <c r="R778" s="272"/>
      <c r="S778" s="272"/>
      <c r="T778" s="272"/>
      <c r="U778" s="272"/>
      <c r="V778" s="273"/>
      <c r="W778" s="253"/>
      <c r="X778" s="253"/>
      <c r="Y778" s="253"/>
      <c r="Z778" s="253"/>
      <c r="AA778" s="253"/>
      <c r="AB778" s="218"/>
    </row>
    <row r="779">
      <c r="A779" s="118"/>
      <c r="B779" s="118"/>
      <c r="C779" s="143"/>
      <c r="D779" s="118"/>
      <c r="E779" s="118"/>
      <c r="F779" s="262"/>
      <c r="G779" s="264"/>
      <c r="H779" s="264"/>
      <c r="I779" s="267"/>
      <c r="J779" s="118"/>
      <c r="K779" s="136"/>
      <c r="L779" s="118"/>
      <c r="M779" s="136"/>
      <c r="N779" s="118"/>
      <c r="O779" s="136"/>
      <c r="P779" s="272"/>
      <c r="Q779" s="272"/>
      <c r="R779" s="272"/>
      <c r="S779" s="272"/>
      <c r="T779" s="272"/>
      <c r="U779" s="272"/>
      <c r="V779" s="273"/>
      <c r="W779" s="253"/>
      <c r="X779" s="253"/>
      <c r="Y779" s="253"/>
      <c r="Z779" s="253"/>
      <c r="AA779" s="253"/>
      <c r="AB779" s="218"/>
    </row>
    <row r="780">
      <c r="A780" s="118"/>
      <c r="B780" s="118"/>
      <c r="C780" s="143"/>
      <c r="D780" s="118"/>
      <c r="E780" s="118"/>
      <c r="F780" s="262"/>
      <c r="G780" s="264"/>
      <c r="H780" s="264"/>
      <c r="I780" s="267"/>
      <c r="J780" s="118"/>
      <c r="K780" s="136"/>
      <c r="L780" s="118"/>
      <c r="M780" s="136"/>
      <c r="N780" s="118"/>
      <c r="O780" s="136"/>
      <c r="P780" s="272"/>
      <c r="Q780" s="272"/>
      <c r="R780" s="272"/>
      <c r="S780" s="272"/>
      <c r="T780" s="272"/>
      <c r="U780" s="272"/>
      <c r="V780" s="273"/>
      <c r="W780" s="253"/>
      <c r="X780" s="253"/>
      <c r="Y780" s="253"/>
      <c r="Z780" s="253"/>
      <c r="AA780" s="253"/>
      <c r="AB780" s="218"/>
    </row>
    <row r="781">
      <c r="A781" s="118"/>
      <c r="B781" s="118"/>
      <c r="C781" s="143"/>
      <c r="D781" s="118"/>
      <c r="E781" s="118"/>
      <c r="F781" s="262"/>
      <c r="G781" s="264"/>
      <c r="H781" s="264"/>
      <c r="I781" s="267"/>
      <c r="J781" s="118"/>
      <c r="K781" s="136"/>
      <c r="L781" s="118"/>
      <c r="M781" s="136"/>
      <c r="N781" s="118"/>
      <c r="O781" s="136"/>
      <c r="P781" s="272"/>
      <c r="Q781" s="272"/>
      <c r="R781" s="272"/>
      <c r="S781" s="272"/>
      <c r="T781" s="272"/>
      <c r="U781" s="272"/>
      <c r="V781" s="273"/>
      <c r="W781" s="253"/>
      <c r="X781" s="253"/>
      <c r="Y781" s="253"/>
      <c r="Z781" s="253"/>
      <c r="AA781" s="253"/>
      <c r="AB781" s="218"/>
    </row>
    <row r="782">
      <c r="A782" s="118"/>
      <c r="B782" s="118"/>
      <c r="C782" s="143"/>
      <c r="D782" s="118"/>
      <c r="E782" s="118"/>
      <c r="F782" s="262"/>
      <c r="G782" s="264"/>
      <c r="H782" s="264"/>
      <c r="I782" s="267"/>
      <c r="J782" s="118"/>
      <c r="K782" s="136"/>
      <c r="L782" s="118"/>
      <c r="M782" s="136"/>
      <c r="N782" s="118"/>
      <c r="O782" s="136"/>
      <c r="P782" s="272"/>
      <c r="Q782" s="272"/>
      <c r="R782" s="272"/>
      <c r="S782" s="272"/>
      <c r="T782" s="272"/>
      <c r="U782" s="272"/>
      <c r="V782" s="273"/>
      <c r="W782" s="253"/>
      <c r="X782" s="253"/>
      <c r="Y782" s="253"/>
      <c r="Z782" s="253"/>
      <c r="AA782" s="253"/>
      <c r="AB782" s="218"/>
    </row>
    <row r="783">
      <c r="A783" s="118"/>
      <c r="B783" s="118"/>
      <c r="C783" s="143"/>
      <c r="D783" s="118"/>
      <c r="E783" s="118"/>
      <c r="F783" s="262"/>
      <c r="G783" s="264"/>
      <c r="H783" s="264"/>
      <c r="I783" s="267"/>
      <c r="J783" s="118"/>
      <c r="K783" s="136"/>
      <c r="L783" s="118"/>
      <c r="M783" s="136"/>
      <c r="N783" s="118"/>
      <c r="O783" s="136"/>
      <c r="P783" s="272"/>
      <c r="Q783" s="272"/>
      <c r="R783" s="272"/>
      <c r="S783" s="272"/>
      <c r="T783" s="272"/>
      <c r="U783" s="272"/>
      <c r="V783" s="273"/>
      <c r="W783" s="253"/>
      <c r="X783" s="253"/>
      <c r="Y783" s="253"/>
      <c r="Z783" s="253"/>
      <c r="AA783" s="253"/>
      <c r="AB783" s="218"/>
    </row>
    <row r="784">
      <c r="A784" s="118"/>
      <c r="B784" s="118"/>
      <c r="C784" s="143"/>
      <c r="D784" s="118"/>
      <c r="E784" s="118"/>
      <c r="F784" s="262"/>
      <c r="G784" s="264"/>
      <c r="H784" s="264"/>
      <c r="I784" s="267"/>
      <c r="J784" s="118"/>
      <c r="K784" s="136"/>
      <c r="L784" s="118"/>
      <c r="M784" s="136"/>
      <c r="N784" s="118"/>
      <c r="O784" s="136"/>
      <c r="P784" s="272"/>
      <c r="Q784" s="272"/>
      <c r="R784" s="272"/>
      <c r="S784" s="272"/>
      <c r="T784" s="272"/>
      <c r="U784" s="272"/>
      <c r="V784" s="273"/>
      <c r="W784" s="253"/>
      <c r="X784" s="253"/>
      <c r="Y784" s="253"/>
      <c r="Z784" s="253"/>
      <c r="AA784" s="253"/>
      <c r="AB784" s="218"/>
    </row>
    <row r="785">
      <c r="A785" s="118"/>
      <c r="B785" s="118"/>
      <c r="C785" s="143"/>
      <c r="D785" s="118"/>
      <c r="E785" s="118"/>
      <c r="F785" s="262"/>
      <c r="G785" s="264"/>
      <c r="H785" s="264"/>
      <c r="I785" s="267"/>
      <c r="J785" s="118"/>
      <c r="K785" s="136"/>
      <c r="L785" s="118"/>
      <c r="M785" s="136"/>
      <c r="N785" s="118"/>
      <c r="O785" s="136"/>
      <c r="P785" s="272"/>
      <c r="Q785" s="272"/>
      <c r="R785" s="272"/>
      <c r="S785" s="272"/>
      <c r="T785" s="272"/>
      <c r="U785" s="272"/>
      <c r="V785" s="273"/>
      <c r="W785" s="253"/>
      <c r="X785" s="253"/>
      <c r="Y785" s="253"/>
      <c r="Z785" s="253"/>
      <c r="AA785" s="253"/>
      <c r="AB785" s="218"/>
    </row>
    <row r="786">
      <c r="A786" s="118"/>
      <c r="B786" s="118"/>
      <c r="C786" s="143"/>
      <c r="D786" s="118"/>
      <c r="E786" s="118"/>
      <c r="F786" s="262"/>
      <c r="G786" s="264"/>
      <c r="H786" s="264"/>
      <c r="I786" s="267"/>
      <c r="J786" s="118"/>
      <c r="K786" s="136"/>
      <c r="L786" s="118"/>
      <c r="M786" s="136"/>
      <c r="N786" s="118"/>
      <c r="O786" s="136"/>
      <c r="P786" s="272"/>
      <c r="Q786" s="272"/>
      <c r="R786" s="272"/>
      <c r="S786" s="272"/>
      <c r="T786" s="272"/>
      <c r="U786" s="272"/>
      <c r="V786" s="273"/>
      <c r="W786" s="253"/>
      <c r="X786" s="253"/>
      <c r="Y786" s="253"/>
      <c r="Z786" s="253"/>
      <c r="AA786" s="253"/>
      <c r="AB786" s="218"/>
    </row>
    <row r="787">
      <c r="A787" s="118"/>
      <c r="B787" s="118"/>
      <c r="C787" s="143"/>
      <c r="D787" s="118"/>
      <c r="E787" s="118"/>
      <c r="F787" s="262"/>
      <c r="G787" s="264"/>
      <c r="H787" s="264"/>
      <c r="I787" s="267"/>
      <c r="J787" s="118"/>
      <c r="K787" s="136"/>
      <c r="L787" s="118"/>
      <c r="M787" s="136"/>
      <c r="N787" s="118"/>
      <c r="O787" s="136"/>
      <c r="P787" s="272"/>
      <c r="Q787" s="272"/>
      <c r="R787" s="272"/>
      <c r="S787" s="272"/>
      <c r="T787" s="272"/>
      <c r="U787" s="272"/>
      <c r="V787" s="273"/>
      <c r="W787" s="253"/>
      <c r="X787" s="253"/>
      <c r="Y787" s="253"/>
      <c r="Z787" s="253"/>
      <c r="AA787" s="253"/>
      <c r="AB787" s="218"/>
    </row>
    <row r="788">
      <c r="A788" s="118"/>
      <c r="B788" s="118"/>
      <c r="C788" s="143"/>
      <c r="D788" s="118"/>
      <c r="E788" s="118"/>
      <c r="F788" s="262"/>
      <c r="G788" s="264"/>
      <c r="H788" s="264"/>
      <c r="I788" s="267"/>
      <c r="J788" s="118"/>
      <c r="K788" s="136"/>
      <c r="L788" s="118"/>
      <c r="M788" s="136"/>
      <c r="N788" s="118"/>
      <c r="O788" s="136"/>
      <c r="P788" s="272"/>
      <c r="Q788" s="272"/>
      <c r="R788" s="272"/>
      <c r="S788" s="272"/>
      <c r="T788" s="272"/>
      <c r="U788" s="272"/>
      <c r="V788" s="273"/>
      <c r="W788" s="253"/>
      <c r="X788" s="253"/>
      <c r="Y788" s="253"/>
      <c r="Z788" s="253"/>
      <c r="AA788" s="253"/>
      <c r="AB788" s="218"/>
    </row>
    <row r="789">
      <c r="A789" s="118"/>
      <c r="B789" s="118"/>
      <c r="C789" s="143"/>
      <c r="D789" s="118"/>
      <c r="E789" s="118"/>
      <c r="F789" s="262"/>
      <c r="G789" s="264"/>
      <c r="H789" s="264"/>
      <c r="I789" s="267"/>
      <c r="J789" s="118"/>
      <c r="K789" s="136"/>
      <c r="L789" s="118"/>
      <c r="M789" s="136"/>
      <c r="N789" s="118"/>
      <c r="O789" s="136"/>
      <c r="P789" s="272"/>
      <c r="Q789" s="272"/>
      <c r="R789" s="272"/>
      <c r="S789" s="272"/>
      <c r="T789" s="272"/>
      <c r="U789" s="272"/>
      <c r="V789" s="273"/>
      <c r="W789" s="253"/>
      <c r="X789" s="253"/>
      <c r="Y789" s="253"/>
      <c r="Z789" s="253"/>
      <c r="AA789" s="253"/>
      <c r="AB789" s="218"/>
    </row>
    <row r="790">
      <c r="A790" s="118"/>
      <c r="B790" s="118"/>
      <c r="C790" s="143"/>
      <c r="D790" s="118"/>
      <c r="E790" s="118"/>
      <c r="F790" s="262"/>
      <c r="G790" s="264"/>
      <c r="H790" s="264"/>
      <c r="I790" s="267"/>
      <c r="J790" s="118"/>
      <c r="K790" s="136"/>
      <c r="L790" s="118"/>
      <c r="M790" s="136"/>
      <c r="N790" s="118"/>
      <c r="O790" s="136"/>
      <c r="P790" s="272"/>
      <c r="Q790" s="272"/>
      <c r="R790" s="272"/>
      <c r="S790" s="272"/>
      <c r="T790" s="272"/>
      <c r="U790" s="272"/>
      <c r="V790" s="273"/>
      <c r="W790" s="253"/>
      <c r="X790" s="253"/>
      <c r="Y790" s="253"/>
      <c r="Z790" s="253"/>
      <c r="AA790" s="253"/>
      <c r="AB790" s="218"/>
    </row>
    <row r="791">
      <c r="A791" s="118"/>
      <c r="B791" s="118"/>
      <c r="C791" s="143"/>
      <c r="D791" s="118"/>
      <c r="E791" s="118"/>
      <c r="F791" s="262"/>
      <c r="G791" s="264"/>
      <c r="H791" s="264"/>
      <c r="I791" s="267"/>
      <c r="J791" s="118"/>
      <c r="K791" s="136"/>
      <c r="L791" s="118"/>
      <c r="M791" s="136"/>
      <c r="N791" s="118"/>
      <c r="O791" s="136"/>
      <c r="P791" s="272"/>
      <c r="Q791" s="272"/>
      <c r="R791" s="272"/>
      <c r="S791" s="272"/>
      <c r="T791" s="272"/>
      <c r="U791" s="272"/>
      <c r="V791" s="273"/>
      <c r="W791" s="253"/>
      <c r="X791" s="253"/>
      <c r="Y791" s="253"/>
      <c r="Z791" s="253"/>
      <c r="AA791" s="253"/>
      <c r="AB791" s="218"/>
    </row>
    <row r="792">
      <c r="A792" s="118"/>
      <c r="B792" s="118"/>
      <c r="C792" s="143"/>
      <c r="D792" s="118"/>
      <c r="E792" s="118"/>
      <c r="F792" s="262"/>
      <c r="G792" s="264"/>
      <c r="H792" s="264"/>
      <c r="I792" s="267"/>
      <c r="J792" s="118"/>
      <c r="K792" s="136"/>
      <c r="L792" s="118"/>
      <c r="M792" s="136"/>
      <c r="N792" s="118"/>
      <c r="O792" s="136"/>
      <c r="P792" s="272"/>
      <c r="Q792" s="272"/>
      <c r="R792" s="272"/>
      <c r="S792" s="272"/>
      <c r="T792" s="272"/>
      <c r="U792" s="272"/>
      <c r="V792" s="273"/>
      <c r="W792" s="253"/>
      <c r="X792" s="253"/>
      <c r="Y792" s="253"/>
      <c r="Z792" s="253"/>
      <c r="AA792" s="253"/>
      <c r="AB792" s="218"/>
    </row>
    <row r="793">
      <c r="A793" s="118"/>
      <c r="B793" s="118"/>
      <c r="C793" s="143"/>
      <c r="D793" s="118"/>
      <c r="E793" s="118"/>
      <c r="F793" s="262"/>
      <c r="G793" s="264"/>
      <c r="H793" s="264"/>
      <c r="I793" s="267"/>
      <c r="J793" s="118"/>
      <c r="K793" s="136"/>
      <c r="L793" s="118"/>
      <c r="M793" s="136"/>
      <c r="N793" s="118"/>
      <c r="O793" s="136"/>
      <c r="P793" s="272"/>
      <c r="Q793" s="272"/>
      <c r="R793" s="272"/>
      <c r="S793" s="272"/>
      <c r="T793" s="272"/>
      <c r="U793" s="272"/>
      <c r="V793" s="273"/>
      <c r="W793" s="253"/>
      <c r="X793" s="253"/>
      <c r="Y793" s="253"/>
      <c r="Z793" s="253"/>
      <c r="AA793" s="253"/>
      <c r="AB793" s="218"/>
    </row>
    <row r="794">
      <c r="A794" s="118"/>
      <c r="B794" s="118"/>
      <c r="C794" s="143"/>
      <c r="D794" s="118"/>
      <c r="E794" s="118"/>
      <c r="F794" s="262"/>
      <c r="G794" s="264"/>
      <c r="H794" s="264"/>
      <c r="I794" s="267"/>
      <c r="J794" s="118"/>
      <c r="K794" s="136"/>
      <c r="L794" s="118"/>
      <c r="M794" s="136"/>
      <c r="N794" s="118"/>
      <c r="O794" s="136"/>
      <c r="P794" s="272"/>
      <c r="Q794" s="272"/>
      <c r="R794" s="272"/>
      <c r="S794" s="272"/>
      <c r="T794" s="272"/>
      <c r="U794" s="272"/>
      <c r="V794" s="273"/>
      <c r="W794" s="253"/>
      <c r="X794" s="253"/>
      <c r="Y794" s="253"/>
      <c r="Z794" s="253"/>
      <c r="AA794" s="253"/>
      <c r="AB794" s="218"/>
    </row>
    <row r="795">
      <c r="A795" s="118"/>
      <c r="B795" s="118"/>
      <c r="C795" s="143"/>
      <c r="D795" s="118"/>
      <c r="E795" s="118"/>
      <c r="F795" s="262"/>
      <c r="G795" s="264"/>
      <c r="H795" s="264"/>
      <c r="I795" s="267"/>
      <c r="J795" s="118"/>
      <c r="K795" s="136"/>
      <c r="L795" s="118"/>
      <c r="M795" s="136"/>
      <c r="N795" s="118"/>
      <c r="O795" s="136"/>
      <c r="P795" s="272"/>
      <c r="Q795" s="272"/>
      <c r="R795" s="272"/>
      <c r="S795" s="272"/>
      <c r="T795" s="272"/>
      <c r="U795" s="272"/>
      <c r="V795" s="273"/>
      <c r="W795" s="253"/>
      <c r="X795" s="253"/>
      <c r="Y795" s="253"/>
      <c r="Z795" s="253"/>
      <c r="AA795" s="253"/>
      <c r="AB795" s="218"/>
    </row>
    <row r="796">
      <c r="A796" s="118"/>
      <c r="B796" s="118"/>
      <c r="C796" s="143"/>
      <c r="D796" s="118"/>
      <c r="E796" s="118"/>
      <c r="F796" s="262"/>
      <c r="G796" s="264"/>
      <c r="H796" s="264"/>
      <c r="I796" s="267"/>
      <c r="J796" s="118"/>
      <c r="K796" s="136"/>
      <c r="L796" s="118"/>
      <c r="M796" s="136"/>
      <c r="N796" s="118"/>
      <c r="O796" s="136"/>
      <c r="P796" s="272"/>
      <c r="Q796" s="272"/>
      <c r="R796" s="272"/>
      <c r="S796" s="272"/>
      <c r="T796" s="272"/>
      <c r="U796" s="272"/>
      <c r="V796" s="273"/>
      <c r="W796" s="253"/>
      <c r="X796" s="253"/>
      <c r="Y796" s="253"/>
      <c r="Z796" s="253"/>
      <c r="AA796" s="253"/>
      <c r="AB796" s="218"/>
    </row>
    <row r="797">
      <c r="A797" s="118"/>
      <c r="B797" s="118"/>
      <c r="C797" s="143"/>
      <c r="D797" s="118"/>
      <c r="E797" s="118"/>
      <c r="F797" s="262"/>
      <c r="G797" s="264"/>
      <c r="H797" s="264"/>
      <c r="I797" s="267"/>
      <c r="J797" s="118"/>
      <c r="K797" s="136"/>
      <c r="L797" s="118"/>
      <c r="M797" s="136"/>
      <c r="N797" s="118"/>
      <c r="O797" s="136"/>
      <c r="P797" s="272"/>
      <c r="Q797" s="272"/>
      <c r="R797" s="272"/>
      <c r="S797" s="272"/>
      <c r="T797" s="272"/>
      <c r="U797" s="272"/>
      <c r="V797" s="273"/>
      <c r="W797" s="253"/>
      <c r="X797" s="253"/>
      <c r="Y797" s="253"/>
      <c r="Z797" s="253"/>
      <c r="AA797" s="253"/>
      <c r="AB797" s="218"/>
    </row>
    <row r="798">
      <c r="A798" s="118"/>
      <c r="B798" s="118"/>
      <c r="C798" s="143"/>
      <c r="D798" s="118"/>
      <c r="E798" s="118"/>
      <c r="F798" s="262"/>
      <c r="G798" s="264"/>
      <c r="H798" s="264"/>
      <c r="I798" s="267"/>
      <c r="J798" s="118"/>
      <c r="K798" s="136"/>
      <c r="L798" s="118"/>
      <c r="M798" s="136"/>
      <c r="N798" s="118"/>
      <c r="O798" s="136"/>
      <c r="P798" s="272"/>
      <c r="Q798" s="272"/>
      <c r="R798" s="272"/>
      <c r="S798" s="272"/>
      <c r="T798" s="272"/>
      <c r="U798" s="272"/>
      <c r="V798" s="273"/>
      <c r="W798" s="253"/>
      <c r="X798" s="253"/>
      <c r="Y798" s="253"/>
      <c r="Z798" s="253"/>
      <c r="AA798" s="253"/>
      <c r="AB798" s="218"/>
    </row>
    <row r="799">
      <c r="A799" s="118"/>
      <c r="B799" s="118"/>
      <c r="C799" s="143"/>
      <c r="D799" s="118"/>
      <c r="E799" s="118"/>
      <c r="F799" s="262"/>
      <c r="G799" s="264"/>
      <c r="H799" s="264"/>
      <c r="I799" s="267"/>
      <c r="J799" s="118"/>
      <c r="K799" s="136"/>
      <c r="L799" s="118"/>
      <c r="M799" s="136"/>
      <c r="N799" s="118"/>
      <c r="O799" s="136"/>
      <c r="P799" s="272"/>
      <c r="Q799" s="272"/>
      <c r="R799" s="272"/>
      <c r="S799" s="272"/>
      <c r="T799" s="272"/>
      <c r="U799" s="272"/>
      <c r="V799" s="273"/>
      <c r="W799" s="253"/>
      <c r="X799" s="253"/>
      <c r="Y799" s="253"/>
      <c r="Z799" s="253"/>
      <c r="AA799" s="253"/>
      <c r="AB799" s="218"/>
    </row>
    <row r="800">
      <c r="A800" s="118"/>
      <c r="B800" s="118"/>
      <c r="C800" s="143"/>
      <c r="D800" s="118"/>
      <c r="E800" s="118"/>
      <c r="F800" s="262"/>
      <c r="G800" s="264"/>
      <c r="H800" s="264"/>
      <c r="I800" s="267"/>
      <c r="J800" s="118"/>
      <c r="K800" s="136"/>
      <c r="L800" s="118"/>
      <c r="M800" s="136"/>
      <c r="N800" s="118"/>
      <c r="O800" s="136"/>
      <c r="P800" s="272"/>
      <c r="Q800" s="272"/>
      <c r="R800" s="272"/>
      <c r="S800" s="272"/>
      <c r="T800" s="272"/>
      <c r="U800" s="272"/>
      <c r="V800" s="273"/>
      <c r="W800" s="253"/>
      <c r="X800" s="253"/>
      <c r="Y800" s="253"/>
      <c r="Z800" s="253"/>
      <c r="AA800" s="253"/>
      <c r="AB800" s="218"/>
    </row>
    <row r="801">
      <c r="A801" s="118"/>
      <c r="B801" s="118"/>
      <c r="C801" s="143"/>
      <c r="D801" s="118"/>
      <c r="E801" s="118"/>
      <c r="F801" s="262"/>
      <c r="G801" s="264"/>
      <c r="H801" s="264"/>
      <c r="I801" s="267"/>
      <c r="J801" s="118"/>
      <c r="K801" s="136"/>
      <c r="L801" s="118"/>
      <c r="M801" s="136"/>
      <c r="N801" s="118"/>
      <c r="O801" s="136"/>
      <c r="P801" s="272"/>
      <c r="Q801" s="272"/>
      <c r="R801" s="272"/>
      <c r="S801" s="272"/>
      <c r="T801" s="272"/>
      <c r="U801" s="272"/>
      <c r="V801" s="273"/>
      <c r="W801" s="253"/>
      <c r="X801" s="253"/>
      <c r="Y801" s="253"/>
      <c r="Z801" s="253"/>
      <c r="AA801" s="253"/>
      <c r="AB801" s="218"/>
    </row>
    <row r="802">
      <c r="A802" s="118"/>
      <c r="B802" s="118"/>
      <c r="C802" s="143"/>
      <c r="D802" s="118"/>
      <c r="E802" s="118"/>
      <c r="F802" s="262"/>
      <c r="G802" s="264"/>
      <c r="H802" s="264"/>
      <c r="I802" s="267"/>
      <c r="J802" s="118"/>
      <c r="K802" s="136"/>
      <c r="L802" s="118"/>
      <c r="M802" s="136"/>
      <c r="N802" s="118"/>
      <c r="O802" s="136"/>
      <c r="P802" s="272"/>
      <c r="Q802" s="272"/>
      <c r="R802" s="272"/>
      <c r="S802" s="272"/>
      <c r="T802" s="272"/>
      <c r="U802" s="272"/>
      <c r="V802" s="273"/>
      <c r="W802" s="253"/>
      <c r="X802" s="253"/>
      <c r="Y802" s="253"/>
      <c r="Z802" s="253"/>
      <c r="AA802" s="253"/>
      <c r="AB802" s="218"/>
    </row>
    <row r="803">
      <c r="A803" s="118"/>
      <c r="B803" s="118"/>
      <c r="C803" s="143"/>
      <c r="D803" s="118"/>
      <c r="E803" s="118"/>
      <c r="F803" s="262"/>
      <c r="G803" s="264"/>
      <c r="H803" s="264"/>
      <c r="I803" s="267"/>
      <c r="J803" s="118"/>
      <c r="K803" s="136"/>
      <c r="L803" s="118"/>
      <c r="M803" s="136"/>
      <c r="N803" s="118"/>
      <c r="O803" s="136"/>
      <c r="P803" s="272"/>
      <c r="Q803" s="272"/>
      <c r="R803" s="272"/>
      <c r="S803" s="272"/>
      <c r="T803" s="272"/>
      <c r="U803" s="272"/>
      <c r="V803" s="273"/>
      <c r="W803" s="253"/>
      <c r="X803" s="253"/>
      <c r="Y803" s="253"/>
      <c r="Z803" s="253"/>
      <c r="AA803" s="253"/>
      <c r="AB803" s="218"/>
    </row>
    <row r="804">
      <c r="A804" s="118"/>
      <c r="B804" s="118"/>
      <c r="C804" s="143"/>
      <c r="D804" s="118"/>
      <c r="E804" s="118"/>
      <c r="F804" s="262"/>
      <c r="G804" s="264"/>
      <c r="H804" s="264"/>
      <c r="I804" s="267"/>
      <c r="J804" s="118"/>
      <c r="K804" s="136"/>
      <c r="L804" s="118"/>
      <c r="M804" s="136"/>
      <c r="N804" s="118"/>
      <c r="O804" s="136"/>
      <c r="P804" s="272"/>
      <c r="Q804" s="272"/>
      <c r="R804" s="272"/>
      <c r="S804" s="272"/>
      <c r="T804" s="272"/>
      <c r="U804" s="272"/>
      <c r="V804" s="273"/>
      <c r="W804" s="253"/>
      <c r="X804" s="253"/>
      <c r="Y804" s="253"/>
      <c r="Z804" s="253"/>
      <c r="AA804" s="253"/>
      <c r="AB804" s="218"/>
    </row>
    <row r="805">
      <c r="A805" s="118"/>
      <c r="B805" s="118"/>
      <c r="C805" s="143"/>
      <c r="D805" s="118"/>
      <c r="E805" s="118"/>
      <c r="F805" s="262"/>
      <c r="G805" s="264"/>
      <c r="H805" s="264"/>
      <c r="I805" s="267"/>
      <c r="J805" s="118"/>
      <c r="K805" s="136"/>
      <c r="L805" s="118"/>
      <c r="M805" s="136"/>
      <c r="N805" s="118"/>
      <c r="O805" s="136"/>
      <c r="P805" s="272"/>
      <c r="Q805" s="272"/>
      <c r="R805" s="272"/>
      <c r="S805" s="272"/>
      <c r="T805" s="272"/>
      <c r="U805" s="272"/>
      <c r="V805" s="273"/>
      <c r="W805" s="253"/>
      <c r="X805" s="253"/>
      <c r="Y805" s="253"/>
      <c r="Z805" s="253"/>
      <c r="AA805" s="253"/>
      <c r="AB805" s="218"/>
    </row>
    <row r="806">
      <c r="A806" s="118"/>
      <c r="B806" s="118"/>
      <c r="C806" s="143"/>
      <c r="D806" s="118"/>
      <c r="E806" s="118"/>
      <c r="F806" s="262"/>
      <c r="G806" s="264"/>
      <c r="H806" s="264"/>
      <c r="I806" s="267"/>
      <c r="J806" s="118"/>
      <c r="K806" s="136"/>
      <c r="L806" s="118"/>
      <c r="M806" s="136"/>
      <c r="N806" s="118"/>
      <c r="O806" s="136"/>
      <c r="P806" s="272"/>
      <c r="Q806" s="272"/>
      <c r="R806" s="272"/>
      <c r="S806" s="272"/>
      <c r="T806" s="272"/>
      <c r="U806" s="272"/>
      <c r="V806" s="273"/>
      <c r="W806" s="253"/>
      <c r="X806" s="253"/>
      <c r="Y806" s="253"/>
      <c r="Z806" s="253"/>
      <c r="AA806" s="253"/>
      <c r="AB806" s="218"/>
    </row>
    <row r="807">
      <c r="A807" s="118"/>
      <c r="B807" s="118"/>
      <c r="C807" s="143"/>
      <c r="D807" s="118"/>
      <c r="E807" s="118"/>
      <c r="F807" s="262"/>
      <c r="G807" s="264"/>
      <c r="H807" s="264"/>
      <c r="I807" s="267"/>
      <c r="J807" s="118"/>
      <c r="K807" s="136"/>
      <c r="L807" s="118"/>
      <c r="M807" s="136"/>
      <c r="N807" s="118"/>
      <c r="O807" s="136"/>
      <c r="P807" s="272"/>
      <c r="Q807" s="272"/>
      <c r="R807" s="272"/>
      <c r="S807" s="272"/>
      <c r="T807" s="272"/>
      <c r="U807" s="272"/>
      <c r="V807" s="273"/>
      <c r="W807" s="253"/>
      <c r="X807" s="253"/>
      <c r="Y807" s="253"/>
      <c r="Z807" s="253"/>
      <c r="AA807" s="253"/>
      <c r="AB807" s="218"/>
    </row>
    <row r="808">
      <c r="A808" s="118"/>
      <c r="B808" s="118"/>
      <c r="C808" s="143"/>
      <c r="D808" s="118"/>
      <c r="E808" s="118"/>
      <c r="F808" s="262"/>
      <c r="G808" s="264"/>
      <c r="H808" s="264"/>
      <c r="I808" s="267"/>
      <c r="J808" s="118"/>
      <c r="K808" s="136"/>
      <c r="L808" s="118"/>
      <c r="M808" s="136"/>
      <c r="N808" s="118"/>
      <c r="O808" s="136"/>
      <c r="P808" s="272"/>
      <c r="Q808" s="272"/>
      <c r="R808" s="272"/>
      <c r="S808" s="272"/>
      <c r="T808" s="272"/>
      <c r="U808" s="272"/>
      <c r="V808" s="273"/>
      <c r="W808" s="253"/>
      <c r="X808" s="253"/>
      <c r="Y808" s="253"/>
      <c r="Z808" s="253"/>
      <c r="AA808" s="253"/>
      <c r="AB808" s="218"/>
    </row>
    <row r="809">
      <c r="A809" s="118"/>
      <c r="B809" s="118"/>
      <c r="C809" s="143"/>
      <c r="D809" s="118"/>
      <c r="E809" s="118"/>
      <c r="F809" s="262"/>
      <c r="G809" s="264"/>
      <c r="H809" s="264"/>
      <c r="I809" s="267"/>
      <c r="J809" s="118"/>
      <c r="K809" s="136"/>
      <c r="L809" s="118"/>
      <c r="M809" s="136"/>
      <c r="N809" s="118"/>
      <c r="O809" s="136"/>
      <c r="P809" s="272"/>
      <c r="Q809" s="272"/>
      <c r="R809" s="272"/>
      <c r="S809" s="272"/>
      <c r="T809" s="272"/>
      <c r="U809" s="272"/>
      <c r="V809" s="273"/>
      <c r="W809" s="253"/>
      <c r="X809" s="253"/>
      <c r="Y809" s="253"/>
      <c r="Z809" s="253"/>
      <c r="AA809" s="253"/>
      <c r="AB809" s="218"/>
    </row>
    <row r="810">
      <c r="A810" s="118"/>
      <c r="B810" s="118"/>
      <c r="C810" s="143"/>
      <c r="D810" s="118"/>
      <c r="E810" s="118"/>
      <c r="F810" s="262"/>
      <c r="G810" s="264"/>
      <c r="H810" s="264"/>
      <c r="I810" s="267"/>
      <c r="J810" s="118"/>
      <c r="K810" s="136"/>
      <c r="L810" s="118"/>
      <c r="M810" s="136"/>
      <c r="N810" s="118"/>
      <c r="O810" s="136"/>
      <c r="P810" s="272"/>
      <c r="Q810" s="272"/>
      <c r="R810" s="272"/>
      <c r="S810" s="272"/>
      <c r="T810" s="272"/>
      <c r="U810" s="272"/>
      <c r="V810" s="273"/>
      <c r="W810" s="253"/>
      <c r="X810" s="253"/>
      <c r="Y810" s="253"/>
      <c r="Z810" s="253"/>
      <c r="AA810" s="253"/>
      <c r="AB810" s="218"/>
    </row>
    <row r="811">
      <c r="A811" s="118"/>
      <c r="B811" s="118"/>
      <c r="C811" s="143"/>
      <c r="D811" s="118"/>
      <c r="E811" s="118"/>
      <c r="F811" s="262"/>
      <c r="G811" s="264"/>
      <c r="H811" s="264"/>
      <c r="I811" s="267"/>
      <c r="J811" s="118"/>
      <c r="K811" s="136"/>
      <c r="L811" s="118"/>
      <c r="M811" s="136"/>
      <c r="N811" s="118"/>
      <c r="O811" s="136"/>
      <c r="P811" s="272"/>
      <c r="Q811" s="272"/>
      <c r="R811" s="272"/>
      <c r="S811" s="272"/>
      <c r="T811" s="272"/>
      <c r="U811" s="272"/>
      <c r="V811" s="273"/>
      <c r="W811" s="253"/>
      <c r="X811" s="253"/>
      <c r="Y811" s="253"/>
      <c r="Z811" s="253"/>
      <c r="AA811" s="253"/>
      <c r="AB811" s="218"/>
    </row>
    <row r="812">
      <c r="A812" s="118"/>
      <c r="B812" s="118"/>
      <c r="C812" s="143"/>
      <c r="D812" s="118"/>
      <c r="E812" s="118"/>
      <c r="F812" s="262"/>
      <c r="G812" s="264"/>
      <c r="H812" s="264"/>
      <c r="I812" s="267"/>
      <c r="J812" s="118"/>
      <c r="K812" s="136"/>
      <c r="L812" s="118"/>
      <c r="M812" s="136"/>
      <c r="N812" s="118"/>
      <c r="O812" s="136"/>
      <c r="P812" s="272"/>
      <c r="Q812" s="272"/>
      <c r="R812" s="272"/>
      <c r="S812" s="272"/>
      <c r="T812" s="272"/>
      <c r="U812" s="272"/>
      <c r="V812" s="273"/>
      <c r="W812" s="253"/>
      <c r="X812" s="253"/>
      <c r="Y812" s="253"/>
      <c r="Z812" s="253"/>
      <c r="AA812" s="253"/>
      <c r="AB812" s="218"/>
    </row>
    <row r="813">
      <c r="A813" s="118"/>
      <c r="B813" s="118"/>
      <c r="C813" s="143"/>
      <c r="D813" s="118"/>
      <c r="E813" s="118"/>
      <c r="F813" s="262"/>
      <c r="G813" s="264"/>
      <c r="H813" s="264"/>
      <c r="I813" s="267"/>
      <c r="J813" s="118"/>
      <c r="K813" s="136"/>
      <c r="L813" s="118"/>
      <c r="M813" s="136"/>
      <c r="N813" s="118"/>
      <c r="O813" s="136"/>
      <c r="P813" s="272"/>
      <c r="Q813" s="272"/>
      <c r="R813" s="272"/>
      <c r="S813" s="272"/>
      <c r="T813" s="272"/>
      <c r="U813" s="272"/>
      <c r="V813" s="273"/>
      <c r="W813" s="253"/>
      <c r="X813" s="253"/>
      <c r="Y813" s="253"/>
      <c r="Z813" s="253"/>
      <c r="AA813" s="253"/>
      <c r="AB813" s="218"/>
    </row>
    <row r="814">
      <c r="A814" s="118"/>
      <c r="B814" s="118"/>
      <c r="C814" s="143"/>
      <c r="D814" s="118"/>
      <c r="E814" s="118"/>
      <c r="F814" s="262"/>
      <c r="G814" s="264"/>
      <c r="H814" s="264"/>
      <c r="I814" s="267"/>
      <c r="J814" s="118"/>
      <c r="K814" s="136"/>
      <c r="L814" s="118"/>
      <c r="M814" s="136"/>
      <c r="N814" s="118"/>
      <c r="O814" s="136"/>
      <c r="P814" s="272"/>
      <c r="Q814" s="272"/>
      <c r="R814" s="272"/>
      <c r="S814" s="272"/>
      <c r="T814" s="272"/>
      <c r="U814" s="272"/>
      <c r="V814" s="273"/>
      <c r="W814" s="253"/>
      <c r="X814" s="253"/>
      <c r="Y814" s="253"/>
      <c r="Z814" s="253"/>
      <c r="AA814" s="253"/>
      <c r="AB814" s="218"/>
    </row>
    <row r="815">
      <c r="A815" s="118"/>
      <c r="B815" s="118"/>
      <c r="C815" s="143"/>
      <c r="D815" s="118"/>
      <c r="E815" s="118"/>
      <c r="F815" s="262"/>
      <c r="G815" s="264"/>
      <c r="H815" s="264"/>
      <c r="I815" s="267"/>
      <c r="J815" s="118"/>
      <c r="K815" s="136"/>
      <c r="L815" s="118"/>
      <c r="M815" s="136"/>
      <c r="N815" s="118"/>
      <c r="O815" s="136"/>
      <c r="P815" s="272"/>
      <c r="Q815" s="272"/>
      <c r="R815" s="272"/>
      <c r="S815" s="272"/>
      <c r="T815" s="272"/>
      <c r="U815" s="272"/>
      <c r="V815" s="273"/>
      <c r="W815" s="253"/>
      <c r="X815" s="253"/>
      <c r="Y815" s="253"/>
      <c r="Z815" s="253"/>
      <c r="AA815" s="253"/>
      <c r="AB815" s="218"/>
    </row>
    <row r="816">
      <c r="A816" s="118"/>
      <c r="B816" s="118"/>
      <c r="C816" s="143"/>
      <c r="D816" s="118"/>
      <c r="E816" s="118"/>
      <c r="F816" s="262"/>
      <c r="G816" s="264"/>
      <c r="H816" s="264"/>
      <c r="I816" s="267"/>
      <c r="J816" s="118"/>
      <c r="K816" s="136"/>
      <c r="L816" s="118"/>
      <c r="M816" s="136"/>
      <c r="N816" s="118"/>
      <c r="O816" s="136"/>
      <c r="P816" s="272"/>
      <c r="Q816" s="272"/>
      <c r="R816" s="272"/>
      <c r="S816" s="272"/>
      <c r="T816" s="272"/>
      <c r="U816" s="272"/>
      <c r="V816" s="273"/>
      <c r="W816" s="253"/>
      <c r="X816" s="253"/>
      <c r="Y816" s="253"/>
      <c r="Z816" s="253"/>
      <c r="AA816" s="253"/>
      <c r="AB816" s="218"/>
    </row>
    <row r="817">
      <c r="A817" s="118"/>
      <c r="B817" s="118"/>
      <c r="C817" s="143"/>
      <c r="D817" s="118"/>
      <c r="E817" s="118"/>
      <c r="F817" s="262"/>
      <c r="G817" s="264"/>
      <c r="H817" s="264"/>
      <c r="I817" s="267"/>
      <c r="J817" s="118"/>
      <c r="K817" s="136"/>
      <c r="L817" s="118"/>
      <c r="M817" s="136"/>
      <c r="N817" s="118"/>
      <c r="O817" s="136"/>
      <c r="P817" s="272"/>
      <c r="Q817" s="272"/>
      <c r="R817" s="272"/>
      <c r="S817" s="272"/>
      <c r="T817" s="272"/>
      <c r="U817" s="272"/>
      <c r="V817" s="273"/>
      <c r="W817" s="253"/>
      <c r="X817" s="253"/>
      <c r="Y817" s="253"/>
      <c r="Z817" s="253"/>
      <c r="AA817" s="253"/>
      <c r="AB817" s="218"/>
    </row>
    <row r="818">
      <c r="A818" s="118"/>
      <c r="B818" s="118"/>
      <c r="C818" s="143"/>
      <c r="D818" s="118"/>
      <c r="E818" s="118"/>
      <c r="F818" s="262"/>
      <c r="G818" s="264"/>
      <c r="H818" s="264"/>
      <c r="I818" s="267"/>
      <c r="J818" s="118"/>
      <c r="K818" s="136"/>
      <c r="L818" s="118"/>
      <c r="M818" s="136"/>
      <c r="N818" s="118"/>
      <c r="O818" s="136"/>
      <c r="P818" s="272"/>
      <c r="Q818" s="272"/>
      <c r="R818" s="272"/>
      <c r="S818" s="272"/>
      <c r="T818" s="272"/>
      <c r="U818" s="272"/>
      <c r="V818" s="273"/>
      <c r="W818" s="253"/>
      <c r="X818" s="253"/>
      <c r="Y818" s="253"/>
      <c r="Z818" s="253"/>
      <c r="AA818" s="253"/>
      <c r="AB818" s="218"/>
    </row>
    <row r="819">
      <c r="A819" s="118"/>
      <c r="B819" s="118"/>
      <c r="C819" s="143"/>
      <c r="D819" s="118"/>
      <c r="E819" s="118"/>
      <c r="F819" s="262"/>
      <c r="G819" s="264"/>
      <c r="H819" s="264"/>
      <c r="I819" s="267"/>
      <c r="J819" s="118"/>
      <c r="K819" s="136"/>
      <c r="L819" s="118"/>
      <c r="M819" s="136"/>
      <c r="N819" s="118"/>
      <c r="O819" s="136"/>
      <c r="P819" s="272"/>
      <c r="Q819" s="272"/>
      <c r="R819" s="272"/>
      <c r="S819" s="272"/>
      <c r="T819" s="272"/>
      <c r="U819" s="272"/>
      <c r="V819" s="273"/>
      <c r="W819" s="253"/>
      <c r="X819" s="253"/>
      <c r="Y819" s="253"/>
      <c r="Z819" s="253"/>
      <c r="AA819" s="253"/>
      <c r="AB819" s="218"/>
    </row>
    <row r="820">
      <c r="A820" s="118"/>
      <c r="B820" s="118"/>
      <c r="C820" s="143"/>
      <c r="D820" s="118"/>
      <c r="E820" s="118"/>
      <c r="F820" s="262"/>
      <c r="G820" s="264"/>
      <c r="H820" s="264"/>
      <c r="I820" s="267"/>
      <c r="J820" s="118"/>
      <c r="K820" s="136"/>
      <c r="L820" s="118"/>
      <c r="M820" s="136"/>
      <c r="N820" s="118"/>
      <c r="O820" s="136"/>
      <c r="P820" s="272"/>
      <c r="Q820" s="272"/>
      <c r="R820" s="272"/>
      <c r="S820" s="272"/>
      <c r="T820" s="272"/>
      <c r="U820" s="272"/>
      <c r="V820" s="273"/>
      <c r="W820" s="253"/>
      <c r="X820" s="253"/>
      <c r="Y820" s="253"/>
      <c r="Z820" s="253"/>
      <c r="AA820" s="253"/>
      <c r="AB820" s="218"/>
    </row>
    <row r="821">
      <c r="A821" s="118"/>
      <c r="B821" s="118"/>
      <c r="C821" s="143"/>
      <c r="D821" s="118"/>
      <c r="E821" s="118"/>
      <c r="F821" s="262"/>
      <c r="G821" s="264"/>
      <c r="H821" s="264"/>
      <c r="I821" s="267"/>
      <c r="J821" s="118"/>
      <c r="K821" s="136"/>
      <c r="L821" s="118"/>
      <c r="M821" s="136"/>
      <c r="N821" s="118"/>
      <c r="O821" s="136"/>
      <c r="P821" s="272"/>
      <c r="Q821" s="272"/>
      <c r="R821" s="272"/>
      <c r="S821" s="272"/>
      <c r="T821" s="272"/>
      <c r="U821" s="272"/>
      <c r="V821" s="273"/>
      <c r="W821" s="253"/>
      <c r="X821" s="253"/>
      <c r="Y821" s="253"/>
      <c r="Z821" s="253"/>
      <c r="AA821" s="253"/>
      <c r="AB821" s="218"/>
    </row>
    <row r="822">
      <c r="A822" s="118"/>
      <c r="B822" s="118"/>
      <c r="C822" s="143"/>
      <c r="D822" s="118"/>
      <c r="E822" s="118"/>
      <c r="F822" s="262"/>
      <c r="G822" s="264"/>
      <c r="H822" s="264"/>
      <c r="I822" s="267"/>
      <c r="J822" s="118"/>
      <c r="K822" s="136"/>
      <c r="L822" s="118"/>
      <c r="M822" s="136"/>
      <c r="N822" s="118"/>
      <c r="O822" s="136"/>
      <c r="P822" s="272"/>
      <c r="Q822" s="272"/>
      <c r="R822" s="272"/>
      <c r="S822" s="272"/>
      <c r="T822" s="272"/>
      <c r="U822" s="272"/>
      <c r="V822" s="273"/>
      <c r="W822" s="253"/>
      <c r="X822" s="253"/>
      <c r="Y822" s="253"/>
      <c r="Z822" s="253"/>
      <c r="AA822" s="253"/>
      <c r="AB822" s="218"/>
    </row>
    <row r="823">
      <c r="A823" s="118"/>
      <c r="B823" s="118"/>
      <c r="C823" s="143"/>
      <c r="D823" s="118"/>
      <c r="E823" s="118"/>
      <c r="F823" s="262"/>
      <c r="G823" s="264"/>
      <c r="H823" s="264"/>
      <c r="I823" s="267"/>
      <c r="J823" s="118"/>
      <c r="K823" s="136"/>
      <c r="L823" s="118"/>
      <c r="M823" s="136"/>
      <c r="N823" s="118"/>
      <c r="O823" s="136"/>
      <c r="P823" s="272"/>
      <c r="Q823" s="272"/>
      <c r="R823" s="272"/>
      <c r="S823" s="272"/>
      <c r="T823" s="272"/>
      <c r="U823" s="272"/>
      <c r="V823" s="273"/>
      <c r="W823" s="253"/>
      <c r="X823" s="253"/>
      <c r="Y823" s="253"/>
      <c r="Z823" s="253"/>
      <c r="AA823" s="253"/>
      <c r="AB823" s="218"/>
    </row>
    <row r="824">
      <c r="A824" s="118"/>
      <c r="B824" s="118"/>
      <c r="C824" s="143"/>
      <c r="D824" s="118"/>
      <c r="E824" s="118"/>
      <c r="F824" s="262"/>
      <c r="G824" s="264"/>
      <c r="H824" s="264"/>
      <c r="I824" s="267"/>
      <c r="J824" s="118"/>
      <c r="K824" s="136"/>
      <c r="L824" s="118"/>
      <c r="M824" s="136"/>
      <c r="N824" s="118"/>
      <c r="O824" s="136"/>
      <c r="P824" s="272"/>
      <c r="Q824" s="272"/>
      <c r="R824" s="272"/>
      <c r="S824" s="272"/>
      <c r="T824" s="272"/>
      <c r="U824" s="272"/>
      <c r="V824" s="273"/>
      <c r="W824" s="253"/>
      <c r="X824" s="253"/>
      <c r="Y824" s="253"/>
      <c r="Z824" s="253"/>
      <c r="AA824" s="253"/>
      <c r="AB824" s="218"/>
    </row>
    <row r="825">
      <c r="A825" s="118"/>
      <c r="B825" s="118"/>
      <c r="C825" s="143"/>
      <c r="D825" s="118"/>
      <c r="E825" s="118"/>
      <c r="F825" s="262"/>
      <c r="G825" s="264"/>
      <c r="H825" s="264"/>
      <c r="I825" s="267"/>
      <c r="J825" s="118"/>
      <c r="K825" s="136"/>
      <c r="L825" s="118"/>
      <c r="M825" s="136"/>
      <c r="N825" s="118"/>
      <c r="O825" s="136"/>
      <c r="P825" s="272"/>
      <c r="Q825" s="272"/>
      <c r="R825" s="272"/>
      <c r="S825" s="272"/>
      <c r="T825" s="272"/>
      <c r="U825" s="272"/>
      <c r="V825" s="273"/>
      <c r="W825" s="253"/>
      <c r="X825" s="253"/>
      <c r="Y825" s="253"/>
      <c r="Z825" s="253"/>
      <c r="AA825" s="253"/>
      <c r="AB825" s="218"/>
    </row>
    <row r="826">
      <c r="A826" s="118"/>
      <c r="B826" s="118"/>
      <c r="C826" s="143"/>
      <c r="D826" s="118"/>
      <c r="E826" s="118"/>
      <c r="F826" s="262"/>
      <c r="G826" s="264"/>
      <c r="H826" s="264"/>
      <c r="I826" s="267"/>
      <c r="J826" s="118"/>
      <c r="K826" s="136"/>
      <c r="L826" s="118"/>
      <c r="M826" s="136"/>
      <c r="N826" s="118"/>
      <c r="O826" s="136"/>
      <c r="P826" s="272"/>
      <c r="Q826" s="272"/>
      <c r="R826" s="272"/>
      <c r="S826" s="272"/>
      <c r="T826" s="272"/>
      <c r="U826" s="272"/>
      <c r="V826" s="273"/>
      <c r="W826" s="253"/>
      <c r="X826" s="253"/>
      <c r="Y826" s="253"/>
      <c r="Z826" s="253"/>
      <c r="AA826" s="253"/>
      <c r="AB826" s="218"/>
    </row>
    <row r="827">
      <c r="A827" s="118"/>
      <c r="B827" s="118"/>
      <c r="C827" s="143"/>
      <c r="D827" s="118"/>
      <c r="E827" s="118"/>
      <c r="F827" s="262"/>
      <c r="G827" s="264"/>
      <c r="H827" s="264"/>
      <c r="I827" s="267"/>
      <c r="J827" s="118"/>
      <c r="K827" s="136"/>
      <c r="L827" s="118"/>
      <c r="M827" s="136"/>
      <c r="N827" s="118"/>
      <c r="O827" s="136"/>
      <c r="P827" s="272"/>
      <c r="Q827" s="272"/>
      <c r="R827" s="272"/>
      <c r="S827" s="272"/>
      <c r="T827" s="272"/>
      <c r="U827" s="272"/>
      <c r="V827" s="273"/>
      <c r="W827" s="253"/>
      <c r="X827" s="253"/>
      <c r="Y827" s="253"/>
      <c r="Z827" s="253"/>
      <c r="AA827" s="253"/>
      <c r="AB827" s="218"/>
    </row>
    <row r="828">
      <c r="A828" s="118"/>
      <c r="B828" s="118"/>
      <c r="C828" s="143"/>
      <c r="D828" s="118"/>
      <c r="E828" s="118"/>
      <c r="F828" s="262"/>
      <c r="G828" s="264"/>
      <c r="H828" s="264"/>
      <c r="I828" s="267"/>
      <c r="J828" s="118"/>
      <c r="K828" s="136"/>
      <c r="L828" s="118"/>
      <c r="M828" s="136"/>
      <c r="N828" s="118"/>
      <c r="O828" s="136"/>
      <c r="P828" s="272"/>
      <c r="Q828" s="272"/>
      <c r="R828" s="272"/>
      <c r="S828" s="272"/>
      <c r="T828" s="272"/>
      <c r="U828" s="272"/>
      <c r="V828" s="273"/>
      <c r="W828" s="253"/>
      <c r="X828" s="253"/>
      <c r="Y828" s="253"/>
      <c r="Z828" s="253"/>
      <c r="AA828" s="253"/>
      <c r="AB828" s="218"/>
    </row>
    <row r="829">
      <c r="A829" s="118"/>
      <c r="B829" s="118"/>
      <c r="C829" s="143"/>
      <c r="D829" s="118"/>
      <c r="E829" s="118"/>
      <c r="F829" s="262"/>
      <c r="G829" s="264"/>
      <c r="H829" s="264"/>
      <c r="I829" s="267"/>
      <c r="J829" s="118"/>
      <c r="K829" s="136"/>
      <c r="L829" s="118"/>
      <c r="M829" s="136"/>
      <c r="N829" s="118"/>
      <c r="O829" s="136"/>
      <c r="P829" s="272"/>
      <c r="Q829" s="272"/>
      <c r="R829" s="272"/>
      <c r="S829" s="272"/>
      <c r="T829" s="272"/>
      <c r="U829" s="272"/>
      <c r="V829" s="273"/>
      <c r="W829" s="253"/>
      <c r="X829" s="253"/>
      <c r="Y829" s="253"/>
      <c r="Z829" s="253"/>
      <c r="AA829" s="253"/>
      <c r="AB829" s="218"/>
    </row>
    <row r="830">
      <c r="A830" s="118"/>
      <c r="B830" s="118"/>
      <c r="C830" s="143"/>
      <c r="D830" s="118"/>
      <c r="E830" s="118"/>
      <c r="F830" s="262"/>
      <c r="G830" s="264"/>
      <c r="H830" s="264"/>
      <c r="I830" s="267"/>
      <c r="J830" s="118"/>
      <c r="K830" s="136"/>
      <c r="L830" s="118"/>
      <c r="M830" s="136"/>
      <c r="N830" s="118"/>
      <c r="O830" s="136"/>
      <c r="P830" s="272"/>
      <c r="Q830" s="272"/>
      <c r="R830" s="272"/>
      <c r="S830" s="272"/>
      <c r="T830" s="272"/>
      <c r="U830" s="272"/>
      <c r="V830" s="273"/>
      <c r="W830" s="253"/>
      <c r="X830" s="253"/>
      <c r="Y830" s="253"/>
      <c r="Z830" s="253"/>
      <c r="AA830" s="253"/>
      <c r="AB830" s="218"/>
    </row>
    <row r="831">
      <c r="A831" s="118"/>
      <c r="B831" s="118"/>
      <c r="C831" s="143"/>
      <c r="D831" s="118"/>
      <c r="E831" s="118"/>
      <c r="F831" s="262"/>
      <c r="G831" s="264"/>
      <c r="H831" s="264"/>
      <c r="I831" s="267"/>
      <c r="J831" s="118"/>
      <c r="K831" s="136"/>
      <c r="L831" s="118"/>
      <c r="M831" s="136"/>
      <c r="N831" s="118"/>
      <c r="O831" s="136"/>
      <c r="P831" s="272"/>
      <c r="Q831" s="272"/>
      <c r="R831" s="272"/>
      <c r="S831" s="272"/>
      <c r="T831" s="272"/>
      <c r="U831" s="272"/>
      <c r="V831" s="273"/>
      <c r="W831" s="253"/>
      <c r="X831" s="253"/>
      <c r="Y831" s="253"/>
      <c r="Z831" s="253"/>
      <c r="AA831" s="253"/>
      <c r="AB831" s="218"/>
    </row>
    <row r="832">
      <c r="A832" s="118"/>
      <c r="B832" s="118"/>
      <c r="C832" s="143"/>
      <c r="D832" s="118"/>
      <c r="E832" s="118"/>
      <c r="F832" s="262"/>
      <c r="G832" s="264"/>
      <c r="H832" s="264"/>
      <c r="I832" s="267"/>
      <c r="J832" s="118"/>
      <c r="K832" s="136"/>
      <c r="L832" s="118"/>
      <c r="M832" s="136"/>
      <c r="N832" s="118"/>
      <c r="O832" s="136"/>
      <c r="P832" s="272"/>
      <c r="Q832" s="272"/>
      <c r="R832" s="272"/>
      <c r="S832" s="272"/>
      <c r="T832" s="272"/>
      <c r="U832" s="272"/>
      <c r="V832" s="273"/>
      <c r="W832" s="253"/>
      <c r="X832" s="253"/>
      <c r="Y832" s="253"/>
      <c r="Z832" s="253"/>
      <c r="AA832" s="253"/>
      <c r="AB832" s="218"/>
    </row>
    <row r="833">
      <c r="A833" s="118"/>
      <c r="B833" s="118"/>
      <c r="C833" s="143"/>
      <c r="D833" s="118"/>
      <c r="E833" s="118"/>
      <c r="F833" s="262"/>
      <c r="G833" s="264"/>
      <c r="H833" s="264"/>
      <c r="I833" s="267"/>
      <c r="J833" s="118"/>
      <c r="K833" s="136"/>
      <c r="L833" s="118"/>
      <c r="M833" s="136"/>
      <c r="N833" s="118"/>
      <c r="O833" s="136"/>
      <c r="P833" s="272"/>
      <c r="Q833" s="272"/>
      <c r="R833" s="272"/>
      <c r="S833" s="272"/>
      <c r="T833" s="272"/>
      <c r="U833" s="272"/>
      <c r="V833" s="273"/>
      <c r="W833" s="253"/>
      <c r="X833" s="253"/>
      <c r="Y833" s="253"/>
      <c r="Z833" s="253"/>
      <c r="AA833" s="253"/>
      <c r="AB833" s="218"/>
    </row>
    <row r="834">
      <c r="A834" s="118"/>
      <c r="B834" s="118"/>
      <c r="C834" s="143"/>
      <c r="D834" s="118"/>
      <c r="E834" s="118"/>
      <c r="F834" s="262"/>
      <c r="G834" s="264"/>
      <c r="H834" s="264"/>
      <c r="I834" s="267"/>
      <c r="J834" s="118"/>
      <c r="K834" s="136"/>
      <c r="L834" s="118"/>
      <c r="M834" s="136"/>
      <c r="N834" s="118"/>
      <c r="O834" s="136"/>
      <c r="P834" s="272"/>
      <c r="Q834" s="272"/>
      <c r="R834" s="272"/>
      <c r="S834" s="272"/>
      <c r="T834" s="272"/>
      <c r="U834" s="272"/>
      <c r="V834" s="273"/>
      <c r="W834" s="253"/>
      <c r="X834" s="253"/>
      <c r="Y834" s="253"/>
      <c r="Z834" s="253"/>
      <c r="AA834" s="253"/>
      <c r="AB834" s="218"/>
    </row>
    <row r="835">
      <c r="A835" s="118"/>
      <c r="B835" s="118"/>
      <c r="C835" s="143"/>
      <c r="D835" s="118"/>
      <c r="E835" s="118"/>
      <c r="F835" s="262"/>
      <c r="G835" s="264"/>
      <c r="H835" s="264"/>
      <c r="I835" s="267"/>
      <c r="J835" s="118"/>
      <c r="K835" s="136"/>
      <c r="L835" s="118"/>
      <c r="M835" s="136"/>
      <c r="N835" s="118"/>
      <c r="O835" s="136"/>
      <c r="P835" s="272"/>
      <c r="Q835" s="272"/>
      <c r="R835" s="272"/>
      <c r="S835" s="272"/>
      <c r="T835" s="272"/>
      <c r="U835" s="272"/>
      <c r="V835" s="273"/>
      <c r="W835" s="253"/>
      <c r="X835" s="253"/>
      <c r="Y835" s="253"/>
      <c r="Z835" s="253"/>
      <c r="AA835" s="253"/>
      <c r="AB835" s="218"/>
    </row>
    <row r="836">
      <c r="A836" s="118"/>
      <c r="B836" s="118"/>
      <c r="C836" s="143"/>
      <c r="D836" s="118"/>
      <c r="E836" s="118"/>
      <c r="F836" s="262"/>
      <c r="G836" s="264"/>
      <c r="H836" s="264"/>
      <c r="I836" s="267"/>
      <c r="J836" s="118"/>
      <c r="K836" s="136"/>
      <c r="L836" s="118"/>
      <c r="M836" s="136"/>
      <c r="N836" s="118"/>
      <c r="O836" s="136"/>
      <c r="P836" s="272"/>
      <c r="Q836" s="272"/>
      <c r="R836" s="272"/>
      <c r="S836" s="272"/>
      <c r="T836" s="272"/>
      <c r="U836" s="272"/>
      <c r="V836" s="273"/>
      <c r="W836" s="253"/>
      <c r="X836" s="253"/>
      <c r="Y836" s="253"/>
      <c r="Z836" s="253"/>
      <c r="AA836" s="253"/>
      <c r="AB836" s="218"/>
    </row>
    <row r="837">
      <c r="A837" s="118"/>
      <c r="B837" s="118"/>
      <c r="C837" s="143"/>
      <c r="D837" s="118"/>
      <c r="E837" s="118"/>
      <c r="F837" s="262"/>
      <c r="G837" s="264"/>
      <c r="H837" s="264"/>
      <c r="I837" s="267"/>
      <c r="J837" s="118"/>
      <c r="K837" s="136"/>
      <c r="L837" s="118"/>
      <c r="M837" s="136"/>
      <c r="N837" s="118"/>
      <c r="O837" s="136"/>
      <c r="P837" s="272"/>
      <c r="Q837" s="272"/>
      <c r="R837" s="272"/>
      <c r="S837" s="272"/>
      <c r="T837" s="272"/>
      <c r="U837" s="272"/>
      <c r="V837" s="273"/>
      <c r="W837" s="253"/>
      <c r="X837" s="253"/>
      <c r="Y837" s="253"/>
      <c r="Z837" s="253"/>
      <c r="AA837" s="253"/>
      <c r="AB837" s="218"/>
    </row>
    <row r="838">
      <c r="A838" s="118"/>
      <c r="B838" s="118"/>
      <c r="C838" s="143"/>
      <c r="D838" s="118"/>
      <c r="E838" s="118"/>
      <c r="F838" s="262"/>
      <c r="G838" s="264"/>
      <c r="H838" s="264"/>
      <c r="I838" s="267"/>
      <c r="J838" s="118"/>
      <c r="K838" s="136"/>
      <c r="L838" s="118"/>
      <c r="M838" s="136"/>
      <c r="N838" s="118"/>
      <c r="O838" s="136"/>
      <c r="P838" s="272"/>
      <c r="Q838" s="272"/>
      <c r="R838" s="272"/>
      <c r="S838" s="272"/>
      <c r="T838" s="272"/>
      <c r="U838" s="272"/>
      <c r="V838" s="273"/>
      <c r="W838" s="253"/>
      <c r="X838" s="253"/>
      <c r="Y838" s="253"/>
      <c r="Z838" s="253"/>
      <c r="AA838" s="253"/>
      <c r="AB838" s="218"/>
    </row>
    <row r="839">
      <c r="A839" s="118"/>
      <c r="B839" s="118"/>
      <c r="C839" s="143"/>
      <c r="D839" s="118"/>
      <c r="E839" s="118"/>
      <c r="F839" s="262"/>
      <c r="G839" s="264"/>
      <c r="H839" s="264"/>
      <c r="I839" s="267"/>
      <c r="J839" s="118"/>
      <c r="K839" s="136"/>
      <c r="L839" s="118"/>
      <c r="M839" s="136"/>
      <c r="N839" s="118"/>
      <c r="O839" s="136"/>
      <c r="P839" s="272"/>
      <c r="Q839" s="272"/>
      <c r="R839" s="272"/>
      <c r="S839" s="272"/>
      <c r="T839" s="272"/>
      <c r="U839" s="272"/>
      <c r="V839" s="273"/>
      <c r="W839" s="253"/>
      <c r="X839" s="253"/>
      <c r="Y839" s="253"/>
      <c r="Z839" s="253"/>
      <c r="AA839" s="253"/>
      <c r="AB839" s="218"/>
    </row>
    <row r="840">
      <c r="A840" s="118"/>
      <c r="B840" s="118"/>
      <c r="C840" s="143"/>
      <c r="D840" s="118"/>
      <c r="E840" s="118"/>
      <c r="F840" s="262"/>
      <c r="G840" s="264"/>
      <c r="H840" s="264"/>
      <c r="I840" s="267"/>
      <c r="J840" s="118"/>
      <c r="K840" s="136"/>
      <c r="L840" s="118"/>
      <c r="M840" s="136"/>
      <c r="N840" s="118"/>
      <c r="O840" s="136"/>
      <c r="P840" s="272"/>
      <c r="Q840" s="272"/>
      <c r="R840" s="272"/>
      <c r="S840" s="272"/>
      <c r="T840" s="272"/>
      <c r="U840" s="272"/>
      <c r="V840" s="273"/>
      <c r="W840" s="253"/>
      <c r="X840" s="253"/>
      <c r="Y840" s="253"/>
      <c r="Z840" s="253"/>
      <c r="AA840" s="253"/>
      <c r="AB840" s="218"/>
    </row>
    <row r="841">
      <c r="A841" s="118"/>
      <c r="B841" s="118"/>
      <c r="C841" s="143"/>
      <c r="D841" s="118"/>
      <c r="E841" s="118"/>
      <c r="F841" s="262"/>
      <c r="G841" s="264"/>
      <c r="H841" s="264"/>
      <c r="I841" s="267"/>
      <c r="J841" s="118"/>
      <c r="K841" s="136"/>
      <c r="L841" s="118"/>
      <c r="M841" s="136"/>
      <c r="N841" s="118"/>
      <c r="O841" s="136"/>
      <c r="P841" s="272"/>
      <c r="Q841" s="272"/>
      <c r="R841" s="272"/>
      <c r="S841" s="272"/>
      <c r="T841" s="272"/>
      <c r="U841" s="272"/>
      <c r="V841" s="273"/>
      <c r="W841" s="253"/>
      <c r="X841" s="253"/>
      <c r="Y841" s="253"/>
      <c r="Z841" s="253"/>
      <c r="AA841" s="253"/>
      <c r="AB841" s="218"/>
    </row>
    <row r="842">
      <c r="A842" s="118"/>
      <c r="B842" s="118"/>
      <c r="C842" s="143"/>
      <c r="D842" s="118"/>
      <c r="E842" s="118"/>
      <c r="F842" s="262"/>
      <c r="G842" s="264"/>
      <c r="H842" s="264"/>
      <c r="I842" s="267"/>
      <c r="J842" s="118"/>
      <c r="K842" s="136"/>
      <c r="L842" s="118"/>
      <c r="M842" s="136"/>
      <c r="N842" s="118"/>
      <c r="O842" s="136"/>
      <c r="P842" s="272"/>
      <c r="Q842" s="272"/>
      <c r="R842" s="272"/>
      <c r="S842" s="272"/>
      <c r="T842" s="272"/>
      <c r="U842" s="272"/>
      <c r="V842" s="273"/>
      <c r="W842" s="253"/>
      <c r="X842" s="253"/>
      <c r="Y842" s="253"/>
      <c r="Z842" s="253"/>
      <c r="AA842" s="253"/>
      <c r="AB842" s="218"/>
    </row>
    <row r="843">
      <c r="A843" s="118"/>
      <c r="B843" s="118"/>
      <c r="C843" s="143"/>
      <c r="D843" s="118"/>
      <c r="E843" s="118"/>
      <c r="F843" s="262"/>
      <c r="G843" s="264"/>
      <c r="H843" s="264"/>
      <c r="I843" s="267"/>
      <c r="J843" s="118"/>
      <c r="K843" s="136"/>
      <c r="L843" s="118"/>
      <c r="M843" s="136"/>
      <c r="N843" s="118"/>
      <c r="O843" s="136"/>
      <c r="P843" s="272"/>
      <c r="Q843" s="272"/>
      <c r="R843" s="272"/>
      <c r="S843" s="272"/>
      <c r="T843" s="272"/>
      <c r="U843" s="272"/>
      <c r="V843" s="273"/>
      <c r="W843" s="253"/>
      <c r="X843" s="253"/>
      <c r="Y843" s="253"/>
      <c r="Z843" s="253"/>
      <c r="AA843" s="253"/>
      <c r="AB843" s="218"/>
    </row>
    <row r="844">
      <c r="A844" s="118"/>
      <c r="B844" s="118"/>
      <c r="C844" s="143"/>
      <c r="D844" s="118"/>
      <c r="E844" s="118"/>
      <c r="F844" s="262"/>
      <c r="G844" s="264"/>
      <c r="H844" s="264"/>
      <c r="I844" s="267"/>
      <c r="J844" s="118"/>
      <c r="K844" s="136"/>
      <c r="L844" s="118"/>
      <c r="M844" s="136"/>
      <c r="N844" s="118"/>
      <c r="O844" s="136"/>
      <c r="P844" s="272"/>
      <c r="Q844" s="272"/>
      <c r="R844" s="272"/>
      <c r="S844" s="272"/>
      <c r="T844" s="272"/>
      <c r="U844" s="272"/>
      <c r="V844" s="273"/>
      <c r="W844" s="253"/>
      <c r="X844" s="253"/>
      <c r="Y844" s="253"/>
      <c r="Z844" s="253"/>
      <c r="AA844" s="253"/>
      <c r="AB844" s="218"/>
    </row>
    <row r="845">
      <c r="A845" s="118"/>
      <c r="B845" s="118"/>
      <c r="C845" s="143"/>
      <c r="D845" s="118"/>
      <c r="E845" s="118"/>
      <c r="F845" s="262"/>
      <c r="G845" s="264"/>
      <c r="H845" s="264"/>
      <c r="I845" s="267"/>
      <c r="J845" s="118"/>
      <c r="K845" s="136"/>
      <c r="L845" s="118"/>
      <c r="M845" s="136"/>
      <c r="N845" s="118"/>
      <c r="O845" s="136"/>
      <c r="P845" s="272"/>
      <c r="Q845" s="272"/>
      <c r="R845" s="272"/>
      <c r="S845" s="272"/>
      <c r="T845" s="272"/>
      <c r="U845" s="272"/>
      <c r="V845" s="273"/>
      <c r="W845" s="253"/>
      <c r="X845" s="253"/>
      <c r="Y845" s="253"/>
      <c r="Z845" s="253"/>
      <c r="AA845" s="253"/>
      <c r="AB845" s="218"/>
    </row>
    <row r="846">
      <c r="A846" s="118"/>
      <c r="B846" s="118"/>
      <c r="C846" s="143"/>
      <c r="D846" s="118"/>
      <c r="E846" s="118"/>
      <c r="F846" s="262"/>
      <c r="G846" s="264"/>
      <c r="H846" s="264"/>
      <c r="I846" s="267"/>
      <c r="J846" s="118"/>
      <c r="K846" s="136"/>
      <c r="L846" s="118"/>
      <c r="M846" s="136"/>
      <c r="N846" s="118"/>
      <c r="O846" s="136"/>
      <c r="P846" s="272"/>
      <c r="Q846" s="272"/>
      <c r="R846" s="272"/>
      <c r="S846" s="272"/>
      <c r="T846" s="272"/>
      <c r="U846" s="272"/>
      <c r="V846" s="273"/>
      <c r="W846" s="253"/>
      <c r="X846" s="253"/>
      <c r="Y846" s="253"/>
      <c r="Z846" s="253"/>
      <c r="AA846" s="253"/>
      <c r="AB846" s="218"/>
    </row>
    <row r="847">
      <c r="A847" s="118"/>
      <c r="B847" s="118"/>
      <c r="C847" s="143"/>
      <c r="D847" s="118"/>
      <c r="E847" s="118"/>
      <c r="F847" s="262"/>
      <c r="G847" s="264"/>
      <c r="H847" s="264"/>
      <c r="I847" s="267"/>
      <c r="J847" s="118"/>
      <c r="K847" s="136"/>
      <c r="L847" s="118"/>
      <c r="M847" s="136"/>
      <c r="N847" s="118"/>
      <c r="O847" s="136"/>
      <c r="P847" s="272"/>
      <c r="Q847" s="272"/>
      <c r="R847" s="272"/>
      <c r="S847" s="272"/>
      <c r="T847" s="272"/>
      <c r="U847" s="272"/>
      <c r="V847" s="273"/>
      <c r="W847" s="253"/>
      <c r="X847" s="253"/>
      <c r="Y847" s="253"/>
      <c r="Z847" s="253"/>
      <c r="AA847" s="253"/>
      <c r="AB847" s="218"/>
    </row>
    <row r="848">
      <c r="A848" s="118"/>
      <c r="B848" s="118"/>
      <c r="C848" s="143"/>
      <c r="D848" s="118"/>
      <c r="E848" s="118"/>
      <c r="F848" s="262"/>
      <c r="G848" s="264"/>
      <c r="H848" s="264"/>
      <c r="I848" s="267"/>
      <c r="J848" s="118"/>
      <c r="K848" s="136"/>
      <c r="L848" s="118"/>
      <c r="M848" s="136"/>
      <c r="N848" s="118"/>
      <c r="O848" s="136"/>
      <c r="P848" s="272"/>
      <c r="Q848" s="272"/>
      <c r="R848" s="272"/>
      <c r="S848" s="272"/>
      <c r="T848" s="272"/>
      <c r="U848" s="272"/>
      <c r="V848" s="273"/>
      <c r="W848" s="253"/>
      <c r="X848" s="253"/>
      <c r="Y848" s="253"/>
      <c r="Z848" s="253"/>
      <c r="AA848" s="253"/>
      <c r="AB848" s="218"/>
    </row>
    <row r="849">
      <c r="A849" s="118"/>
      <c r="B849" s="118"/>
      <c r="C849" s="143"/>
      <c r="D849" s="118"/>
      <c r="E849" s="118"/>
      <c r="F849" s="262"/>
      <c r="G849" s="264"/>
      <c r="H849" s="264"/>
      <c r="I849" s="267"/>
      <c r="J849" s="118"/>
      <c r="K849" s="136"/>
      <c r="L849" s="118"/>
      <c r="M849" s="136"/>
      <c r="N849" s="118"/>
      <c r="O849" s="136"/>
      <c r="P849" s="272"/>
      <c r="Q849" s="272"/>
      <c r="R849" s="272"/>
      <c r="S849" s="272"/>
      <c r="T849" s="272"/>
      <c r="U849" s="272"/>
      <c r="V849" s="273"/>
      <c r="W849" s="253"/>
      <c r="X849" s="253"/>
      <c r="Y849" s="253"/>
      <c r="Z849" s="253"/>
      <c r="AA849" s="253"/>
      <c r="AB849" s="218"/>
    </row>
    <row r="850">
      <c r="A850" s="118"/>
      <c r="B850" s="118"/>
      <c r="C850" s="143"/>
      <c r="D850" s="118"/>
      <c r="E850" s="118"/>
      <c r="F850" s="262"/>
      <c r="G850" s="264"/>
      <c r="H850" s="264"/>
      <c r="I850" s="267"/>
      <c r="J850" s="118"/>
      <c r="K850" s="136"/>
      <c r="L850" s="118"/>
      <c r="M850" s="136"/>
      <c r="N850" s="118"/>
      <c r="O850" s="136"/>
      <c r="P850" s="272"/>
      <c r="Q850" s="272"/>
      <c r="R850" s="272"/>
      <c r="S850" s="272"/>
      <c r="T850" s="272"/>
      <c r="U850" s="272"/>
      <c r="V850" s="273"/>
      <c r="W850" s="253"/>
      <c r="X850" s="253"/>
      <c r="Y850" s="253"/>
      <c r="Z850" s="253"/>
      <c r="AA850" s="253"/>
      <c r="AB850" s="218"/>
    </row>
    <row r="851">
      <c r="A851" s="118"/>
      <c r="B851" s="118"/>
      <c r="C851" s="143"/>
      <c r="D851" s="118"/>
      <c r="E851" s="118"/>
      <c r="F851" s="262"/>
      <c r="G851" s="264"/>
      <c r="H851" s="264"/>
      <c r="I851" s="267"/>
      <c r="J851" s="118"/>
      <c r="K851" s="136"/>
      <c r="L851" s="118"/>
      <c r="M851" s="136"/>
      <c r="N851" s="118"/>
      <c r="O851" s="136"/>
      <c r="P851" s="272"/>
      <c r="Q851" s="272"/>
      <c r="R851" s="272"/>
      <c r="S851" s="272"/>
      <c r="T851" s="272"/>
      <c r="U851" s="272"/>
      <c r="V851" s="273"/>
      <c r="W851" s="253"/>
      <c r="X851" s="253"/>
      <c r="Y851" s="253"/>
      <c r="Z851" s="253"/>
      <c r="AA851" s="253"/>
      <c r="AB851" s="218"/>
    </row>
    <row r="852">
      <c r="A852" s="118"/>
      <c r="B852" s="118"/>
      <c r="C852" s="143"/>
      <c r="D852" s="118"/>
      <c r="E852" s="118"/>
      <c r="F852" s="262"/>
      <c r="G852" s="264"/>
      <c r="H852" s="264"/>
      <c r="I852" s="267"/>
      <c r="J852" s="118"/>
      <c r="K852" s="136"/>
      <c r="L852" s="118"/>
      <c r="M852" s="136"/>
      <c r="N852" s="118"/>
      <c r="O852" s="136"/>
      <c r="P852" s="272"/>
      <c r="Q852" s="272"/>
      <c r="R852" s="272"/>
      <c r="S852" s="272"/>
      <c r="T852" s="272"/>
      <c r="U852" s="272"/>
      <c r="V852" s="273"/>
      <c r="W852" s="253"/>
      <c r="X852" s="253"/>
      <c r="Y852" s="253"/>
      <c r="Z852" s="253"/>
      <c r="AA852" s="253"/>
      <c r="AB852" s="218"/>
    </row>
    <row r="853">
      <c r="A853" s="118"/>
      <c r="B853" s="118"/>
      <c r="C853" s="143"/>
      <c r="D853" s="118"/>
      <c r="E853" s="118"/>
      <c r="F853" s="262"/>
      <c r="G853" s="264"/>
      <c r="H853" s="264"/>
      <c r="I853" s="267"/>
      <c r="J853" s="118"/>
      <c r="K853" s="136"/>
      <c r="L853" s="118"/>
      <c r="M853" s="136"/>
      <c r="N853" s="118"/>
      <c r="O853" s="136"/>
      <c r="P853" s="272"/>
      <c r="Q853" s="272"/>
      <c r="R853" s="272"/>
      <c r="S853" s="272"/>
      <c r="T853" s="272"/>
      <c r="U853" s="272"/>
      <c r="V853" s="273"/>
      <c r="W853" s="253"/>
      <c r="X853" s="253"/>
      <c r="Y853" s="253"/>
      <c r="Z853" s="253"/>
      <c r="AA853" s="253"/>
      <c r="AB853" s="218"/>
    </row>
    <row r="854">
      <c r="A854" s="118"/>
      <c r="B854" s="118"/>
      <c r="C854" s="143"/>
      <c r="D854" s="118"/>
      <c r="E854" s="118"/>
      <c r="F854" s="262"/>
      <c r="G854" s="264"/>
      <c r="H854" s="264"/>
      <c r="I854" s="267"/>
      <c r="J854" s="118"/>
      <c r="K854" s="136"/>
      <c r="L854" s="118"/>
      <c r="M854" s="136"/>
      <c r="N854" s="118"/>
      <c r="O854" s="136"/>
      <c r="P854" s="272"/>
      <c r="Q854" s="272"/>
      <c r="R854" s="272"/>
      <c r="S854" s="272"/>
      <c r="T854" s="272"/>
      <c r="U854" s="272"/>
      <c r="V854" s="273"/>
      <c r="W854" s="253"/>
      <c r="X854" s="253"/>
      <c r="Y854" s="253"/>
      <c r="Z854" s="253"/>
      <c r="AA854" s="253"/>
      <c r="AB854" s="218"/>
    </row>
    <row r="855">
      <c r="A855" s="118"/>
      <c r="B855" s="118"/>
      <c r="C855" s="143"/>
      <c r="D855" s="118"/>
      <c r="E855" s="118"/>
      <c r="F855" s="262"/>
      <c r="G855" s="264"/>
      <c r="H855" s="264"/>
      <c r="I855" s="267"/>
      <c r="J855" s="118"/>
      <c r="K855" s="136"/>
      <c r="L855" s="118"/>
      <c r="M855" s="136"/>
      <c r="N855" s="118"/>
      <c r="O855" s="136"/>
      <c r="P855" s="272"/>
      <c r="Q855" s="272"/>
      <c r="R855" s="272"/>
      <c r="S855" s="272"/>
      <c r="T855" s="272"/>
      <c r="U855" s="272"/>
      <c r="V855" s="273"/>
      <c r="W855" s="253"/>
      <c r="X855" s="253"/>
      <c r="Y855" s="253"/>
      <c r="Z855" s="253"/>
      <c r="AA855" s="253"/>
      <c r="AB855" s="218"/>
    </row>
    <row r="856">
      <c r="A856" s="118"/>
      <c r="B856" s="118"/>
      <c r="C856" s="143"/>
      <c r="D856" s="118"/>
      <c r="E856" s="118"/>
      <c r="F856" s="262"/>
      <c r="G856" s="264"/>
      <c r="H856" s="264"/>
      <c r="I856" s="267"/>
      <c r="J856" s="118"/>
      <c r="K856" s="136"/>
      <c r="L856" s="118"/>
      <c r="M856" s="136"/>
      <c r="N856" s="118"/>
      <c r="O856" s="136"/>
      <c r="P856" s="272"/>
      <c r="Q856" s="272"/>
      <c r="R856" s="272"/>
      <c r="S856" s="272"/>
      <c r="T856" s="272"/>
      <c r="U856" s="272"/>
      <c r="V856" s="273"/>
      <c r="W856" s="253"/>
      <c r="X856" s="253"/>
      <c r="Y856" s="253"/>
      <c r="Z856" s="253"/>
      <c r="AA856" s="253"/>
      <c r="AB856" s="218"/>
    </row>
    <row r="857">
      <c r="A857" s="118"/>
      <c r="B857" s="118"/>
      <c r="C857" s="143"/>
      <c r="D857" s="118"/>
      <c r="E857" s="118"/>
      <c r="F857" s="262"/>
      <c r="G857" s="264"/>
      <c r="H857" s="264"/>
      <c r="I857" s="267"/>
      <c r="J857" s="118"/>
      <c r="K857" s="136"/>
      <c r="L857" s="118"/>
      <c r="M857" s="136"/>
      <c r="N857" s="118"/>
      <c r="O857" s="136"/>
      <c r="P857" s="272"/>
      <c r="Q857" s="272"/>
      <c r="R857" s="272"/>
      <c r="S857" s="272"/>
      <c r="T857" s="272"/>
      <c r="U857" s="272"/>
      <c r="V857" s="273"/>
      <c r="W857" s="253"/>
      <c r="X857" s="253"/>
      <c r="Y857" s="253"/>
      <c r="Z857" s="253"/>
      <c r="AA857" s="253"/>
      <c r="AB857" s="218"/>
    </row>
    <row r="858">
      <c r="A858" s="118"/>
      <c r="B858" s="118"/>
      <c r="C858" s="143"/>
      <c r="D858" s="118"/>
      <c r="E858" s="118"/>
      <c r="F858" s="262"/>
      <c r="G858" s="264"/>
      <c r="H858" s="264"/>
      <c r="I858" s="267"/>
      <c r="J858" s="118"/>
      <c r="K858" s="136"/>
      <c r="L858" s="118"/>
      <c r="M858" s="136"/>
      <c r="N858" s="118"/>
      <c r="O858" s="136"/>
      <c r="P858" s="272"/>
      <c r="Q858" s="272"/>
      <c r="R858" s="272"/>
      <c r="S858" s="272"/>
      <c r="T858" s="272"/>
      <c r="U858" s="272"/>
      <c r="V858" s="273"/>
      <c r="W858" s="253"/>
      <c r="X858" s="253"/>
      <c r="Y858" s="253"/>
      <c r="Z858" s="253"/>
      <c r="AA858" s="253"/>
      <c r="AB858" s="218"/>
    </row>
    <row r="859">
      <c r="A859" s="118"/>
      <c r="B859" s="118"/>
      <c r="C859" s="143"/>
      <c r="D859" s="118"/>
      <c r="E859" s="118"/>
      <c r="F859" s="262"/>
      <c r="G859" s="264"/>
      <c r="H859" s="264"/>
      <c r="I859" s="267"/>
      <c r="J859" s="118"/>
      <c r="K859" s="136"/>
      <c r="L859" s="118"/>
      <c r="M859" s="136"/>
      <c r="N859" s="118"/>
      <c r="O859" s="136"/>
      <c r="P859" s="272"/>
      <c r="Q859" s="272"/>
      <c r="R859" s="272"/>
      <c r="S859" s="272"/>
      <c r="T859" s="272"/>
      <c r="U859" s="272"/>
      <c r="V859" s="273"/>
      <c r="W859" s="253"/>
      <c r="X859" s="253"/>
      <c r="Y859" s="253"/>
      <c r="Z859" s="253"/>
      <c r="AA859" s="253"/>
      <c r="AB859" s="218"/>
    </row>
    <row r="860">
      <c r="A860" s="118"/>
      <c r="B860" s="118"/>
      <c r="C860" s="143"/>
      <c r="D860" s="118"/>
      <c r="E860" s="118"/>
      <c r="F860" s="262"/>
      <c r="G860" s="264"/>
      <c r="H860" s="264"/>
      <c r="I860" s="267"/>
      <c r="J860" s="118"/>
      <c r="K860" s="136"/>
      <c r="L860" s="118"/>
      <c r="M860" s="136"/>
      <c r="N860" s="118"/>
      <c r="O860" s="136"/>
      <c r="P860" s="272"/>
      <c r="Q860" s="272"/>
      <c r="R860" s="272"/>
      <c r="S860" s="272"/>
      <c r="T860" s="272"/>
      <c r="U860" s="272"/>
      <c r="V860" s="273"/>
      <c r="W860" s="253"/>
      <c r="X860" s="253"/>
      <c r="Y860" s="253"/>
      <c r="Z860" s="253"/>
      <c r="AA860" s="253"/>
      <c r="AB860" s="218"/>
    </row>
    <row r="861">
      <c r="A861" s="118"/>
      <c r="B861" s="118"/>
      <c r="C861" s="143"/>
      <c r="D861" s="118"/>
      <c r="E861" s="118"/>
      <c r="F861" s="262"/>
      <c r="G861" s="264"/>
      <c r="H861" s="264"/>
      <c r="I861" s="267"/>
      <c r="J861" s="118"/>
      <c r="K861" s="136"/>
      <c r="L861" s="118"/>
      <c r="M861" s="136"/>
      <c r="N861" s="118"/>
      <c r="O861" s="136"/>
      <c r="P861" s="272"/>
      <c r="Q861" s="272"/>
      <c r="R861" s="272"/>
      <c r="S861" s="272"/>
      <c r="T861" s="272"/>
      <c r="U861" s="272"/>
      <c r="V861" s="273"/>
      <c r="W861" s="253"/>
      <c r="X861" s="253"/>
      <c r="Y861" s="253"/>
      <c r="Z861" s="253"/>
      <c r="AA861" s="253"/>
      <c r="AB861" s="218"/>
    </row>
    <row r="862">
      <c r="A862" s="118"/>
      <c r="B862" s="118"/>
      <c r="C862" s="143"/>
      <c r="D862" s="118"/>
      <c r="E862" s="118"/>
      <c r="F862" s="262"/>
      <c r="G862" s="264"/>
      <c r="H862" s="264"/>
      <c r="I862" s="267"/>
      <c r="J862" s="118"/>
      <c r="K862" s="136"/>
      <c r="L862" s="118"/>
      <c r="M862" s="136"/>
      <c r="N862" s="118"/>
      <c r="O862" s="136"/>
      <c r="P862" s="272"/>
      <c r="Q862" s="272"/>
      <c r="R862" s="272"/>
      <c r="S862" s="272"/>
      <c r="T862" s="272"/>
      <c r="U862" s="272"/>
      <c r="V862" s="273"/>
      <c r="W862" s="253"/>
      <c r="X862" s="253"/>
      <c r="Y862" s="253"/>
      <c r="Z862" s="253"/>
      <c r="AA862" s="253"/>
      <c r="AB862" s="218"/>
    </row>
    <row r="863">
      <c r="A863" s="118"/>
      <c r="B863" s="118"/>
      <c r="C863" s="143"/>
      <c r="D863" s="118"/>
      <c r="E863" s="118"/>
      <c r="F863" s="262"/>
      <c r="G863" s="264"/>
      <c r="H863" s="264"/>
      <c r="I863" s="267"/>
      <c r="J863" s="118"/>
      <c r="K863" s="136"/>
      <c r="L863" s="118"/>
      <c r="M863" s="136"/>
      <c r="N863" s="118"/>
      <c r="O863" s="136"/>
      <c r="P863" s="272"/>
      <c r="Q863" s="272"/>
      <c r="R863" s="272"/>
      <c r="S863" s="272"/>
      <c r="T863" s="272"/>
      <c r="U863" s="272"/>
      <c r="V863" s="273"/>
      <c r="W863" s="253"/>
      <c r="X863" s="253"/>
      <c r="Y863" s="253"/>
      <c r="Z863" s="253"/>
      <c r="AA863" s="253"/>
      <c r="AB863" s="218"/>
    </row>
    <row r="864">
      <c r="A864" s="118"/>
      <c r="B864" s="118"/>
      <c r="C864" s="143"/>
      <c r="D864" s="118"/>
      <c r="E864" s="118"/>
      <c r="F864" s="262"/>
      <c r="G864" s="264"/>
      <c r="H864" s="264"/>
      <c r="I864" s="267"/>
      <c r="J864" s="118"/>
      <c r="K864" s="136"/>
      <c r="L864" s="118"/>
      <c r="M864" s="136"/>
      <c r="N864" s="118"/>
      <c r="O864" s="136"/>
      <c r="P864" s="272"/>
      <c r="Q864" s="272"/>
      <c r="R864" s="272"/>
      <c r="S864" s="272"/>
      <c r="T864" s="272"/>
      <c r="U864" s="272"/>
      <c r="V864" s="273"/>
      <c r="W864" s="253"/>
      <c r="X864" s="253"/>
      <c r="Y864" s="253"/>
      <c r="Z864" s="253"/>
      <c r="AA864" s="253"/>
      <c r="AB864" s="218"/>
    </row>
    <row r="865">
      <c r="A865" s="118"/>
      <c r="B865" s="118"/>
      <c r="C865" s="143"/>
      <c r="D865" s="118"/>
      <c r="E865" s="118"/>
      <c r="F865" s="262"/>
      <c r="G865" s="264"/>
      <c r="H865" s="264"/>
      <c r="I865" s="267"/>
      <c r="J865" s="118"/>
      <c r="K865" s="136"/>
      <c r="L865" s="118"/>
      <c r="M865" s="136"/>
      <c r="N865" s="118"/>
      <c r="O865" s="136"/>
      <c r="P865" s="272"/>
      <c r="Q865" s="272"/>
      <c r="R865" s="272"/>
      <c r="S865" s="272"/>
      <c r="T865" s="272"/>
      <c r="U865" s="272"/>
      <c r="V865" s="273"/>
      <c r="W865" s="253"/>
      <c r="X865" s="253"/>
      <c r="Y865" s="253"/>
      <c r="Z865" s="253"/>
      <c r="AA865" s="253"/>
      <c r="AB865" s="218"/>
    </row>
    <row r="866">
      <c r="A866" s="118"/>
      <c r="B866" s="118"/>
      <c r="C866" s="143"/>
      <c r="D866" s="118"/>
      <c r="E866" s="118"/>
      <c r="F866" s="262"/>
      <c r="G866" s="264"/>
      <c r="H866" s="264"/>
      <c r="I866" s="267"/>
      <c r="J866" s="118"/>
      <c r="K866" s="136"/>
      <c r="L866" s="118"/>
      <c r="M866" s="136"/>
      <c r="N866" s="118"/>
      <c r="O866" s="136"/>
      <c r="P866" s="272"/>
      <c r="Q866" s="272"/>
      <c r="R866" s="272"/>
      <c r="S866" s="272"/>
      <c r="T866" s="272"/>
      <c r="U866" s="272"/>
      <c r="V866" s="273"/>
      <c r="W866" s="253"/>
      <c r="X866" s="253"/>
      <c r="Y866" s="253"/>
      <c r="Z866" s="253"/>
      <c r="AA866" s="253"/>
      <c r="AB866" s="218"/>
    </row>
    <row r="867">
      <c r="A867" s="118"/>
      <c r="B867" s="118"/>
      <c r="C867" s="143"/>
      <c r="D867" s="118"/>
      <c r="E867" s="118"/>
      <c r="F867" s="262"/>
      <c r="G867" s="264"/>
      <c r="H867" s="264"/>
      <c r="I867" s="267"/>
      <c r="J867" s="118"/>
      <c r="K867" s="136"/>
      <c r="L867" s="118"/>
      <c r="M867" s="136"/>
      <c r="N867" s="118"/>
      <c r="O867" s="136"/>
      <c r="P867" s="272"/>
      <c r="Q867" s="272"/>
      <c r="R867" s="272"/>
      <c r="S867" s="272"/>
      <c r="T867" s="272"/>
      <c r="U867" s="272"/>
      <c r="V867" s="273"/>
      <c r="W867" s="253"/>
      <c r="X867" s="253"/>
      <c r="Y867" s="253"/>
      <c r="Z867" s="253"/>
      <c r="AA867" s="253"/>
      <c r="AB867" s="218"/>
    </row>
    <row r="868">
      <c r="A868" s="118"/>
      <c r="B868" s="118"/>
      <c r="C868" s="143"/>
      <c r="D868" s="118"/>
      <c r="E868" s="118"/>
      <c r="F868" s="262"/>
      <c r="G868" s="264"/>
      <c r="H868" s="264"/>
      <c r="I868" s="267"/>
      <c r="J868" s="118"/>
      <c r="K868" s="136"/>
      <c r="L868" s="118"/>
      <c r="M868" s="136"/>
      <c r="N868" s="118"/>
      <c r="O868" s="136"/>
      <c r="P868" s="272"/>
      <c r="Q868" s="272"/>
      <c r="R868" s="272"/>
      <c r="S868" s="272"/>
      <c r="T868" s="272"/>
      <c r="U868" s="272"/>
      <c r="V868" s="273"/>
      <c r="W868" s="253"/>
      <c r="X868" s="253"/>
      <c r="Y868" s="253"/>
      <c r="Z868" s="253"/>
      <c r="AA868" s="253"/>
      <c r="AB868" s="218"/>
    </row>
    <row r="869">
      <c r="A869" s="118"/>
      <c r="B869" s="118"/>
      <c r="C869" s="143"/>
      <c r="D869" s="118"/>
      <c r="E869" s="118"/>
      <c r="F869" s="262"/>
      <c r="G869" s="264"/>
      <c r="H869" s="264"/>
      <c r="I869" s="267"/>
      <c r="J869" s="118"/>
      <c r="K869" s="136"/>
      <c r="L869" s="118"/>
      <c r="M869" s="136"/>
      <c r="N869" s="118"/>
      <c r="O869" s="136"/>
      <c r="P869" s="272"/>
      <c r="Q869" s="272"/>
      <c r="R869" s="272"/>
      <c r="S869" s="272"/>
      <c r="T869" s="272"/>
      <c r="U869" s="272"/>
      <c r="V869" s="273"/>
      <c r="W869" s="253"/>
      <c r="X869" s="253"/>
      <c r="Y869" s="253"/>
      <c r="Z869" s="253"/>
      <c r="AA869" s="253"/>
      <c r="AB869" s="218"/>
    </row>
    <row r="870">
      <c r="A870" s="118"/>
      <c r="B870" s="118"/>
      <c r="C870" s="143"/>
      <c r="D870" s="118"/>
      <c r="E870" s="118"/>
      <c r="F870" s="262"/>
      <c r="G870" s="264"/>
      <c r="H870" s="264"/>
      <c r="I870" s="267"/>
      <c r="J870" s="118"/>
      <c r="K870" s="136"/>
      <c r="L870" s="118"/>
      <c r="M870" s="136"/>
      <c r="N870" s="118"/>
      <c r="O870" s="136"/>
      <c r="P870" s="272"/>
      <c r="Q870" s="272"/>
      <c r="R870" s="272"/>
      <c r="S870" s="272"/>
      <c r="T870" s="272"/>
      <c r="U870" s="272"/>
      <c r="V870" s="273"/>
      <c r="W870" s="253"/>
      <c r="X870" s="253"/>
      <c r="Y870" s="253"/>
      <c r="Z870" s="253"/>
      <c r="AA870" s="253"/>
      <c r="AB870" s="218"/>
    </row>
    <row r="871">
      <c r="A871" s="118"/>
      <c r="B871" s="118"/>
      <c r="C871" s="143"/>
      <c r="D871" s="118"/>
      <c r="E871" s="118"/>
      <c r="F871" s="262"/>
      <c r="G871" s="264"/>
      <c r="H871" s="264"/>
      <c r="I871" s="267"/>
      <c r="J871" s="118"/>
      <c r="K871" s="136"/>
      <c r="L871" s="118"/>
      <c r="M871" s="136"/>
      <c r="N871" s="118"/>
      <c r="O871" s="136"/>
      <c r="P871" s="272"/>
      <c r="Q871" s="272"/>
      <c r="R871" s="272"/>
      <c r="S871" s="272"/>
      <c r="T871" s="272"/>
      <c r="U871" s="272"/>
      <c r="V871" s="273"/>
      <c r="W871" s="253"/>
      <c r="X871" s="253"/>
      <c r="Y871" s="253"/>
      <c r="Z871" s="253"/>
      <c r="AA871" s="253"/>
      <c r="AB871" s="218"/>
    </row>
    <row r="872">
      <c r="A872" s="118"/>
      <c r="B872" s="118"/>
      <c r="C872" s="143"/>
      <c r="D872" s="118"/>
      <c r="E872" s="118"/>
      <c r="F872" s="262"/>
      <c r="G872" s="264"/>
      <c r="H872" s="264"/>
      <c r="I872" s="267"/>
      <c r="J872" s="118"/>
      <c r="K872" s="136"/>
      <c r="L872" s="118"/>
      <c r="M872" s="136"/>
      <c r="N872" s="118"/>
      <c r="O872" s="136"/>
      <c r="P872" s="272"/>
      <c r="Q872" s="272"/>
      <c r="R872" s="272"/>
      <c r="S872" s="272"/>
      <c r="T872" s="272"/>
      <c r="U872" s="272"/>
      <c r="V872" s="273"/>
      <c r="W872" s="253"/>
      <c r="X872" s="253"/>
      <c r="Y872" s="253"/>
      <c r="Z872" s="253"/>
      <c r="AA872" s="253"/>
      <c r="AB872" s="218"/>
    </row>
    <row r="873">
      <c r="A873" s="118"/>
      <c r="B873" s="118"/>
      <c r="C873" s="143"/>
      <c r="D873" s="118"/>
      <c r="E873" s="118"/>
      <c r="F873" s="262"/>
      <c r="G873" s="264"/>
      <c r="H873" s="264"/>
      <c r="I873" s="267"/>
      <c r="J873" s="118"/>
      <c r="K873" s="136"/>
      <c r="L873" s="118"/>
      <c r="M873" s="136"/>
      <c r="N873" s="118"/>
      <c r="O873" s="136"/>
      <c r="P873" s="272"/>
      <c r="Q873" s="272"/>
      <c r="R873" s="272"/>
      <c r="S873" s="272"/>
      <c r="T873" s="272"/>
      <c r="U873" s="272"/>
      <c r="V873" s="273"/>
      <c r="W873" s="253"/>
      <c r="X873" s="253"/>
      <c r="Y873" s="253"/>
      <c r="Z873" s="253"/>
      <c r="AA873" s="253"/>
      <c r="AB873" s="218"/>
    </row>
    <row r="874">
      <c r="A874" s="118"/>
      <c r="B874" s="118"/>
      <c r="C874" s="143"/>
      <c r="D874" s="118"/>
      <c r="E874" s="118"/>
      <c r="F874" s="262"/>
      <c r="G874" s="264"/>
      <c r="H874" s="264"/>
      <c r="I874" s="267"/>
      <c r="J874" s="118"/>
      <c r="K874" s="136"/>
      <c r="L874" s="118"/>
      <c r="M874" s="136"/>
      <c r="N874" s="118"/>
      <c r="O874" s="136"/>
      <c r="P874" s="272"/>
      <c r="Q874" s="272"/>
      <c r="R874" s="272"/>
      <c r="S874" s="272"/>
      <c r="T874" s="272"/>
      <c r="U874" s="272"/>
      <c r="V874" s="273"/>
      <c r="W874" s="253"/>
      <c r="X874" s="253"/>
      <c r="Y874" s="253"/>
      <c r="Z874" s="253"/>
      <c r="AA874" s="253"/>
      <c r="AB874" s="218"/>
    </row>
    <row r="875">
      <c r="A875" s="118"/>
      <c r="B875" s="118"/>
      <c r="C875" s="143"/>
      <c r="D875" s="118"/>
      <c r="E875" s="118"/>
      <c r="F875" s="262"/>
      <c r="G875" s="264"/>
      <c r="H875" s="264"/>
      <c r="I875" s="267"/>
      <c r="J875" s="118"/>
      <c r="K875" s="136"/>
      <c r="L875" s="118"/>
      <c r="M875" s="136"/>
      <c r="N875" s="118"/>
      <c r="O875" s="136"/>
      <c r="P875" s="272"/>
      <c r="Q875" s="272"/>
      <c r="R875" s="272"/>
      <c r="S875" s="272"/>
      <c r="T875" s="272"/>
      <c r="U875" s="272"/>
      <c r="V875" s="273"/>
      <c r="W875" s="253"/>
      <c r="X875" s="253"/>
      <c r="Y875" s="253"/>
      <c r="Z875" s="253"/>
      <c r="AA875" s="253"/>
      <c r="AB875" s="218"/>
    </row>
    <row r="876">
      <c r="A876" s="118"/>
      <c r="B876" s="118"/>
      <c r="C876" s="143"/>
      <c r="D876" s="118"/>
      <c r="E876" s="118"/>
      <c r="F876" s="262"/>
      <c r="G876" s="264"/>
      <c r="H876" s="264"/>
      <c r="I876" s="267"/>
      <c r="J876" s="118"/>
      <c r="K876" s="136"/>
      <c r="L876" s="118"/>
      <c r="M876" s="136"/>
      <c r="N876" s="118"/>
      <c r="O876" s="136"/>
      <c r="P876" s="272"/>
      <c r="Q876" s="272"/>
      <c r="R876" s="272"/>
      <c r="S876" s="272"/>
      <c r="T876" s="272"/>
      <c r="U876" s="272"/>
      <c r="V876" s="273"/>
      <c r="W876" s="253"/>
      <c r="X876" s="253"/>
      <c r="Y876" s="253"/>
      <c r="Z876" s="253"/>
      <c r="AA876" s="253"/>
      <c r="AB876" s="218"/>
    </row>
    <row r="877">
      <c r="A877" s="118"/>
      <c r="B877" s="118"/>
      <c r="C877" s="143"/>
      <c r="D877" s="118"/>
      <c r="E877" s="118"/>
      <c r="F877" s="262"/>
      <c r="G877" s="264"/>
      <c r="H877" s="264"/>
      <c r="I877" s="267"/>
      <c r="J877" s="118"/>
      <c r="K877" s="136"/>
      <c r="L877" s="118"/>
      <c r="M877" s="136"/>
      <c r="N877" s="118"/>
      <c r="O877" s="136"/>
      <c r="P877" s="272"/>
      <c r="Q877" s="272"/>
      <c r="R877" s="272"/>
      <c r="S877" s="272"/>
      <c r="T877" s="272"/>
      <c r="U877" s="272"/>
      <c r="V877" s="273"/>
      <c r="W877" s="253"/>
      <c r="X877" s="253"/>
      <c r="Y877" s="253"/>
      <c r="Z877" s="253"/>
      <c r="AA877" s="253"/>
      <c r="AB877" s="218"/>
    </row>
    <row r="878">
      <c r="A878" s="118"/>
      <c r="B878" s="118"/>
      <c r="C878" s="143"/>
      <c r="D878" s="118"/>
      <c r="E878" s="118"/>
      <c r="F878" s="262"/>
      <c r="G878" s="264"/>
      <c r="H878" s="264"/>
      <c r="I878" s="267"/>
      <c r="J878" s="118"/>
      <c r="K878" s="136"/>
      <c r="L878" s="118"/>
      <c r="M878" s="136"/>
      <c r="N878" s="118"/>
      <c r="O878" s="136"/>
      <c r="P878" s="272"/>
      <c r="Q878" s="272"/>
      <c r="R878" s="272"/>
      <c r="S878" s="272"/>
      <c r="T878" s="272"/>
      <c r="U878" s="272"/>
      <c r="V878" s="273"/>
      <c r="W878" s="253"/>
      <c r="X878" s="253"/>
      <c r="Y878" s="253"/>
      <c r="Z878" s="253"/>
      <c r="AA878" s="253"/>
      <c r="AB878" s="218"/>
    </row>
    <row r="879">
      <c r="A879" s="118"/>
      <c r="B879" s="118"/>
      <c r="C879" s="143"/>
      <c r="D879" s="118"/>
      <c r="E879" s="118"/>
      <c r="F879" s="262"/>
      <c r="G879" s="264"/>
      <c r="H879" s="264"/>
      <c r="I879" s="267"/>
      <c r="J879" s="118"/>
      <c r="K879" s="136"/>
      <c r="L879" s="118"/>
      <c r="M879" s="136"/>
      <c r="N879" s="118"/>
      <c r="O879" s="136"/>
      <c r="P879" s="272"/>
      <c r="Q879" s="272"/>
      <c r="R879" s="272"/>
      <c r="S879" s="272"/>
      <c r="T879" s="272"/>
      <c r="U879" s="272"/>
      <c r="V879" s="273"/>
      <c r="W879" s="253"/>
      <c r="X879" s="253"/>
      <c r="Y879" s="253"/>
      <c r="Z879" s="253"/>
      <c r="AA879" s="253"/>
      <c r="AB879" s="218"/>
    </row>
    <row r="880">
      <c r="A880" s="118"/>
      <c r="B880" s="118"/>
      <c r="C880" s="143"/>
      <c r="D880" s="118"/>
      <c r="E880" s="118"/>
      <c r="F880" s="262"/>
      <c r="G880" s="264"/>
      <c r="H880" s="264"/>
      <c r="I880" s="267"/>
      <c r="J880" s="118"/>
      <c r="K880" s="136"/>
      <c r="L880" s="118"/>
      <c r="M880" s="136"/>
      <c r="N880" s="118"/>
      <c r="O880" s="136"/>
      <c r="P880" s="272"/>
      <c r="Q880" s="272"/>
      <c r="R880" s="272"/>
      <c r="S880" s="272"/>
      <c r="T880" s="272"/>
      <c r="U880" s="272"/>
      <c r="V880" s="273"/>
      <c r="W880" s="253"/>
      <c r="X880" s="253"/>
      <c r="Y880" s="253"/>
      <c r="Z880" s="253"/>
      <c r="AA880" s="253"/>
      <c r="AB880" s="218"/>
    </row>
    <row r="881">
      <c r="A881" s="118"/>
      <c r="B881" s="118"/>
      <c r="C881" s="143"/>
      <c r="D881" s="118"/>
      <c r="E881" s="118"/>
      <c r="F881" s="262"/>
      <c r="G881" s="264"/>
      <c r="H881" s="264"/>
      <c r="I881" s="267"/>
      <c r="J881" s="118"/>
      <c r="K881" s="136"/>
      <c r="L881" s="118"/>
      <c r="M881" s="136"/>
      <c r="N881" s="118"/>
      <c r="O881" s="136"/>
      <c r="P881" s="272"/>
      <c r="Q881" s="272"/>
      <c r="R881" s="272"/>
      <c r="S881" s="272"/>
      <c r="T881" s="272"/>
      <c r="U881" s="272"/>
      <c r="V881" s="273"/>
      <c r="W881" s="253"/>
      <c r="X881" s="253"/>
      <c r="Y881" s="253"/>
      <c r="Z881" s="253"/>
      <c r="AA881" s="253"/>
      <c r="AB881" s="218"/>
    </row>
    <row r="882">
      <c r="A882" s="118"/>
      <c r="B882" s="118"/>
      <c r="C882" s="143"/>
      <c r="D882" s="118"/>
      <c r="E882" s="118"/>
      <c r="F882" s="262"/>
      <c r="G882" s="264"/>
      <c r="H882" s="264"/>
      <c r="I882" s="267"/>
      <c r="J882" s="118"/>
      <c r="K882" s="136"/>
      <c r="L882" s="118"/>
      <c r="M882" s="136"/>
      <c r="N882" s="118"/>
      <c r="O882" s="136"/>
      <c r="P882" s="272"/>
      <c r="Q882" s="272"/>
      <c r="R882" s="272"/>
      <c r="S882" s="272"/>
      <c r="T882" s="272"/>
      <c r="U882" s="272"/>
      <c r="V882" s="273"/>
      <c r="W882" s="253"/>
      <c r="X882" s="253"/>
      <c r="Y882" s="253"/>
      <c r="Z882" s="253"/>
      <c r="AA882" s="253"/>
      <c r="AB882" s="218"/>
    </row>
    <row r="883">
      <c r="A883" s="118"/>
      <c r="B883" s="118"/>
      <c r="C883" s="143"/>
      <c r="D883" s="118"/>
      <c r="E883" s="118"/>
      <c r="F883" s="262"/>
      <c r="G883" s="264"/>
      <c r="H883" s="264"/>
      <c r="I883" s="267"/>
      <c r="J883" s="118"/>
      <c r="K883" s="136"/>
      <c r="L883" s="118"/>
      <c r="M883" s="136"/>
      <c r="N883" s="118"/>
      <c r="O883" s="136"/>
      <c r="P883" s="272"/>
      <c r="Q883" s="272"/>
      <c r="R883" s="272"/>
      <c r="S883" s="272"/>
      <c r="T883" s="272"/>
      <c r="U883" s="272"/>
      <c r="V883" s="273"/>
      <c r="W883" s="253"/>
      <c r="X883" s="253"/>
      <c r="Y883" s="253"/>
      <c r="Z883" s="253"/>
      <c r="AA883" s="253"/>
      <c r="AB883" s="218"/>
    </row>
    <row r="884">
      <c r="A884" s="118"/>
      <c r="B884" s="118"/>
      <c r="C884" s="143"/>
      <c r="D884" s="118"/>
      <c r="E884" s="118"/>
      <c r="F884" s="262"/>
      <c r="G884" s="264"/>
      <c r="H884" s="264"/>
      <c r="I884" s="267"/>
      <c r="J884" s="118"/>
      <c r="K884" s="136"/>
      <c r="L884" s="118"/>
      <c r="M884" s="136"/>
      <c r="N884" s="118"/>
      <c r="O884" s="136"/>
      <c r="P884" s="272"/>
      <c r="Q884" s="272"/>
      <c r="R884" s="272"/>
      <c r="S884" s="272"/>
      <c r="T884" s="272"/>
      <c r="U884" s="272"/>
      <c r="V884" s="273"/>
      <c r="W884" s="253"/>
      <c r="X884" s="253"/>
      <c r="Y884" s="253"/>
      <c r="Z884" s="253"/>
      <c r="AA884" s="253"/>
      <c r="AB884" s="218"/>
    </row>
    <row r="885">
      <c r="A885" s="118"/>
      <c r="B885" s="118"/>
      <c r="C885" s="143"/>
      <c r="D885" s="118"/>
      <c r="E885" s="118"/>
      <c r="F885" s="262"/>
      <c r="G885" s="264"/>
      <c r="H885" s="264"/>
      <c r="I885" s="267"/>
      <c r="J885" s="118"/>
      <c r="K885" s="136"/>
      <c r="L885" s="118"/>
      <c r="M885" s="136"/>
      <c r="N885" s="118"/>
      <c r="O885" s="136"/>
      <c r="P885" s="272"/>
      <c r="Q885" s="272"/>
      <c r="R885" s="272"/>
      <c r="S885" s="272"/>
      <c r="T885" s="272"/>
      <c r="U885" s="272"/>
      <c r="V885" s="273"/>
      <c r="W885" s="253"/>
      <c r="X885" s="253"/>
      <c r="Y885" s="253"/>
      <c r="Z885" s="253"/>
      <c r="AA885" s="253"/>
      <c r="AB885" s="218"/>
    </row>
    <row r="886">
      <c r="A886" s="118"/>
      <c r="B886" s="118"/>
      <c r="C886" s="143"/>
      <c r="D886" s="118"/>
      <c r="E886" s="118"/>
      <c r="F886" s="262"/>
      <c r="G886" s="264"/>
      <c r="H886" s="264"/>
      <c r="I886" s="267"/>
      <c r="J886" s="118"/>
      <c r="K886" s="136"/>
      <c r="L886" s="118"/>
      <c r="M886" s="136"/>
      <c r="N886" s="118"/>
      <c r="O886" s="136"/>
      <c r="P886" s="272"/>
      <c r="Q886" s="272"/>
      <c r="R886" s="272"/>
      <c r="S886" s="272"/>
      <c r="T886" s="272"/>
      <c r="U886" s="272"/>
      <c r="V886" s="273"/>
      <c r="W886" s="253"/>
      <c r="X886" s="253"/>
      <c r="Y886" s="253"/>
      <c r="Z886" s="253"/>
      <c r="AA886" s="253"/>
      <c r="AB886" s="218"/>
    </row>
    <row r="887">
      <c r="A887" s="118"/>
      <c r="B887" s="118"/>
      <c r="C887" s="143"/>
      <c r="D887" s="118"/>
      <c r="E887" s="118"/>
      <c r="F887" s="262"/>
      <c r="G887" s="264"/>
      <c r="H887" s="264"/>
      <c r="I887" s="267"/>
      <c r="J887" s="118"/>
      <c r="K887" s="136"/>
      <c r="L887" s="118"/>
      <c r="M887" s="136"/>
      <c r="N887" s="118"/>
      <c r="O887" s="136"/>
      <c r="P887" s="272"/>
      <c r="Q887" s="272"/>
      <c r="R887" s="272"/>
      <c r="S887" s="272"/>
      <c r="T887" s="272"/>
      <c r="U887" s="272"/>
      <c r="V887" s="273"/>
      <c r="W887" s="253"/>
      <c r="X887" s="253"/>
      <c r="Y887" s="253"/>
      <c r="Z887" s="253"/>
      <c r="AA887" s="253"/>
      <c r="AB887" s="218"/>
    </row>
    <row r="888">
      <c r="A888" s="118"/>
      <c r="B888" s="118"/>
      <c r="C888" s="143"/>
      <c r="D888" s="118"/>
      <c r="E888" s="118"/>
      <c r="F888" s="262"/>
      <c r="G888" s="264"/>
      <c r="H888" s="264"/>
      <c r="I888" s="267"/>
      <c r="J888" s="118"/>
      <c r="K888" s="136"/>
      <c r="L888" s="118"/>
      <c r="M888" s="136"/>
      <c r="N888" s="118"/>
      <c r="O888" s="136"/>
      <c r="P888" s="272"/>
      <c r="Q888" s="272"/>
      <c r="R888" s="272"/>
      <c r="S888" s="272"/>
      <c r="T888" s="272"/>
      <c r="U888" s="272"/>
      <c r="V888" s="273"/>
      <c r="W888" s="253"/>
      <c r="X888" s="253"/>
      <c r="Y888" s="253"/>
      <c r="Z888" s="253"/>
      <c r="AA888" s="253"/>
      <c r="AB888" s="218"/>
    </row>
    <row r="889">
      <c r="A889" s="118"/>
      <c r="B889" s="118"/>
      <c r="C889" s="143"/>
      <c r="D889" s="118"/>
      <c r="E889" s="118"/>
      <c r="F889" s="262"/>
      <c r="G889" s="264"/>
      <c r="H889" s="264"/>
      <c r="I889" s="267"/>
      <c r="J889" s="118"/>
      <c r="K889" s="136"/>
      <c r="L889" s="118"/>
      <c r="M889" s="136"/>
      <c r="N889" s="118"/>
      <c r="O889" s="136"/>
      <c r="P889" s="272"/>
      <c r="Q889" s="272"/>
      <c r="R889" s="272"/>
      <c r="S889" s="272"/>
      <c r="T889" s="272"/>
      <c r="U889" s="272"/>
      <c r="V889" s="273"/>
      <c r="W889" s="253"/>
      <c r="X889" s="253"/>
      <c r="Y889" s="253"/>
      <c r="Z889" s="253"/>
      <c r="AA889" s="253"/>
      <c r="AB889" s="218"/>
    </row>
    <row r="890">
      <c r="A890" s="118"/>
      <c r="B890" s="118"/>
      <c r="C890" s="143"/>
      <c r="D890" s="118"/>
      <c r="E890" s="118"/>
      <c r="F890" s="262"/>
      <c r="G890" s="264"/>
      <c r="H890" s="264"/>
      <c r="I890" s="267"/>
      <c r="J890" s="118"/>
      <c r="K890" s="136"/>
      <c r="L890" s="118"/>
      <c r="M890" s="136"/>
      <c r="N890" s="118"/>
      <c r="O890" s="136"/>
      <c r="P890" s="272"/>
      <c r="Q890" s="272"/>
      <c r="R890" s="272"/>
      <c r="S890" s="272"/>
      <c r="T890" s="272"/>
      <c r="U890" s="272"/>
      <c r="V890" s="273"/>
      <c r="W890" s="253"/>
      <c r="X890" s="253"/>
      <c r="Y890" s="253"/>
      <c r="Z890" s="253"/>
      <c r="AA890" s="253"/>
      <c r="AB890" s="218"/>
    </row>
    <row r="891">
      <c r="A891" s="118"/>
      <c r="B891" s="118"/>
      <c r="C891" s="143"/>
      <c r="D891" s="118"/>
      <c r="E891" s="118"/>
      <c r="F891" s="262"/>
      <c r="G891" s="264"/>
      <c r="H891" s="264"/>
      <c r="I891" s="267"/>
      <c r="J891" s="118"/>
      <c r="K891" s="136"/>
      <c r="L891" s="118"/>
      <c r="M891" s="136"/>
      <c r="N891" s="118"/>
      <c r="O891" s="136"/>
      <c r="P891" s="272"/>
      <c r="Q891" s="272"/>
      <c r="R891" s="272"/>
      <c r="S891" s="272"/>
      <c r="T891" s="272"/>
      <c r="U891" s="272"/>
      <c r="V891" s="273"/>
      <c r="W891" s="253"/>
      <c r="X891" s="253"/>
      <c r="Y891" s="253"/>
      <c r="Z891" s="253"/>
      <c r="AA891" s="253"/>
      <c r="AB891" s="218"/>
    </row>
    <row r="892">
      <c r="A892" s="118"/>
      <c r="B892" s="118"/>
      <c r="C892" s="143"/>
      <c r="D892" s="118"/>
      <c r="E892" s="118"/>
      <c r="F892" s="262"/>
      <c r="G892" s="264"/>
      <c r="H892" s="264"/>
      <c r="I892" s="267"/>
      <c r="J892" s="118"/>
      <c r="K892" s="136"/>
      <c r="L892" s="118"/>
      <c r="M892" s="136"/>
      <c r="N892" s="118"/>
      <c r="O892" s="136"/>
      <c r="P892" s="272"/>
      <c r="Q892" s="272"/>
      <c r="R892" s="272"/>
      <c r="S892" s="272"/>
      <c r="T892" s="272"/>
      <c r="U892" s="272"/>
      <c r="V892" s="273"/>
      <c r="W892" s="253"/>
      <c r="X892" s="253"/>
      <c r="Y892" s="253"/>
      <c r="Z892" s="253"/>
      <c r="AA892" s="253"/>
      <c r="AB892" s="218"/>
    </row>
    <row r="893">
      <c r="A893" s="118"/>
      <c r="B893" s="118"/>
      <c r="C893" s="143"/>
      <c r="D893" s="118"/>
      <c r="E893" s="118"/>
      <c r="F893" s="262"/>
      <c r="G893" s="264"/>
      <c r="H893" s="264"/>
      <c r="I893" s="267"/>
      <c r="J893" s="118"/>
      <c r="K893" s="136"/>
      <c r="L893" s="118"/>
      <c r="M893" s="136"/>
      <c r="N893" s="118"/>
      <c r="O893" s="136"/>
      <c r="P893" s="272"/>
      <c r="Q893" s="272"/>
      <c r="R893" s="272"/>
      <c r="S893" s="272"/>
      <c r="T893" s="272"/>
      <c r="U893" s="272"/>
      <c r="V893" s="273"/>
      <c r="W893" s="253"/>
      <c r="X893" s="253"/>
      <c r="Y893" s="253"/>
      <c r="Z893" s="253"/>
      <c r="AA893" s="253"/>
      <c r="AB893" s="218"/>
    </row>
    <row r="894">
      <c r="A894" s="118"/>
      <c r="B894" s="118"/>
      <c r="C894" s="143"/>
      <c r="D894" s="118"/>
      <c r="E894" s="118"/>
      <c r="F894" s="262"/>
      <c r="G894" s="264"/>
      <c r="H894" s="264"/>
      <c r="I894" s="267"/>
      <c r="J894" s="118"/>
      <c r="K894" s="136"/>
      <c r="L894" s="118"/>
      <c r="M894" s="136"/>
      <c r="N894" s="118"/>
      <c r="O894" s="136"/>
      <c r="P894" s="272"/>
      <c r="Q894" s="272"/>
      <c r="R894" s="272"/>
      <c r="S894" s="272"/>
      <c r="T894" s="272"/>
      <c r="U894" s="272"/>
      <c r="V894" s="273"/>
      <c r="W894" s="253"/>
      <c r="X894" s="253"/>
      <c r="Y894" s="253"/>
      <c r="Z894" s="253"/>
      <c r="AA894" s="253"/>
      <c r="AB894" s="218"/>
    </row>
    <row r="895">
      <c r="A895" s="118"/>
      <c r="B895" s="118"/>
      <c r="C895" s="143"/>
      <c r="D895" s="118"/>
      <c r="E895" s="118"/>
      <c r="F895" s="262"/>
      <c r="G895" s="264"/>
      <c r="H895" s="264"/>
      <c r="I895" s="267"/>
      <c r="J895" s="118"/>
      <c r="K895" s="136"/>
      <c r="L895" s="118"/>
      <c r="M895" s="136"/>
      <c r="N895" s="118"/>
      <c r="O895" s="136"/>
      <c r="P895" s="272"/>
      <c r="Q895" s="272"/>
      <c r="R895" s="272"/>
      <c r="S895" s="272"/>
      <c r="T895" s="272"/>
      <c r="U895" s="272"/>
      <c r="V895" s="273"/>
      <c r="W895" s="253"/>
      <c r="X895" s="253"/>
      <c r="Y895" s="253"/>
      <c r="Z895" s="253"/>
      <c r="AA895" s="253"/>
      <c r="AB895" s="218"/>
    </row>
    <row r="896">
      <c r="A896" s="118"/>
      <c r="B896" s="118"/>
      <c r="C896" s="143"/>
      <c r="D896" s="118"/>
      <c r="E896" s="118"/>
      <c r="F896" s="262"/>
      <c r="G896" s="264"/>
      <c r="H896" s="264"/>
      <c r="I896" s="267"/>
      <c r="J896" s="118"/>
      <c r="K896" s="136"/>
      <c r="L896" s="118"/>
      <c r="M896" s="136"/>
      <c r="N896" s="118"/>
      <c r="O896" s="136"/>
      <c r="P896" s="272"/>
      <c r="Q896" s="272"/>
      <c r="R896" s="272"/>
      <c r="S896" s="272"/>
      <c r="T896" s="272"/>
      <c r="U896" s="272"/>
      <c r="V896" s="273"/>
      <c r="W896" s="253"/>
      <c r="X896" s="253"/>
      <c r="Y896" s="253"/>
      <c r="Z896" s="253"/>
      <c r="AA896" s="253"/>
      <c r="AB896" s="218"/>
    </row>
    <row r="897">
      <c r="A897" s="118"/>
      <c r="B897" s="118"/>
      <c r="C897" s="143"/>
      <c r="D897" s="118"/>
      <c r="E897" s="118"/>
      <c r="F897" s="262"/>
      <c r="G897" s="264"/>
      <c r="H897" s="264"/>
      <c r="I897" s="267"/>
      <c r="J897" s="118"/>
      <c r="K897" s="136"/>
      <c r="L897" s="118"/>
      <c r="M897" s="136"/>
      <c r="N897" s="118"/>
      <c r="O897" s="136"/>
      <c r="P897" s="272"/>
      <c r="Q897" s="272"/>
      <c r="R897" s="272"/>
      <c r="S897" s="272"/>
      <c r="T897" s="272"/>
      <c r="U897" s="272"/>
      <c r="V897" s="273"/>
      <c r="W897" s="253"/>
      <c r="X897" s="253"/>
      <c r="Y897" s="253"/>
      <c r="Z897" s="253"/>
      <c r="AA897" s="253"/>
      <c r="AB897" s="218"/>
    </row>
    <row r="898">
      <c r="A898" s="118"/>
      <c r="B898" s="118"/>
      <c r="C898" s="143"/>
      <c r="D898" s="118"/>
      <c r="E898" s="118"/>
      <c r="F898" s="262"/>
      <c r="G898" s="264"/>
      <c r="H898" s="264"/>
      <c r="I898" s="267"/>
      <c r="J898" s="118"/>
      <c r="K898" s="136"/>
      <c r="L898" s="118"/>
      <c r="M898" s="136"/>
      <c r="N898" s="118"/>
      <c r="O898" s="136"/>
      <c r="P898" s="272"/>
      <c r="Q898" s="272"/>
      <c r="R898" s="272"/>
      <c r="S898" s="272"/>
      <c r="T898" s="272"/>
      <c r="U898" s="272"/>
      <c r="V898" s="273"/>
      <c r="W898" s="253"/>
      <c r="X898" s="253"/>
      <c r="Y898" s="253"/>
      <c r="Z898" s="253"/>
      <c r="AA898" s="253"/>
      <c r="AB898" s="218"/>
    </row>
    <row r="899">
      <c r="A899" s="118"/>
      <c r="B899" s="118"/>
      <c r="C899" s="143"/>
      <c r="D899" s="118"/>
      <c r="E899" s="118"/>
      <c r="F899" s="262"/>
      <c r="G899" s="264"/>
      <c r="H899" s="264"/>
      <c r="I899" s="267"/>
      <c r="J899" s="118"/>
      <c r="K899" s="136"/>
      <c r="L899" s="118"/>
      <c r="M899" s="136"/>
      <c r="N899" s="118"/>
      <c r="O899" s="136"/>
      <c r="P899" s="272"/>
      <c r="Q899" s="272"/>
      <c r="R899" s="272"/>
      <c r="S899" s="272"/>
      <c r="T899" s="272"/>
      <c r="U899" s="272"/>
      <c r="V899" s="273"/>
      <c r="W899" s="253"/>
      <c r="X899" s="253"/>
      <c r="Y899" s="253"/>
      <c r="Z899" s="253"/>
      <c r="AA899" s="253"/>
      <c r="AB899" s="218"/>
    </row>
    <row r="900">
      <c r="A900" s="118"/>
      <c r="B900" s="118"/>
      <c r="C900" s="143"/>
      <c r="D900" s="118"/>
      <c r="E900" s="118"/>
      <c r="F900" s="262"/>
      <c r="G900" s="264"/>
      <c r="H900" s="264"/>
      <c r="I900" s="267"/>
      <c r="J900" s="118"/>
      <c r="K900" s="136"/>
      <c r="L900" s="118"/>
      <c r="M900" s="136"/>
      <c r="N900" s="118"/>
      <c r="O900" s="136"/>
      <c r="P900" s="272"/>
      <c r="Q900" s="272"/>
      <c r="R900" s="272"/>
      <c r="S900" s="272"/>
      <c r="T900" s="272"/>
      <c r="U900" s="272"/>
      <c r="V900" s="273"/>
      <c r="W900" s="253"/>
      <c r="X900" s="253"/>
      <c r="Y900" s="253"/>
      <c r="Z900" s="253"/>
      <c r="AA900" s="253"/>
      <c r="AB900" s="218"/>
    </row>
    <row r="901">
      <c r="A901" s="118"/>
      <c r="B901" s="118"/>
      <c r="C901" s="143"/>
      <c r="D901" s="118"/>
      <c r="E901" s="118"/>
      <c r="F901" s="262"/>
      <c r="G901" s="264"/>
      <c r="H901" s="264"/>
      <c r="I901" s="267"/>
      <c r="J901" s="118"/>
      <c r="K901" s="136"/>
      <c r="L901" s="118"/>
      <c r="M901" s="136"/>
      <c r="N901" s="118"/>
      <c r="O901" s="136"/>
      <c r="P901" s="272"/>
      <c r="Q901" s="272"/>
      <c r="R901" s="272"/>
      <c r="S901" s="272"/>
      <c r="T901" s="272"/>
      <c r="U901" s="272"/>
      <c r="V901" s="273"/>
      <c r="W901" s="253"/>
      <c r="X901" s="253"/>
      <c r="Y901" s="253"/>
      <c r="Z901" s="253"/>
      <c r="AA901" s="253"/>
      <c r="AB901" s="218"/>
    </row>
    <row r="902">
      <c r="A902" s="118"/>
      <c r="B902" s="118"/>
      <c r="C902" s="143"/>
      <c r="D902" s="118"/>
      <c r="E902" s="118"/>
      <c r="F902" s="262"/>
      <c r="G902" s="264"/>
      <c r="H902" s="264"/>
      <c r="I902" s="267"/>
      <c r="J902" s="118"/>
      <c r="K902" s="136"/>
      <c r="L902" s="118"/>
      <c r="M902" s="136"/>
      <c r="N902" s="118"/>
      <c r="O902" s="136"/>
      <c r="P902" s="272"/>
      <c r="Q902" s="272"/>
      <c r="R902" s="272"/>
      <c r="S902" s="272"/>
      <c r="T902" s="272"/>
      <c r="U902" s="272"/>
      <c r="V902" s="273"/>
      <c r="W902" s="253"/>
      <c r="X902" s="253"/>
      <c r="Y902" s="253"/>
      <c r="Z902" s="253"/>
      <c r="AA902" s="253"/>
      <c r="AB902" s="218"/>
    </row>
    <row r="903">
      <c r="A903" s="118"/>
      <c r="B903" s="118"/>
      <c r="C903" s="143"/>
      <c r="D903" s="118"/>
      <c r="E903" s="118"/>
      <c r="F903" s="262"/>
      <c r="G903" s="264"/>
      <c r="H903" s="264"/>
      <c r="I903" s="267"/>
      <c r="J903" s="118"/>
      <c r="K903" s="136"/>
      <c r="L903" s="118"/>
      <c r="M903" s="136"/>
      <c r="N903" s="118"/>
      <c r="O903" s="136"/>
      <c r="P903" s="272"/>
      <c r="Q903" s="272"/>
      <c r="R903" s="272"/>
      <c r="S903" s="272"/>
      <c r="T903" s="272"/>
      <c r="U903" s="272"/>
      <c r="V903" s="273"/>
      <c r="W903" s="253"/>
      <c r="X903" s="253"/>
      <c r="Y903" s="253"/>
      <c r="Z903" s="253"/>
      <c r="AA903" s="253"/>
      <c r="AB903" s="218"/>
    </row>
    <row r="904">
      <c r="A904" s="118"/>
      <c r="B904" s="118"/>
      <c r="C904" s="143"/>
      <c r="D904" s="118"/>
      <c r="E904" s="118"/>
      <c r="F904" s="262"/>
      <c r="G904" s="264"/>
      <c r="H904" s="264"/>
      <c r="I904" s="267"/>
      <c r="J904" s="118"/>
      <c r="K904" s="136"/>
      <c r="L904" s="118"/>
      <c r="M904" s="136"/>
      <c r="N904" s="118"/>
      <c r="O904" s="136"/>
      <c r="P904" s="272"/>
      <c r="Q904" s="272"/>
      <c r="R904" s="272"/>
      <c r="S904" s="272"/>
      <c r="T904" s="272"/>
      <c r="U904" s="272"/>
      <c r="V904" s="273"/>
      <c r="W904" s="253"/>
      <c r="X904" s="253"/>
      <c r="Y904" s="253"/>
      <c r="Z904" s="253"/>
      <c r="AA904" s="253"/>
      <c r="AB904" s="218"/>
    </row>
    <row r="905">
      <c r="A905" s="118"/>
      <c r="B905" s="118"/>
      <c r="C905" s="143"/>
      <c r="D905" s="118"/>
      <c r="E905" s="118"/>
      <c r="F905" s="262"/>
      <c r="G905" s="264"/>
      <c r="H905" s="264"/>
      <c r="I905" s="267"/>
      <c r="J905" s="118"/>
      <c r="K905" s="136"/>
      <c r="L905" s="118"/>
      <c r="M905" s="136"/>
      <c r="N905" s="118"/>
      <c r="O905" s="136"/>
      <c r="P905" s="272"/>
      <c r="Q905" s="272"/>
      <c r="R905" s="272"/>
      <c r="S905" s="272"/>
      <c r="T905" s="272"/>
      <c r="U905" s="272"/>
      <c r="V905" s="273"/>
      <c r="W905" s="253"/>
      <c r="X905" s="253"/>
      <c r="Y905" s="253"/>
      <c r="Z905" s="253"/>
      <c r="AA905" s="253"/>
      <c r="AB905" s="218"/>
    </row>
    <row r="906">
      <c r="A906" s="118"/>
      <c r="B906" s="118"/>
      <c r="C906" s="143"/>
      <c r="D906" s="118"/>
      <c r="E906" s="118"/>
      <c r="F906" s="262"/>
      <c r="G906" s="264"/>
      <c r="H906" s="264"/>
      <c r="I906" s="267"/>
      <c r="J906" s="118"/>
      <c r="K906" s="136"/>
      <c r="L906" s="118"/>
      <c r="M906" s="136"/>
      <c r="N906" s="118"/>
      <c r="O906" s="136"/>
      <c r="P906" s="272"/>
      <c r="Q906" s="272"/>
      <c r="R906" s="272"/>
      <c r="S906" s="272"/>
      <c r="T906" s="272"/>
      <c r="U906" s="272"/>
      <c r="V906" s="273"/>
      <c r="W906" s="253"/>
      <c r="X906" s="253"/>
      <c r="Y906" s="253"/>
      <c r="Z906" s="253"/>
      <c r="AA906" s="253"/>
      <c r="AB906" s="218"/>
    </row>
    <row r="907">
      <c r="A907" s="118"/>
      <c r="B907" s="118"/>
      <c r="C907" s="143"/>
      <c r="D907" s="118"/>
      <c r="E907" s="118"/>
      <c r="F907" s="262"/>
      <c r="G907" s="264"/>
      <c r="H907" s="264"/>
      <c r="I907" s="267"/>
      <c r="J907" s="118"/>
      <c r="K907" s="136"/>
      <c r="L907" s="118"/>
      <c r="M907" s="136"/>
      <c r="N907" s="118"/>
      <c r="O907" s="136"/>
      <c r="P907" s="272"/>
      <c r="Q907" s="272"/>
      <c r="R907" s="272"/>
      <c r="S907" s="272"/>
      <c r="T907" s="272"/>
      <c r="U907" s="272"/>
      <c r="V907" s="273"/>
      <c r="W907" s="253"/>
      <c r="X907" s="253"/>
      <c r="Y907" s="253"/>
      <c r="Z907" s="253"/>
      <c r="AA907" s="253"/>
      <c r="AB907" s="218"/>
    </row>
    <row r="908">
      <c r="A908" s="118"/>
      <c r="B908" s="118"/>
      <c r="C908" s="143"/>
      <c r="D908" s="118"/>
      <c r="E908" s="118"/>
      <c r="F908" s="262"/>
      <c r="G908" s="264"/>
      <c r="H908" s="264"/>
      <c r="I908" s="267"/>
      <c r="J908" s="118"/>
      <c r="K908" s="136"/>
      <c r="L908" s="118"/>
      <c r="M908" s="136"/>
      <c r="N908" s="118"/>
      <c r="O908" s="136"/>
      <c r="P908" s="272"/>
      <c r="Q908" s="272"/>
      <c r="R908" s="272"/>
      <c r="S908" s="272"/>
      <c r="T908" s="272"/>
      <c r="U908" s="272"/>
      <c r="V908" s="273"/>
      <c r="W908" s="253"/>
      <c r="X908" s="253"/>
      <c r="Y908" s="253"/>
      <c r="Z908" s="253"/>
      <c r="AA908" s="253"/>
      <c r="AB908" s="218"/>
    </row>
    <row r="909">
      <c r="A909" s="118"/>
      <c r="B909" s="118"/>
      <c r="C909" s="143"/>
      <c r="D909" s="118"/>
      <c r="E909" s="118"/>
      <c r="F909" s="262"/>
      <c r="G909" s="264"/>
      <c r="H909" s="264"/>
      <c r="I909" s="267"/>
      <c r="J909" s="118"/>
      <c r="K909" s="136"/>
      <c r="L909" s="118"/>
      <c r="M909" s="136"/>
      <c r="N909" s="118"/>
      <c r="O909" s="136"/>
      <c r="P909" s="272"/>
      <c r="Q909" s="272"/>
      <c r="R909" s="272"/>
      <c r="S909" s="272"/>
      <c r="T909" s="272"/>
      <c r="U909" s="272"/>
      <c r="V909" s="273"/>
      <c r="W909" s="253"/>
      <c r="X909" s="253"/>
      <c r="Y909" s="253"/>
      <c r="Z909" s="253"/>
      <c r="AA909" s="253"/>
      <c r="AB909" s="218"/>
    </row>
    <row r="910">
      <c r="A910" s="118"/>
      <c r="B910" s="118"/>
      <c r="C910" s="143"/>
      <c r="D910" s="118"/>
      <c r="E910" s="118"/>
      <c r="F910" s="262"/>
      <c r="G910" s="264"/>
      <c r="H910" s="264"/>
      <c r="I910" s="267"/>
      <c r="J910" s="118"/>
      <c r="K910" s="136"/>
      <c r="L910" s="118"/>
      <c r="M910" s="136"/>
      <c r="N910" s="118"/>
      <c r="O910" s="136"/>
      <c r="P910" s="272"/>
      <c r="Q910" s="272"/>
      <c r="R910" s="272"/>
      <c r="S910" s="272"/>
      <c r="T910" s="272"/>
      <c r="U910" s="272"/>
      <c r="V910" s="273"/>
      <c r="W910" s="253"/>
      <c r="X910" s="253"/>
      <c r="Y910" s="253"/>
      <c r="Z910" s="253"/>
      <c r="AA910" s="253"/>
      <c r="AB910" s="218"/>
    </row>
    <row r="911">
      <c r="A911" s="118"/>
      <c r="B911" s="118"/>
      <c r="C911" s="143"/>
      <c r="D911" s="118"/>
      <c r="E911" s="118"/>
      <c r="F911" s="262"/>
      <c r="G911" s="264"/>
      <c r="H911" s="264"/>
      <c r="I911" s="267"/>
      <c r="J911" s="118"/>
      <c r="K911" s="136"/>
      <c r="L911" s="118"/>
      <c r="M911" s="136"/>
      <c r="N911" s="118"/>
      <c r="O911" s="136"/>
      <c r="P911" s="272"/>
      <c r="Q911" s="272"/>
      <c r="R911" s="272"/>
      <c r="S911" s="272"/>
      <c r="T911" s="272"/>
      <c r="U911" s="272"/>
      <c r="V911" s="273"/>
      <c r="W911" s="253"/>
      <c r="X911" s="253"/>
      <c r="Y911" s="253"/>
      <c r="Z911" s="253"/>
      <c r="AA911" s="253"/>
      <c r="AB911" s="218"/>
    </row>
    <row r="912">
      <c r="A912" s="118"/>
      <c r="B912" s="118"/>
      <c r="C912" s="143"/>
      <c r="D912" s="118"/>
      <c r="E912" s="118"/>
      <c r="F912" s="262"/>
      <c r="G912" s="264"/>
      <c r="H912" s="264"/>
      <c r="I912" s="267"/>
      <c r="J912" s="118"/>
      <c r="K912" s="136"/>
      <c r="L912" s="118"/>
      <c r="M912" s="136"/>
      <c r="N912" s="118"/>
      <c r="O912" s="136"/>
      <c r="P912" s="272"/>
      <c r="Q912" s="272"/>
      <c r="R912" s="272"/>
      <c r="S912" s="272"/>
      <c r="T912" s="272"/>
      <c r="U912" s="272"/>
      <c r="V912" s="273"/>
      <c r="W912" s="253"/>
      <c r="X912" s="253"/>
      <c r="Y912" s="253"/>
      <c r="Z912" s="253"/>
      <c r="AA912" s="253"/>
      <c r="AB912" s="218"/>
    </row>
    <row r="913">
      <c r="A913" s="118"/>
      <c r="B913" s="118"/>
      <c r="C913" s="143"/>
      <c r="D913" s="118"/>
      <c r="E913" s="118"/>
      <c r="F913" s="262"/>
      <c r="G913" s="264"/>
      <c r="H913" s="264"/>
      <c r="I913" s="267"/>
      <c r="J913" s="118"/>
      <c r="K913" s="136"/>
      <c r="L913" s="118"/>
      <c r="M913" s="136"/>
      <c r="N913" s="118"/>
      <c r="O913" s="136"/>
      <c r="P913" s="272"/>
      <c r="Q913" s="272"/>
      <c r="R913" s="272"/>
      <c r="S913" s="272"/>
      <c r="T913" s="272"/>
      <c r="U913" s="272"/>
      <c r="V913" s="273"/>
      <c r="W913" s="253"/>
      <c r="X913" s="253"/>
      <c r="Y913" s="253"/>
      <c r="Z913" s="253"/>
      <c r="AA913" s="253"/>
      <c r="AB913" s="218"/>
    </row>
    <row r="914">
      <c r="A914" s="118"/>
      <c r="B914" s="118"/>
      <c r="C914" s="143"/>
      <c r="D914" s="118"/>
      <c r="E914" s="118"/>
      <c r="F914" s="262"/>
      <c r="G914" s="264"/>
      <c r="H914" s="264"/>
      <c r="I914" s="267"/>
      <c r="J914" s="118"/>
      <c r="K914" s="136"/>
      <c r="L914" s="118"/>
      <c r="M914" s="136"/>
      <c r="N914" s="118"/>
      <c r="O914" s="136"/>
      <c r="P914" s="272"/>
      <c r="Q914" s="272"/>
      <c r="R914" s="272"/>
      <c r="S914" s="272"/>
      <c r="T914" s="272"/>
      <c r="U914" s="272"/>
      <c r="V914" s="273"/>
      <c r="W914" s="253"/>
      <c r="X914" s="253"/>
      <c r="Y914" s="253"/>
      <c r="Z914" s="253"/>
      <c r="AA914" s="253"/>
      <c r="AB914" s="218"/>
    </row>
    <row r="915">
      <c r="A915" s="118"/>
      <c r="B915" s="118"/>
      <c r="C915" s="143"/>
      <c r="D915" s="118"/>
      <c r="E915" s="118"/>
      <c r="F915" s="262"/>
      <c r="G915" s="264"/>
      <c r="H915" s="264"/>
      <c r="I915" s="267"/>
      <c r="J915" s="118"/>
      <c r="K915" s="136"/>
      <c r="L915" s="118"/>
      <c r="M915" s="136"/>
      <c r="N915" s="118"/>
      <c r="O915" s="136"/>
      <c r="P915" s="272"/>
      <c r="Q915" s="272"/>
      <c r="R915" s="272"/>
      <c r="S915" s="272"/>
      <c r="T915" s="272"/>
      <c r="U915" s="272"/>
      <c r="V915" s="273"/>
      <c r="W915" s="253"/>
      <c r="X915" s="253"/>
      <c r="Y915" s="253"/>
      <c r="Z915" s="253"/>
      <c r="AA915" s="253"/>
      <c r="AB915" s="218"/>
    </row>
    <row r="916">
      <c r="A916" s="118"/>
      <c r="B916" s="118"/>
      <c r="C916" s="143"/>
      <c r="D916" s="118"/>
      <c r="E916" s="118"/>
      <c r="F916" s="262"/>
      <c r="G916" s="264"/>
      <c r="H916" s="264"/>
      <c r="I916" s="267"/>
      <c r="J916" s="118"/>
      <c r="K916" s="136"/>
      <c r="L916" s="118"/>
      <c r="M916" s="136"/>
      <c r="N916" s="118"/>
      <c r="O916" s="136"/>
      <c r="P916" s="272"/>
      <c r="Q916" s="272"/>
      <c r="R916" s="272"/>
      <c r="S916" s="272"/>
      <c r="T916" s="272"/>
      <c r="U916" s="272"/>
      <c r="V916" s="273"/>
      <c r="W916" s="253"/>
      <c r="X916" s="253"/>
      <c r="Y916" s="253"/>
      <c r="Z916" s="253"/>
      <c r="AA916" s="253"/>
      <c r="AB916" s="218"/>
    </row>
    <row r="917">
      <c r="A917" s="118"/>
      <c r="B917" s="118"/>
      <c r="C917" s="143"/>
      <c r="D917" s="118"/>
      <c r="E917" s="118"/>
      <c r="F917" s="262"/>
      <c r="G917" s="264"/>
      <c r="H917" s="264"/>
      <c r="I917" s="267"/>
      <c r="J917" s="118"/>
      <c r="K917" s="136"/>
      <c r="L917" s="118"/>
      <c r="M917" s="136"/>
      <c r="N917" s="118"/>
      <c r="O917" s="136"/>
      <c r="P917" s="272"/>
      <c r="Q917" s="272"/>
      <c r="R917" s="272"/>
      <c r="S917" s="272"/>
      <c r="T917" s="272"/>
      <c r="U917" s="272"/>
      <c r="V917" s="273"/>
      <c r="W917" s="253"/>
      <c r="X917" s="253"/>
      <c r="Y917" s="253"/>
      <c r="Z917" s="253"/>
      <c r="AA917" s="253"/>
      <c r="AB917" s="218"/>
    </row>
    <row r="918">
      <c r="A918" s="118"/>
      <c r="B918" s="118"/>
      <c r="C918" s="143"/>
      <c r="D918" s="118"/>
      <c r="E918" s="118"/>
      <c r="F918" s="262"/>
      <c r="G918" s="264"/>
      <c r="H918" s="264"/>
      <c r="I918" s="267"/>
      <c r="J918" s="118"/>
      <c r="K918" s="136"/>
      <c r="L918" s="118"/>
      <c r="M918" s="136"/>
      <c r="N918" s="118"/>
      <c r="O918" s="136"/>
      <c r="P918" s="272"/>
      <c r="Q918" s="272"/>
      <c r="R918" s="272"/>
      <c r="S918" s="272"/>
      <c r="T918" s="272"/>
      <c r="U918" s="272"/>
      <c r="V918" s="273"/>
      <c r="W918" s="253"/>
      <c r="X918" s="253"/>
      <c r="Y918" s="253"/>
      <c r="Z918" s="253"/>
      <c r="AA918" s="253"/>
      <c r="AB918" s="218"/>
    </row>
    <row r="919">
      <c r="A919" s="118"/>
      <c r="B919" s="118"/>
      <c r="C919" s="143"/>
      <c r="D919" s="118"/>
      <c r="E919" s="118"/>
      <c r="F919" s="262"/>
      <c r="G919" s="264"/>
      <c r="H919" s="264"/>
      <c r="I919" s="267"/>
      <c r="J919" s="118"/>
      <c r="K919" s="136"/>
      <c r="L919" s="118"/>
      <c r="M919" s="136"/>
      <c r="N919" s="118"/>
      <c r="O919" s="136"/>
      <c r="P919" s="272"/>
      <c r="Q919" s="272"/>
      <c r="R919" s="272"/>
      <c r="S919" s="272"/>
      <c r="T919" s="272"/>
      <c r="U919" s="272"/>
      <c r="V919" s="273"/>
      <c r="W919" s="253"/>
      <c r="X919" s="253"/>
      <c r="Y919" s="253"/>
      <c r="Z919" s="253"/>
      <c r="AA919" s="253"/>
      <c r="AB919" s="218"/>
    </row>
    <row r="920">
      <c r="A920" s="118"/>
      <c r="B920" s="118"/>
      <c r="C920" s="143"/>
      <c r="D920" s="118"/>
      <c r="E920" s="118"/>
      <c r="F920" s="262"/>
      <c r="G920" s="264"/>
      <c r="H920" s="264"/>
      <c r="I920" s="267"/>
      <c r="J920" s="118"/>
      <c r="K920" s="136"/>
      <c r="L920" s="118"/>
      <c r="M920" s="136"/>
      <c r="N920" s="118"/>
      <c r="O920" s="136"/>
      <c r="P920" s="272"/>
      <c r="Q920" s="272"/>
      <c r="R920" s="272"/>
      <c r="S920" s="272"/>
      <c r="T920" s="272"/>
      <c r="U920" s="272"/>
      <c r="V920" s="273"/>
      <c r="W920" s="253"/>
      <c r="X920" s="253"/>
      <c r="Y920" s="253"/>
      <c r="Z920" s="253"/>
      <c r="AA920" s="253"/>
      <c r="AB920" s="218"/>
    </row>
    <row r="921">
      <c r="A921" s="118"/>
      <c r="B921" s="118"/>
      <c r="C921" s="143"/>
      <c r="D921" s="118"/>
      <c r="E921" s="118"/>
      <c r="F921" s="262"/>
      <c r="G921" s="264"/>
      <c r="H921" s="264"/>
      <c r="I921" s="267"/>
      <c r="J921" s="118"/>
      <c r="K921" s="136"/>
      <c r="L921" s="118"/>
      <c r="M921" s="136"/>
      <c r="N921" s="118"/>
      <c r="O921" s="136"/>
      <c r="P921" s="272"/>
      <c r="Q921" s="272"/>
      <c r="R921" s="272"/>
      <c r="S921" s="272"/>
      <c r="T921" s="272"/>
      <c r="U921" s="272"/>
      <c r="V921" s="273"/>
      <c r="W921" s="253"/>
      <c r="X921" s="253"/>
      <c r="Y921" s="253"/>
      <c r="Z921" s="253"/>
      <c r="AA921" s="253"/>
      <c r="AB921" s="218"/>
    </row>
    <row r="922">
      <c r="A922" s="118"/>
      <c r="B922" s="118"/>
      <c r="C922" s="143"/>
      <c r="D922" s="118"/>
      <c r="E922" s="118"/>
      <c r="F922" s="262"/>
      <c r="G922" s="264"/>
      <c r="H922" s="264"/>
      <c r="I922" s="267"/>
      <c r="J922" s="118"/>
      <c r="K922" s="136"/>
      <c r="L922" s="118"/>
      <c r="M922" s="136"/>
      <c r="N922" s="118"/>
      <c r="O922" s="136"/>
      <c r="P922" s="272"/>
      <c r="Q922" s="272"/>
      <c r="R922" s="272"/>
      <c r="S922" s="272"/>
      <c r="T922" s="272"/>
      <c r="U922" s="272"/>
      <c r="V922" s="273"/>
      <c r="W922" s="253"/>
      <c r="X922" s="253"/>
      <c r="Y922" s="253"/>
      <c r="Z922" s="253"/>
      <c r="AA922" s="253"/>
      <c r="AB922" s="218"/>
    </row>
    <row r="923">
      <c r="A923" s="118"/>
      <c r="B923" s="118"/>
      <c r="C923" s="143"/>
      <c r="D923" s="118"/>
      <c r="E923" s="118"/>
      <c r="F923" s="262"/>
      <c r="G923" s="264"/>
      <c r="H923" s="264"/>
      <c r="I923" s="267"/>
      <c r="J923" s="118"/>
      <c r="K923" s="136"/>
      <c r="L923" s="118"/>
      <c r="M923" s="136"/>
      <c r="N923" s="118"/>
      <c r="O923" s="136"/>
      <c r="P923" s="272"/>
      <c r="Q923" s="272"/>
      <c r="R923" s="272"/>
      <c r="S923" s="272"/>
      <c r="T923" s="272"/>
      <c r="U923" s="272"/>
      <c r="V923" s="273"/>
      <c r="W923" s="253"/>
      <c r="X923" s="253"/>
      <c r="Y923" s="253"/>
      <c r="Z923" s="253"/>
      <c r="AA923" s="253"/>
      <c r="AB923" s="218"/>
    </row>
    <row r="924">
      <c r="A924" s="118"/>
      <c r="B924" s="118"/>
      <c r="C924" s="143"/>
      <c r="D924" s="118"/>
      <c r="E924" s="118"/>
      <c r="F924" s="262"/>
      <c r="G924" s="264"/>
      <c r="H924" s="264"/>
      <c r="I924" s="267"/>
      <c r="J924" s="118"/>
      <c r="K924" s="136"/>
      <c r="L924" s="118"/>
      <c r="M924" s="136"/>
      <c r="N924" s="118"/>
      <c r="O924" s="136"/>
      <c r="P924" s="272"/>
      <c r="Q924" s="272"/>
      <c r="R924" s="272"/>
      <c r="S924" s="272"/>
      <c r="T924" s="272"/>
      <c r="U924" s="272"/>
      <c r="V924" s="273"/>
      <c r="W924" s="253"/>
      <c r="X924" s="253"/>
      <c r="Y924" s="253"/>
      <c r="Z924" s="253"/>
      <c r="AA924" s="253"/>
      <c r="AB924" s="218"/>
    </row>
    <row r="925">
      <c r="A925" s="118"/>
      <c r="B925" s="118"/>
      <c r="C925" s="143"/>
      <c r="D925" s="118"/>
      <c r="E925" s="118"/>
      <c r="F925" s="262"/>
      <c r="G925" s="264"/>
      <c r="H925" s="264"/>
      <c r="I925" s="267"/>
      <c r="J925" s="118"/>
      <c r="K925" s="136"/>
      <c r="L925" s="118"/>
      <c r="M925" s="136"/>
      <c r="N925" s="118"/>
      <c r="O925" s="136"/>
      <c r="P925" s="272"/>
      <c r="Q925" s="272"/>
      <c r="R925" s="272"/>
      <c r="S925" s="272"/>
      <c r="T925" s="272"/>
      <c r="U925" s="272"/>
      <c r="V925" s="273"/>
      <c r="W925" s="253"/>
      <c r="X925" s="253"/>
      <c r="Y925" s="253"/>
      <c r="Z925" s="253"/>
      <c r="AA925" s="253"/>
      <c r="AB925" s="218"/>
    </row>
    <row r="926">
      <c r="A926" s="118"/>
      <c r="B926" s="118"/>
      <c r="C926" s="143"/>
      <c r="D926" s="118"/>
      <c r="E926" s="118"/>
      <c r="F926" s="262"/>
      <c r="G926" s="264"/>
      <c r="H926" s="264"/>
      <c r="I926" s="267"/>
      <c r="J926" s="118"/>
      <c r="K926" s="136"/>
      <c r="L926" s="118"/>
      <c r="M926" s="136"/>
      <c r="N926" s="118"/>
      <c r="O926" s="136"/>
      <c r="P926" s="272"/>
      <c r="Q926" s="272"/>
      <c r="R926" s="272"/>
      <c r="S926" s="272"/>
      <c r="T926" s="272"/>
      <c r="U926" s="272"/>
      <c r="V926" s="273"/>
      <c r="W926" s="253"/>
      <c r="X926" s="253"/>
      <c r="Y926" s="253"/>
      <c r="Z926" s="253"/>
      <c r="AA926" s="253"/>
      <c r="AB926" s="218"/>
    </row>
    <row r="927">
      <c r="A927" s="118"/>
      <c r="B927" s="118"/>
      <c r="C927" s="143"/>
      <c r="D927" s="118"/>
      <c r="E927" s="118"/>
      <c r="F927" s="262"/>
      <c r="G927" s="264"/>
      <c r="H927" s="264"/>
      <c r="I927" s="267"/>
      <c r="J927" s="118"/>
      <c r="K927" s="136"/>
      <c r="L927" s="118"/>
      <c r="M927" s="136"/>
      <c r="N927" s="118"/>
      <c r="O927" s="136"/>
      <c r="P927" s="272"/>
      <c r="Q927" s="272"/>
      <c r="R927" s="272"/>
      <c r="S927" s="272"/>
      <c r="T927" s="272"/>
      <c r="U927" s="272"/>
      <c r="V927" s="273"/>
      <c r="W927" s="253"/>
      <c r="X927" s="253"/>
      <c r="Y927" s="253"/>
      <c r="Z927" s="253"/>
      <c r="AA927" s="253"/>
      <c r="AB927" s="218"/>
    </row>
    <row r="928">
      <c r="A928" s="118"/>
      <c r="B928" s="118"/>
      <c r="C928" s="143"/>
      <c r="D928" s="118"/>
      <c r="E928" s="118"/>
      <c r="F928" s="262"/>
      <c r="G928" s="264"/>
      <c r="H928" s="264"/>
      <c r="I928" s="267"/>
      <c r="J928" s="118"/>
      <c r="K928" s="136"/>
      <c r="L928" s="118"/>
      <c r="M928" s="136"/>
      <c r="N928" s="118"/>
      <c r="O928" s="136"/>
      <c r="P928" s="272"/>
      <c r="Q928" s="272"/>
      <c r="R928" s="272"/>
      <c r="S928" s="272"/>
      <c r="T928" s="272"/>
      <c r="U928" s="272"/>
      <c r="V928" s="273"/>
      <c r="W928" s="253"/>
      <c r="X928" s="253"/>
      <c r="Y928" s="253"/>
      <c r="Z928" s="253"/>
      <c r="AA928" s="253"/>
      <c r="AB928" s="218"/>
    </row>
    <row r="929">
      <c r="A929" s="118"/>
      <c r="B929" s="118"/>
      <c r="C929" s="143"/>
      <c r="D929" s="118"/>
      <c r="E929" s="118"/>
      <c r="F929" s="262"/>
      <c r="G929" s="264"/>
      <c r="H929" s="264"/>
      <c r="I929" s="267"/>
      <c r="J929" s="118"/>
      <c r="K929" s="136"/>
      <c r="L929" s="118"/>
      <c r="M929" s="136"/>
      <c r="N929" s="118"/>
      <c r="O929" s="136"/>
      <c r="P929" s="272"/>
      <c r="Q929" s="272"/>
      <c r="R929" s="272"/>
      <c r="S929" s="272"/>
      <c r="T929" s="272"/>
      <c r="U929" s="272"/>
      <c r="V929" s="273"/>
      <c r="W929" s="253"/>
      <c r="X929" s="253"/>
      <c r="Y929" s="253"/>
      <c r="Z929" s="253"/>
      <c r="AA929" s="253"/>
      <c r="AB929" s="218"/>
    </row>
    <row r="930">
      <c r="A930" s="118"/>
      <c r="B930" s="118"/>
      <c r="C930" s="143"/>
      <c r="D930" s="118"/>
      <c r="E930" s="118"/>
      <c r="F930" s="262"/>
      <c r="G930" s="264"/>
      <c r="H930" s="264"/>
      <c r="I930" s="267"/>
      <c r="J930" s="118"/>
      <c r="K930" s="136"/>
      <c r="L930" s="118"/>
      <c r="M930" s="136"/>
      <c r="N930" s="118"/>
      <c r="O930" s="136"/>
      <c r="P930" s="272"/>
      <c r="Q930" s="272"/>
      <c r="R930" s="272"/>
      <c r="S930" s="272"/>
      <c r="T930" s="272"/>
      <c r="U930" s="272"/>
      <c r="V930" s="273"/>
      <c r="W930" s="253"/>
      <c r="X930" s="253"/>
      <c r="Y930" s="253"/>
      <c r="Z930" s="253"/>
      <c r="AA930" s="253"/>
      <c r="AB930" s="218"/>
    </row>
    <row r="931">
      <c r="A931" s="118"/>
      <c r="B931" s="118"/>
      <c r="C931" s="143"/>
      <c r="D931" s="118"/>
      <c r="E931" s="118"/>
      <c r="F931" s="262"/>
      <c r="G931" s="264"/>
      <c r="H931" s="264"/>
      <c r="I931" s="267"/>
      <c r="J931" s="118"/>
      <c r="K931" s="136"/>
      <c r="L931" s="118"/>
      <c r="M931" s="136"/>
      <c r="N931" s="118"/>
      <c r="O931" s="136"/>
      <c r="P931" s="272"/>
      <c r="Q931" s="272"/>
      <c r="R931" s="272"/>
      <c r="S931" s="272"/>
      <c r="T931" s="272"/>
      <c r="U931" s="272"/>
      <c r="V931" s="273"/>
      <c r="W931" s="253"/>
      <c r="X931" s="253"/>
      <c r="Y931" s="253"/>
      <c r="Z931" s="253"/>
      <c r="AA931" s="253"/>
      <c r="AB931" s="218"/>
    </row>
    <row r="932">
      <c r="A932" s="118"/>
      <c r="B932" s="118"/>
      <c r="C932" s="143"/>
      <c r="D932" s="118"/>
      <c r="E932" s="118"/>
      <c r="F932" s="262"/>
      <c r="G932" s="264"/>
      <c r="H932" s="264"/>
      <c r="I932" s="267"/>
      <c r="J932" s="118"/>
      <c r="K932" s="136"/>
      <c r="L932" s="118"/>
      <c r="M932" s="136"/>
      <c r="N932" s="118"/>
      <c r="O932" s="136"/>
      <c r="P932" s="272"/>
      <c r="Q932" s="272"/>
      <c r="R932" s="272"/>
      <c r="S932" s="272"/>
      <c r="T932" s="272"/>
      <c r="U932" s="272"/>
      <c r="V932" s="273"/>
      <c r="W932" s="253"/>
      <c r="X932" s="253"/>
      <c r="Y932" s="253"/>
      <c r="Z932" s="253"/>
      <c r="AA932" s="253"/>
      <c r="AB932" s="218"/>
    </row>
    <row r="933">
      <c r="A933" s="118"/>
      <c r="B933" s="118"/>
      <c r="C933" s="143"/>
      <c r="D933" s="118"/>
      <c r="E933" s="118"/>
      <c r="F933" s="262"/>
      <c r="G933" s="264"/>
      <c r="H933" s="264"/>
      <c r="I933" s="267"/>
      <c r="J933" s="118"/>
      <c r="K933" s="136"/>
      <c r="L933" s="118"/>
      <c r="M933" s="136"/>
      <c r="N933" s="118"/>
      <c r="O933" s="136"/>
      <c r="P933" s="272"/>
      <c r="Q933" s="272"/>
      <c r="R933" s="272"/>
      <c r="S933" s="272"/>
      <c r="T933" s="272"/>
      <c r="U933" s="272"/>
      <c r="V933" s="273"/>
      <c r="W933" s="253"/>
      <c r="X933" s="253"/>
      <c r="Y933" s="253"/>
      <c r="Z933" s="253"/>
      <c r="AA933" s="253"/>
      <c r="AB933" s="218"/>
    </row>
    <row r="934">
      <c r="A934" s="118"/>
      <c r="B934" s="118"/>
      <c r="C934" s="143"/>
      <c r="D934" s="118"/>
      <c r="E934" s="118"/>
      <c r="F934" s="262"/>
      <c r="G934" s="264"/>
      <c r="H934" s="264"/>
      <c r="I934" s="267"/>
      <c r="J934" s="118"/>
      <c r="K934" s="136"/>
      <c r="L934" s="118"/>
      <c r="M934" s="136"/>
      <c r="N934" s="118"/>
      <c r="O934" s="136"/>
      <c r="P934" s="272"/>
      <c r="Q934" s="272"/>
      <c r="R934" s="272"/>
      <c r="S934" s="272"/>
      <c r="T934" s="272"/>
      <c r="U934" s="272"/>
      <c r="V934" s="273"/>
      <c r="W934" s="253"/>
      <c r="X934" s="253"/>
      <c r="Y934" s="253"/>
      <c r="Z934" s="253"/>
      <c r="AA934" s="253"/>
      <c r="AB934" s="218"/>
    </row>
    <row r="935">
      <c r="A935" s="118"/>
      <c r="B935" s="118"/>
      <c r="C935" s="143"/>
      <c r="D935" s="118"/>
      <c r="E935" s="118"/>
      <c r="F935" s="262"/>
      <c r="G935" s="264"/>
      <c r="H935" s="264"/>
      <c r="I935" s="267"/>
      <c r="J935" s="118"/>
      <c r="K935" s="136"/>
      <c r="L935" s="118"/>
      <c r="M935" s="136"/>
      <c r="N935" s="118"/>
      <c r="O935" s="136"/>
      <c r="P935" s="272"/>
      <c r="Q935" s="272"/>
      <c r="R935" s="272"/>
      <c r="S935" s="272"/>
      <c r="T935" s="272"/>
      <c r="U935" s="272"/>
      <c r="V935" s="273"/>
      <c r="W935" s="253"/>
      <c r="X935" s="253"/>
      <c r="Y935" s="253"/>
      <c r="Z935" s="253"/>
      <c r="AA935" s="253"/>
      <c r="AB935" s="218"/>
    </row>
    <row r="936">
      <c r="A936" s="118"/>
      <c r="B936" s="118"/>
      <c r="C936" s="143"/>
      <c r="D936" s="118"/>
      <c r="E936" s="118"/>
      <c r="F936" s="262"/>
      <c r="G936" s="264"/>
      <c r="H936" s="264"/>
      <c r="I936" s="267"/>
      <c r="J936" s="118"/>
      <c r="K936" s="136"/>
      <c r="L936" s="118"/>
      <c r="M936" s="136"/>
      <c r="N936" s="118"/>
      <c r="O936" s="136"/>
      <c r="P936" s="272"/>
      <c r="Q936" s="272"/>
      <c r="R936" s="272"/>
      <c r="S936" s="272"/>
      <c r="T936" s="272"/>
      <c r="U936" s="272"/>
      <c r="V936" s="273"/>
      <c r="W936" s="253"/>
      <c r="X936" s="253"/>
      <c r="Y936" s="253"/>
      <c r="Z936" s="253"/>
      <c r="AA936" s="253"/>
      <c r="AB936" s="218"/>
    </row>
    <row r="937">
      <c r="A937" s="118"/>
      <c r="B937" s="118"/>
      <c r="C937" s="143"/>
      <c r="D937" s="118"/>
      <c r="E937" s="118"/>
      <c r="F937" s="262"/>
      <c r="G937" s="264"/>
      <c r="H937" s="264"/>
      <c r="I937" s="267"/>
      <c r="J937" s="118"/>
      <c r="K937" s="136"/>
      <c r="L937" s="118"/>
      <c r="M937" s="136"/>
      <c r="N937" s="118"/>
      <c r="O937" s="136"/>
      <c r="P937" s="272"/>
      <c r="Q937" s="272"/>
      <c r="R937" s="272"/>
      <c r="S937" s="272"/>
      <c r="T937" s="272"/>
      <c r="U937" s="272"/>
      <c r="V937" s="273"/>
      <c r="W937" s="253"/>
      <c r="X937" s="253"/>
      <c r="Y937" s="253"/>
      <c r="Z937" s="253"/>
      <c r="AA937" s="253"/>
      <c r="AB937" s="218"/>
    </row>
    <row r="938">
      <c r="A938" s="118"/>
      <c r="B938" s="118"/>
      <c r="C938" s="143"/>
      <c r="D938" s="118"/>
      <c r="E938" s="118"/>
      <c r="F938" s="262"/>
      <c r="G938" s="264"/>
      <c r="H938" s="264"/>
      <c r="I938" s="267"/>
      <c r="J938" s="118"/>
      <c r="K938" s="136"/>
      <c r="L938" s="118"/>
      <c r="M938" s="136"/>
      <c r="N938" s="118"/>
      <c r="O938" s="136"/>
      <c r="P938" s="272"/>
      <c r="Q938" s="272"/>
      <c r="R938" s="272"/>
      <c r="S938" s="272"/>
      <c r="T938" s="272"/>
      <c r="U938" s="272"/>
      <c r="V938" s="273"/>
      <c r="W938" s="253"/>
      <c r="X938" s="253"/>
      <c r="Y938" s="253"/>
      <c r="Z938" s="253"/>
      <c r="AA938" s="253"/>
      <c r="AB938" s="218"/>
    </row>
    <row r="939">
      <c r="A939" s="118"/>
      <c r="B939" s="118"/>
      <c r="C939" s="143"/>
      <c r="D939" s="118"/>
      <c r="E939" s="118"/>
      <c r="F939" s="262"/>
      <c r="G939" s="264"/>
      <c r="H939" s="264"/>
      <c r="I939" s="267"/>
      <c r="J939" s="118"/>
      <c r="K939" s="136"/>
      <c r="L939" s="118"/>
      <c r="M939" s="136"/>
      <c r="N939" s="118"/>
      <c r="O939" s="136"/>
      <c r="P939" s="272"/>
      <c r="Q939" s="272"/>
      <c r="R939" s="272"/>
      <c r="S939" s="272"/>
      <c r="T939" s="272"/>
      <c r="U939" s="272"/>
      <c r="V939" s="273"/>
      <c r="W939" s="253"/>
      <c r="X939" s="253"/>
      <c r="Y939" s="253"/>
      <c r="Z939" s="253"/>
      <c r="AA939" s="253"/>
      <c r="AB939" s="218"/>
    </row>
    <row r="940">
      <c r="A940" s="118"/>
      <c r="B940" s="118"/>
      <c r="C940" s="143"/>
      <c r="D940" s="118"/>
      <c r="E940" s="118"/>
      <c r="F940" s="262"/>
      <c r="G940" s="264"/>
      <c r="H940" s="264"/>
      <c r="I940" s="267"/>
      <c r="J940" s="118"/>
      <c r="K940" s="136"/>
      <c r="L940" s="118"/>
      <c r="M940" s="136"/>
      <c r="N940" s="118"/>
      <c r="O940" s="136"/>
      <c r="P940" s="272"/>
      <c r="Q940" s="272"/>
      <c r="R940" s="272"/>
      <c r="S940" s="272"/>
      <c r="T940" s="272"/>
      <c r="U940" s="272"/>
      <c r="V940" s="273"/>
      <c r="W940" s="253"/>
      <c r="X940" s="253"/>
      <c r="Y940" s="253"/>
      <c r="Z940" s="253"/>
      <c r="AA940" s="253"/>
      <c r="AB940" s="218"/>
    </row>
    <row r="941">
      <c r="A941" s="118"/>
      <c r="B941" s="118"/>
      <c r="C941" s="143"/>
      <c r="D941" s="118"/>
      <c r="E941" s="118"/>
      <c r="F941" s="262"/>
      <c r="G941" s="264"/>
      <c r="H941" s="264"/>
      <c r="I941" s="267"/>
      <c r="J941" s="118"/>
      <c r="K941" s="136"/>
      <c r="L941" s="118"/>
      <c r="M941" s="136"/>
      <c r="N941" s="118"/>
      <c r="O941" s="136"/>
      <c r="P941" s="272"/>
      <c r="Q941" s="272"/>
      <c r="R941" s="272"/>
      <c r="S941" s="272"/>
      <c r="T941" s="272"/>
      <c r="U941" s="272"/>
      <c r="V941" s="273"/>
      <c r="W941" s="253"/>
      <c r="X941" s="253"/>
      <c r="Y941" s="253"/>
      <c r="Z941" s="253"/>
      <c r="AA941" s="253"/>
      <c r="AB941" s="218"/>
    </row>
    <row r="942">
      <c r="A942" s="118"/>
      <c r="B942" s="118"/>
      <c r="C942" s="143"/>
      <c r="D942" s="118"/>
      <c r="E942" s="118"/>
      <c r="F942" s="262"/>
      <c r="G942" s="264"/>
      <c r="H942" s="264"/>
      <c r="I942" s="267"/>
      <c r="J942" s="118"/>
      <c r="K942" s="136"/>
      <c r="L942" s="118"/>
      <c r="M942" s="136"/>
      <c r="N942" s="118"/>
      <c r="O942" s="136"/>
      <c r="P942" s="272"/>
      <c r="Q942" s="272"/>
      <c r="R942" s="272"/>
      <c r="S942" s="272"/>
      <c r="T942" s="272"/>
      <c r="U942" s="272"/>
      <c r="V942" s="273"/>
      <c r="W942" s="253"/>
      <c r="X942" s="253"/>
      <c r="Y942" s="253"/>
      <c r="Z942" s="253"/>
      <c r="AA942" s="253"/>
      <c r="AB942" s="218"/>
    </row>
    <row r="943">
      <c r="A943" s="118"/>
      <c r="B943" s="118"/>
      <c r="C943" s="143"/>
      <c r="D943" s="118"/>
      <c r="E943" s="118"/>
      <c r="F943" s="262"/>
      <c r="G943" s="264"/>
      <c r="H943" s="264"/>
      <c r="I943" s="267"/>
      <c r="J943" s="118"/>
      <c r="K943" s="136"/>
      <c r="L943" s="118"/>
      <c r="M943" s="136"/>
      <c r="N943" s="118"/>
      <c r="O943" s="136"/>
      <c r="P943" s="272"/>
      <c r="Q943" s="272"/>
      <c r="R943" s="272"/>
      <c r="S943" s="272"/>
      <c r="T943" s="272"/>
      <c r="U943" s="272"/>
      <c r="V943" s="273"/>
      <c r="W943" s="253"/>
      <c r="X943" s="253"/>
      <c r="Y943" s="253"/>
      <c r="Z943" s="253"/>
      <c r="AA943" s="253"/>
      <c r="AB943" s="218"/>
    </row>
    <row r="944">
      <c r="A944" s="118"/>
      <c r="B944" s="118"/>
      <c r="C944" s="143"/>
      <c r="D944" s="118"/>
      <c r="E944" s="118"/>
      <c r="F944" s="262"/>
      <c r="G944" s="264"/>
      <c r="H944" s="264"/>
      <c r="I944" s="267"/>
      <c r="J944" s="118"/>
      <c r="K944" s="136"/>
      <c r="L944" s="118"/>
      <c r="M944" s="136"/>
      <c r="N944" s="118"/>
      <c r="O944" s="136"/>
      <c r="P944" s="272"/>
      <c r="Q944" s="272"/>
      <c r="R944" s="272"/>
      <c r="S944" s="272"/>
      <c r="T944" s="272"/>
      <c r="U944" s="272"/>
      <c r="V944" s="273"/>
      <c r="W944" s="253"/>
      <c r="X944" s="253"/>
      <c r="Y944" s="253"/>
      <c r="Z944" s="253"/>
      <c r="AA944" s="253"/>
      <c r="AB944" s="218"/>
    </row>
    <row r="945">
      <c r="A945" s="118"/>
      <c r="B945" s="118"/>
      <c r="C945" s="143"/>
      <c r="D945" s="118"/>
      <c r="E945" s="118"/>
      <c r="F945" s="262"/>
      <c r="G945" s="264"/>
      <c r="H945" s="264"/>
      <c r="I945" s="267"/>
      <c r="J945" s="118"/>
      <c r="K945" s="136"/>
      <c r="L945" s="118"/>
      <c r="M945" s="136"/>
      <c r="N945" s="118"/>
      <c r="O945" s="136"/>
      <c r="P945" s="272"/>
      <c r="Q945" s="272"/>
      <c r="R945" s="272"/>
      <c r="S945" s="272"/>
      <c r="T945" s="272"/>
      <c r="U945" s="272"/>
      <c r="V945" s="273"/>
      <c r="W945" s="253"/>
      <c r="X945" s="253"/>
      <c r="Y945" s="253"/>
      <c r="Z945" s="253"/>
      <c r="AA945" s="253"/>
      <c r="AB945" s="218"/>
    </row>
    <row r="946">
      <c r="A946" s="118"/>
      <c r="B946" s="118"/>
      <c r="C946" s="143"/>
      <c r="D946" s="118"/>
      <c r="E946" s="118"/>
      <c r="F946" s="262"/>
      <c r="G946" s="264"/>
      <c r="H946" s="264"/>
      <c r="I946" s="267"/>
      <c r="J946" s="118"/>
      <c r="K946" s="136"/>
      <c r="L946" s="118"/>
      <c r="M946" s="136"/>
      <c r="N946" s="118"/>
      <c r="O946" s="136"/>
      <c r="P946" s="272"/>
      <c r="Q946" s="272"/>
      <c r="R946" s="272"/>
      <c r="S946" s="272"/>
      <c r="T946" s="272"/>
      <c r="U946" s="272"/>
      <c r="V946" s="273"/>
      <c r="W946" s="253"/>
      <c r="X946" s="253"/>
      <c r="Y946" s="253"/>
      <c r="Z946" s="253"/>
      <c r="AA946" s="253"/>
      <c r="AB946" s="218"/>
    </row>
    <row r="947">
      <c r="A947" s="118"/>
      <c r="B947" s="118"/>
      <c r="C947" s="143"/>
      <c r="D947" s="118"/>
      <c r="E947" s="118"/>
      <c r="F947" s="262"/>
      <c r="G947" s="264"/>
      <c r="H947" s="264"/>
      <c r="I947" s="267"/>
      <c r="J947" s="118"/>
      <c r="K947" s="136"/>
      <c r="L947" s="118"/>
      <c r="M947" s="136"/>
      <c r="N947" s="118"/>
      <c r="O947" s="136"/>
      <c r="P947" s="272"/>
      <c r="Q947" s="272"/>
      <c r="R947" s="272"/>
      <c r="S947" s="272"/>
      <c r="T947" s="272"/>
      <c r="U947" s="272"/>
      <c r="V947" s="273"/>
      <c r="W947" s="253"/>
      <c r="X947" s="253"/>
      <c r="Y947" s="253"/>
      <c r="Z947" s="253"/>
      <c r="AA947" s="253"/>
      <c r="AB947" s="218"/>
    </row>
    <row r="948">
      <c r="A948" s="118"/>
      <c r="B948" s="118"/>
      <c r="C948" s="143"/>
      <c r="D948" s="118"/>
      <c r="E948" s="118"/>
      <c r="F948" s="262"/>
      <c r="G948" s="264"/>
      <c r="H948" s="264"/>
      <c r="I948" s="267"/>
      <c r="J948" s="118"/>
      <c r="K948" s="136"/>
      <c r="L948" s="118"/>
      <c r="M948" s="136"/>
      <c r="N948" s="118"/>
      <c r="O948" s="136"/>
      <c r="P948" s="272"/>
      <c r="Q948" s="272"/>
      <c r="R948" s="272"/>
      <c r="S948" s="272"/>
      <c r="T948" s="272"/>
      <c r="U948" s="272"/>
      <c r="V948" s="273"/>
      <c r="W948" s="253"/>
      <c r="X948" s="253"/>
      <c r="Y948" s="253"/>
      <c r="Z948" s="253"/>
      <c r="AA948" s="253"/>
      <c r="AB948" s="218"/>
    </row>
    <row r="949">
      <c r="A949" s="118"/>
      <c r="B949" s="118"/>
      <c r="C949" s="143"/>
      <c r="D949" s="118"/>
      <c r="E949" s="118"/>
      <c r="F949" s="262"/>
      <c r="G949" s="264"/>
      <c r="H949" s="264"/>
      <c r="I949" s="267"/>
      <c r="J949" s="118"/>
      <c r="K949" s="136"/>
      <c r="L949" s="118"/>
      <c r="M949" s="136"/>
      <c r="N949" s="118"/>
      <c r="O949" s="136"/>
      <c r="P949" s="272"/>
      <c r="Q949" s="272"/>
      <c r="R949" s="272"/>
      <c r="S949" s="272"/>
      <c r="T949" s="272"/>
      <c r="U949" s="272"/>
      <c r="V949" s="273"/>
      <c r="W949" s="253"/>
      <c r="X949" s="253"/>
      <c r="Y949" s="253"/>
      <c r="Z949" s="253"/>
      <c r="AA949" s="253"/>
      <c r="AB949" s="218"/>
    </row>
    <row r="950">
      <c r="A950" s="118"/>
      <c r="B950" s="118"/>
      <c r="C950" s="143"/>
      <c r="D950" s="118"/>
      <c r="E950" s="118"/>
      <c r="F950" s="262"/>
      <c r="G950" s="264"/>
      <c r="H950" s="264"/>
      <c r="I950" s="267"/>
      <c r="J950" s="118"/>
      <c r="K950" s="136"/>
      <c r="L950" s="118"/>
      <c r="M950" s="136"/>
      <c r="N950" s="118"/>
      <c r="O950" s="136"/>
      <c r="P950" s="272"/>
      <c r="Q950" s="272"/>
      <c r="R950" s="272"/>
      <c r="S950" s="272"/>
      <c r="T950" s="272"/>
      <c r="U950" s="272"/>
      <c r="V950" s="273"/>
      <c r="W950" s="253"/>
      <c r="X950" s="253"/>
      <c r="Y950" s="253"/>
      <c r="Z950" s="253"/>
      <c r="AA950" s="253"/>
      <c r="AB950" s="218"/>
    </row>
    <row r="951">
      <c r="A951" s="118"/>
      <c r="B951" s="118"/>
      <c r="C951" s="143"/>
      <c r="D951" s="118"/>
      <c r="E951" s="118"/>
      <c r="F951" s="262"/>
      <c r="G951" s="264"/>
      <c r="H951" s="264"/>
      <c r="I951" s="267"/>
      <c r="J951" s="118"/>
      <c r="K951" s="136"/>
      <c r="L951" s="118"/>
      <c r="M951" s="136"/>
      <c r="N951" s="118"/>
      <c r="O951" s="136"/>
      <c r="P951" s="272"/>
      <c r="Q951" s="272"/>
      <c r="R951" s="272"/>
      <c r="S951" s="272"/>
      <c r="T951" s="272"/>
      <c r="U951" s="272"/>
      <c r="V951" s="273"/>
      <c r="W951" s="253"/>
      <c r="X951" s="253"/>
      <c r="Y951" s="253"/>
      <c r="Z951" s="253"/>
      <c r="AA951" s="253"/>
      <c r="AB951" s="218"/>
    </row>
    <row r="952">
      <c r="A952" s="118"/>
      <c r="B952" s="118"/>
      <c r="C952" s="143"/>
      <c r="D952" s="118"/>
      <c r="E952" s="118"/>
      <c r="F952" s="262"/>
      <c r="G952" s="264"/>
      <c r="H952" s="264"/>
      <c r="I952" s="267"/>
      <c r="J952" s="118"/>
      <c r="K952" s="136"/>
      <c r="L952" s="118"/>
      <c r="M952" s="136"/>
      <c r="N952" s="118"/>
      <c r="O952" s="136"/>
      <c r="P952" s="272"/>
      <c r="Q952" s="272"/>
      <c r="R952" s="272"/>
      <c r="S952" s="272"/>
      <c r="T952" s="272"/>
      <c r="U952" s="272"/>
      <c r="V952" s="273"/>
      <c r="W952" s="253"/>
      <c r="X952" s="253"/>
      <c r="Y952" s="253"/>
      <c r="Z952" s="253"/>
      <c r="AA952" s="253"/>
      <c r="AB952" s="218"/>
    </row>
    <row r="953">
      <c r="A953" s="118"/>
      <c r="B953" s="118"/>
      <c r="C953" s="143"/>
      <c r="D953" s="118"/>
      <c r="E953" s="118"/>
      <c r="F953" s="262"/>
      <c r="G953" s="264"/>
      <c r="H953" s="264"/>
      <c r="I953" s="267"/>
      <c r="J953" s="118"/>
      <c r="K953" s="136"/>
      <c r="L953" s="118"/>
      <c r="M953" s="136"/>
      <c r="N953" s="118"/>
      <c r="O953" s="136"/>
      <c r="P953" s="272"/>
      <c r="Q953" s="272"/>
      <c r="R953" s="272"/>
      <c r="S953" s="272"/>
      <c r="T953" s="272"/>
      <c r="U953" s="272"/>
      <c r="V953" s="273"/>
      <c r="W953" s="253"/>
      <c r="X953" s="253"/>
      <c r="Y953" s="253"/>
      <c r="Z953" s="253"/>
      <c r="AA953" s="253"/>
      <c r="AB953" s="218"/>
    </row>
    <row r="954">
      <c r="A954" s="118"/>
      <c r="B954" s="118"/>
      <c r="C954" s="143"/>
      <c r="D954" s="118"/>
      <c r="E954" s="118"/>
      <c r="F954" s="262"/>
      <c r="G954" s="264"/>
      <c r="H954" s="264"/>
      <c r="I954" s="267"/>
      <c r="J954" s="118"/>
      <c r="K954" s="136"/>
      <c r="L954" s="118"/>
      <c r="M954" s="136"/>
      <c r="N954" s="118"/>
      <c r="O954" s="136"/>
      <c r="P954" s="272"/>
      <c r="Q954" s="272"/>
      <c r="R954" s="272"/>
      <c r="S954" s="272"/>
      <c r="T954" s="272"/>
      <c r="U954" s="272"/>
      <c r="V954" s="273"/>
      <c r="W954" s="253"/>
      <c r="X954" s="253"/>
      <c r="Y954" s="253"/>
      <c r="Z954" s="253"/>
      <c r="AA954" s="253"/>
      <c r="AB954" s="218"/>
    </row>
    <row r="955">
      <c r="A955" s="118"/>
      <c r="B955" s="118"/>
      <c r="C955" s="143"/>
      <c r="D955" s="118"/>
      <c r="E955" s="118"/>
      <c r="F955" s="262"/>
      <c r="G955" s="264"/>
      <c r="H955" s="264"/>
      <c r="I955" s="267"/>
      <c r="J955" s="118"/>
      <c r="K955" s="136"/>
      <c r="L955" s="118"/>
      <c r="M955" s="136"/>
      <c r="N955" s="118"/>
      <c r="O955" s="136"/>
      <c r="P955" s="272"/>
      <c r="Q955" s="272"/>
      <c r="R955" s="272"/>
      <c r="S955" s="272"/>
      <c r="T955" s="272"/>
      <c r="U955" s="272"/>
      <c r="V955" s="273"/>
      <c r="W955" s="253"/>
      <c r="X955" s="253"/>
      <c r="Y955" s="253"/>
      <c r="Z955" s="253"/>
      <c r="AA955" s="253"/>
      <c r="AB955" s="218"/>
    </row>
    <row r="956">
      <c r="A956" s="118"/>
      <c r="B956" s="118"/>
      <c r="C956" s="143"/>
      <c r="D956" s="118"/>
      <c r="E956" s="118"/>
      <c r="F956" s="262"/>
      <c r="G956" s="264"/>
      <c r="H956" s="264"/>
      <c r="I956" s="267"/>
      <c r="J956" s="118"/>
      <c r="K956" s="136"/>
      <c r="L956" s="118"/>
      <c r="M956" s="136"/>
      <c r="N956" s="118"/>
      <c r="O956" s="136"/>
      <c r="P956" s="272"/>
      <c r="Q956" s="272"/>
      <c r="R956" s="272"/>
      <c r="S956" s="272"/>
      <c r="T956" s="272"/>
      <c r="U956" s="272"/>
      <c r="V956" s="273"/>
      <c r="W956" s="253"/>
      <c r="X956" s="253"/>
      <c r="Y956" s="253"/>
      <c r="Z956" s="253"/>
      <c r="AA956" s="253"/>
      <c r="AB956" s="218"/>
    </row>
    <row r="957">
      <c r="A957" s="118"/>
      <c r="B957" s="118"/>
      <c r="C957" s="143"/>
      <c r="D957" s="118"/>
      <c r="E957" s="118"/>
      <c r="F957" s="262"/>
      <c r="G957" s="264"/>
      <c r="H957" s="264"/>
      <c r="I957" s="267"/>
      <c r="J957" s="118"/>
      <c r="K957" s="136"/>
      <c r="L957" s="118"/>
      <c r="M957" s="136"/>
      <c r="N957" s="118"/>
      <c r="O957" s="136"/>
      <c r="P957" s="272"/>
      <c r="Q957" s="272"/>
      <c r="R957" s="272"/>
      <c r="S957" s="272"/>
      <c r="T957" s="272"/>
      <c r="U957" s="272"/>
      <c r="V957" s="273"/>
      <c r="W957" s="253"/>
      <c r="X957" s="253"/>
      <c r="Y957" s="253"/>
      <c r="Z957" s="253"/>
      <c r="AA957" s="253"/>
      <c r="AB957" s="218"/>
    </row>
    <row r="958">
      <c r="A958" s="118"/>
      <c r="B958" s="118"/>
      <c r="C958" s="143"/>
      <c r="D958" s="118"/>
      <c r="E958" s="118"/>
      <c r="F958" s="262"/>
      <c r="G958" s="264"/>
      <c r="H958" s="264"/>
      <c r="I958" s="267"/>
      <c r="J958" s="118"/>
      <c r="K958" s="136"/>
      <c r="L958" s="118"/>
      <c r="M958" s="136"/>
      <c r="N958" s="118"/>
      <c r="O958" s="136"/>
      <c r="P958" s="272"/>
      <c r="Q958" s="272"/>
      <c r="R958" s="272"/>
      <c r="S958" s="272"/>
      <c r="T958" s="272"/>
      <c r="U958" s="272"/>
      <c r="V958" s="273"/>
      <c r="W958" s="253"/>
      <c r="X958" s="253"/>
      <c r="Y958" s="253"/>
      <c r="Z958" s="253"/>
      <c r="AA958" s="253"/>
      <c r="AB958" s="218"/>
    </row>
    <row r="959">
      <c r="A959" s="118"/>
      <c r="B959" s="118"/>
      <c r="C959" s="143"/>
      <c r="D959" s="118"/>
      <c r="E959" s="118"/>
      <c r="F959" s="262"/>
      <c r="G959" s="264"/>
      <c r="H959" s="264"/>
      <c r="I959" s="267"/>
      <c r="J959" s="118"/>
      <c r="K959" s="136"/>
      <c r="L959" s="118"/>
      <c r="M959" s="136"/>
      <c r="N959" s="118"/>
      <c r="O959" s="136"/>
      <c r="P959" s="272"/>
      <c r="Q959" s="272"/>
      <c r="R959" s="272"/>
      <c r="S959" s="272"/>
      <c r="T959" s="272"/>
      <c r="U959" s="272"/>
      <c r="V959" s="273"/>
      <c r="W959" s="253"/>
      <c r="X959" s="253"/>
      <c r="Y959" s="253"/>
      <c r="Z959" s="253"/>
      <c r="AA959" s="253"/>
      <c r="AB959" s="218"/>
    </row>
    <row r="960">
      <c r="A960" s="118"/>
      <c r="B960" s="118"/>
      <c r="C960" s="143"/>
      <c r="D960" s="118"/>
      <c r="E960" s="118"/>
      <c r="F960" s="262"/>
      <c r="G960" s="264"/>
      <c r="H960" s="264"/>
      <c r="I960" s="267"/>
      <c r="J960" s="118"/>
      <c r="K960" s="136"/>
      <c r="L960" s="118"/>
      <c r="M960" s="136"/>
      <c r="N960" s="118"/>
      <c r="O960" s="136"/>
      <c r="P960" s="272"/>
      <c r="Q960" s="272"/>
      <c r="R960" s="272"/>
      <c r="S960" s="272"/>
      <c r="T960" s="272"/>
      <c r="U960" s="272"/>
      <c r="V960" s="273"/>
      <c r="W960" s="253"/>
      <c r="X960" s="253"/>
      <c r="Y960" s="253"/>
      <c r="Z960" s="253"/>
      <c r="AA960" s="253"/>
      <c r="AB960" s="218"/>
    </row>
    <row r="961">
      <c r="A961" s="118"/>
      <c r="B961" s="118"/>
      <c r="C961" s="143"/>
      <c r="D961" s="118"/>
      <c r="E961" s="118"/>
      <c r="F961" s="262"/>
      <c r="G961" s="264"/>
      <c r="H961" s="264"/>
      <c r="I961" s="267"/>
      <c r="J961" s="118"/>
      <c r="K961" s="136"/>
      <c r="L961" s="118"/>
      <c r="M961" s="136"/>
      <c r="N961" s="118"/>
      <c r="O961" s="136"/>
      <c r="P961" s="272"/>
      <c r="Q961" s="272"/>
      <c r="R961" s="272"/>
      <c r="S961" s="272"/>
      <c r="T961" s="272"/>
      <c r="U961" s="272"/>
      <c r="V961" s="273"/>
      <c r="W961" s="253"/>
      <c r="X961" s="253"/>
      <c r="Y961" s="253"/>
      <c r="Z961" s="253"/>
      <c r="AA961" s="253"/>
      <c r="AB961" s="218"/>
    </row>
    <row r="962">
      <c r="A962" s="118"/>
      <c r="B962" s="118"/>
      <c r="C962" s="143"/>
      <c r="D962" s="118"/>
      <c r="E962" s="118"/>
      <c r="F962" s="262"/>
      <c r="G962" s="264"/>
      <c r="H962" s="264"/>
      <c r="I962" s="267"/>
      <c r="J962" s="118"/>
      <c r="K962" s="136"/>
      <c r="L962" s="118"/>
      <c r="M962" s="136"/>
      <c r="N962" s="118"/>
      <c r="O962" s="136"/>
      <c r="P962" s="272"/>
      <c r="Q962" s="272"/>
      <c r="R962" s="272"/>
      <c r="S962" s="272"/>
      <c r="T962" s="272"/>
      <c r="U962" s="272"/>
      <c r="V962" s="273"/>
      <c r="W962" s="253"/>
      <c r="X962" s="253"/>
      <c r="Y962" s="253"/>
      <c r="Z962" s="253"/>
      <c r="AA962" s="253"/>
      <c r="AB962" s="218"/>
    </row>
    <row r="963">
      <c r="A963" s="118"/>
      <c r="B963" s="118"/>
      <c r="C963" s="143"/>
      <c r="D963" s="118"/>
      <c r="E963" s="118"/>
      <c r="F963" s="262"/>
      <c r="G963" s="264"/>
      <c r="H963" s="264"/>
      <c r="I963" s="267"/>
      <c r="J963" s="118"/>
      <c r="K963" s="136"/>
      <c r="L963" s="118"/>
      <c r="M963" s="136"/>
      <c r="N963" s="118"/>
      <c r="O963" s="136"/>
      <c r="P963" s="272"/>
      <c r="Q963" s="272"/>
      <c r="R963" s="272"/>
      <c r="S963" s="272"/>
      <c r="T963" s="272"/>
      <c r="U963" s="272"/>
      <c r="V963" s="273"/>
      <c r="W963" s="253"/>
      <c r="X963" s="253"/>
      <c r="Y963" s="253"/>
      <c r="Z963" s="253"/>
      <c r="AA963" s="253"/>
      <c r="AB963" s="218"/>
    </row>
    <row r="964">
      <c r="A964" s="118"/>
      <c r="B964" s="118"/>
      <c r="C964" s="143"/>
      <c r="D964" s="118"/>
      <c r="E964" s="118"/>
      <c r="F964" s="262"/>
      <c r="G964" s="264"/>
      <c r="H964" s="264"/>
      <c r="I964" s="267"/>
      <c r="J964" s="118"/>
      <c r="K964" s="136"/>
      <c r="L964" s="118"/>
      <c r="M964" s="136"/>
      <c r="N964" s="118"/>
      <c r="O964" s="136"/>
      <c r="P964" s="272"/>
      <c r="Q964" s="272"/>
      <c r="R964" s="272"/>
      <c r="S964" s="272"/>
      <c r="T964" s="272"/>
      <c r="U964" s="272"/>
      <c r="V964" s="273"/>
      <c r="W964" s="253"/>
      <c r="X964" s="253"/>
      <c r="Y964" s="253"/>
      <c r="Z964" s="253"/>
      <c r="AA964" s="253"/>
      <c r="AB964" s="218"/>
    </row>
    <row r="965">
      <c r="A965" s="118"/>
      <c r="B965" s="118"/>
      <c r="C965" s="143"/>
      <c r="D965" s="118"/>
      <c r="E965" s="118"/>
      <c r="F965" s="262"/>
      <c r="G965" s="264"/>
      <c r="H965" s="264"/>
      <c r="I965" s="267"/>
      <c r="J965" s="118"/>
      <c r="K965" s="136"/>
      <c r="L965" s="118"/>
      <c r="M965" s="136"/>
      <c r="N965" s="118"/>
      <c r="O965" s="136"/>
      <c r="P965" s="272"/>
      <c r="Q965" s="272"/>
      <c r="R965" s="272"/>
      <c r="S965" s="272"/>
      <c r="T965" s="272"/>
      <c r="U965" s="272"/>
      <c r="V965" s="273"/>
      <c r="W965" s="253"/>
      <c r="X965" s="253"/>
      <c r="Y965" s="253"/>
      <c r="Z965" s="253"/>
      <c r="AA965" s="253"/>
      <c r="AB965" s="218"/>
    </row>
    <row r="966">
      <c r="A966" s="118"/>
      <c r="B966" s="118"/>
      <c r="C966" s="143"/>
      <c r="D966" s="118"/>
      <c r="E966" s="118"/>
      <c r="F966" s="262"/>
      <c r="G966" s="264"/>
      <c r="H966" s="264"/>
      <c r="I966" s="267"/>
      <c r="J966" s="118"/>
      <c r="K966" s="136"/>
      <c r="L966" s="118"/>
      <c r="M966" s="136"/>
      <c r="N966" s="118"/>
      <c r="O966" s="136"/>
      <c r="P966" s="272"/>
      <c r="Q966" s="272"/>
      <c r="R966" s="272"/>
      <c r="S966" s="272"/>
      <c r="T966" s="272"/>
      <c r="U966" s="272"/>
      <c r="V966" s="273"/>
      <c r="W966" s="253"/>
      <c r="X966" s="253"/>
      <c r="Y966" s="253"/>
      <c r="Z966" s="253"/>
      <c r="AA966" s="253"/>
      <c r="AB966" s="218"/>
    </row>
    <row r="967">
      <c r="A967" s="118"/>
      <c r="B967" s="118"/>
      <c r="C967" s="143"/>
      <c r="D967" s="118"/>
      <c r="E967" s="118"/>
      <c r="F967" s="262"/>
      <c r="G967" s="264"/>
      <c r="H967" s="264"/>
      <c r="I967" s="267"/>
      <c r="J967" s="118"/>
      <c r="K967" s="136"/>
      <c r="L967" s="118"/>
      <c r="M967" s="136"/>
      <c r="N967" s="118"/>
      <c r="O967" s="136"/>
      <c r="P967" s="272"/>
      <c r="Q967" s="272"/>
      <c r="R967" s="272"/>
      <c r="S967" s="272"/>
      <c r="T967" s="272"/>
      <c r="U967" s="272"/>
      <c r="V967" s="273"/>
      <c r="W967" s="253"/>
      <c r="X967" s="253"/>
      <c r="Y967" s="253"/>
      <c r="Z967" s="253"/>
      <c r="AA967" s="253"/>
      <c r="AB967" s="218"/>
    </row>
    <row r="968">
      <c r="A968" s="118"/>
      <c r="B968" s="118"/>
      <c r="C968" s="143"/>
      <c r="D968" s="118"/>
      <c r="E968" s="118"/>
      <c r="F968" s="262"/>
      <c r="G968" s="264"/>
      <c r="H968" s="264"/>
      <c r="I968" s="267"/>
      <c r="J968" s="118"/>
      <c r="K968" s="136"/>
      <c r="L968" s="118"/>
      <c r="M968" s="136"/>
      <c r="N968" s="118"/>
      <c r="O968" s="136"/>
      <c r="P968" s="272"/>
      <c r="Q968" s="272"/>
      <c r="R968" s="272"/>
      <c r="S968" s="272"/>
      <c r="T968" s="272"/>
      <c r="U968" s="272"/>
      <c r="V968" s="273"/>
      <c r="W968" s="253"/>
      <c r="X968" s="253"/>
      <c r="Y968" s="253"/>
      <c r="Z968" s="253"/>
      <c r="AA968" s="253"/>
      <c r="AB968" s="218"/>
    </row>
    <row r="969">
      <c r="A969" s="118"/>
      <c r="B969" s="118"/>
      <c r="C969" s="143"/>
      <c r="D969" s="118"/>
      <c r="E969" s="118"/>
      <c r="F969" s="262"/>
      <c r="G969" s="264"/>
      <c r="H969" s="264"/>
      <c r="I969" s="267"/>
      <c r="J969" s="118"/>
      <c r="K969" s="136"/>
      <c r="L969" s="118"/>
      <c r="M969" s="136"/>
      <c r="N969" s="118"/>
      <c r="O969" s="136"/>
      <c r="P969" s="272"/>
      <c r="Q969" s="272"/>
      <c r="R969" s="272"/>
      <c r="S969" s="272"/>
      <c r="T969" s="272"/>
      <c r="U969" s="272"/>
      <c r="V969" s="273"/>
      <c r="W969" s="253"/>
      <c r="X969" s="253"/>
      <c r="Y969" s="253"/>
      <c r="Z969" s="253"/>
      <c r="AA969" s="253"/>
      <c r="AB969" s="218"/>
    </row>
    <row r="970">
      <c r="A970" s="118"/>
      <c r="B970" s="118"/>
      <c r="C970" s="143"/>
      <c r="D970" s="118"/>
      <c r="E970" s="118"/>
      <c r="F970" s="262"/>
      <c r="G970" s="264"/>
      <c r="H970" s="264"/>
      <c r="I970" s="267"/>
      <c r="J970" s="118"/>
      <c r="K970" s="136"/>
      <c r="L970" s="118"/>
      <c r="M970" s="136"/>
      <c r="N970" s="118"/>
      <c r="O970" s="136"/>
      <c r="P970" s="272"/>
      <c r="Q970" s="272"/>
      <c r="R970" s="272"/>
      <c r="S970" s="272"/>
      <c r="T970" s="272"/>
      <c r="U970" s="272"/>
      <c r="V970" s="273"/>
      <c r="W970" s="253"/>
      <c r="X970" s="253"/>
      <c r="Y970" s="253"/>
      <c r="Z970" s="253"/>
      <c r="AA970" s="253"/>
      <c r="AB970" s="218"/>
    </row>
    <row r="971">
      <c r="A971" s="118"/>
      <c r="B971" s="118"/>
      <c r="C971" s="143"/>
      <c r="D971" s="118"/>
      <c r="E971" s="118"/>
      <c r="F971" s="262"/>
      <c r="G971" s="264"/>
      <c r="H971" s="264"/>
      <c r="I971" s="267"/>
      <c r="J971" s="118"/>
      <c r="K971" s="136"/>
      <c r="L971" s="118"/>
      <c r="M971" s="136"/>
      <c r="N971" s="118"/>
      <c r="O971" s="136"/>
      <c r="P971" s="272"/>
      <c r="Q971" s="272"/>
      <c r="R971" s="272"/>
      <c r="S971" s="272"/>
      <c r="T971" s="272"/>
      <c r="U971" s="272"/>
      <c r="V971" s="273"/>
      <c r="W971" s="253"/>
      <c r="X971" s="253"/>
      <c r="Y971" s="253"/>
      <c r="Z971" s="253"/>
      <c r="AA971" s="253"/>
      <c r="AB971" s="218"/>
    </row>
    <row r="972">
      <c r="A972" s="118"/>
      <c r="B972" s="118"/>
      <c r="C972" s="143"/>
      <c r="D972" s="118"/>
      <c r="E972" s="118"/>
      <c r="F972" s="262"/>
      <c r="G972" s="264"/>
      <c r="H972" s="264"/>
      <c r="I972" s="267"/>
      <c r="J972" s="118"/>
      <c r="K972" s="136"/>
      <c r="L972" s="118"/>
      <c r="M972" s="136"/>
      <c r="N972" s="118"/>
      <c r="O972" s="136"/>
      <c r="P972" s="272"/>
      <c r="Q972" s="272"/>
      <c r="R972" s="272"/>
      <c r="S972" s="272"/>
      <c r="T972" s="272"/>
      <c r="U972" s="272"/>
      <c r="V972" s="273"/>
      <c r="W972" s="253"/>
      <c r="X972" s="253"/>
      <c r="Y972" s="253"/>
      <c r="Z972" s="253"/>
      <c r="AA972" s="253"/>
      <c r="AB972" s="218"/>
    </row>
    <row r="973">
      <c r="A973" s="118"/>
      <c r="B973" s="118"/>
      <c r="C973" s="143"/>
      <c r="D973" s="118"/>
      <c r="E973" s="118"/>
      <c r="F973" s="262"/>
      <c r="G973" s="264"/>
      <c r="H973" s="264"/>
      <c r="I973" s="267"/>
      <c r="J973" s="118"/>
      <c r="K973" s="136"/>
      <c r="L973" s="118"/>
      <c r="M973" s="136"/>
      <c r="N973" s="118"/>
      <c r="O973" s="136"/>
      <c r="P973" s="272"/>
      <c r="Q973" s="272"/>
      <c r="R973" s="272"/>
      <c r="S973" s="272"/>
      <c r="T973" s="272"/>
      <c r="U973" s="272"/>
      <c r="V973" s="273"/>
      <c r="W973" s="253"/>
      <c r="X973" s="253"/>
      <c r="Y973" s="253"/>
      <c r="Z973" s="253"/>
      <c r="AA973" s="253"/>
      <c r="AB973" s="218"/>
    </row>
    <row r="974">
      <c r="A974" s="118"/>
      <c r="B974" s="118"/>
      <c r="C974" s="143"/>
      <c r="D974" s="118"/>
      <c r="E974" s="118"/>
      <c r="F974" s="262"/>
      <c r="G974" s="264"/>
      <c r="H974" s="264"/>
      <c r="I974" s="267"/>
      <c r="J974" s="118"/>
      <c r="K974" s="136"/>
      <c r="L974" s="118"/>
      <c r="M974" s="136"/>
      <c r="N974" s="118"/>
      <c r="O974" s="136"/>
      <c r="P974" s="272"/>
      <c r="Q974" s="272"/>
      <c r="R974" s="272"/>
      <c r="S974" s="272"/>
      <c r="T974" s="272"/>
      <c r="U974" s="272"/>
      <c r="V974" s="273"/>
      <c r="W974" s="253"/>
      <c r="X974" s="253"/>
      <c r="Y974" s="253"/>
      <c r="Z974" s="253"/>
      <c r="AA974" s="253"/>
      <c r="AB974" s="218"/>
    </row>
    <row r="975">
      <c r="A975" s="118"/>
      <c r="B975" s="118"/>
      <c r="C975" s="143"/>
      <c r="D975" s="118"/>
      <c r="E975" s="118"/>
      <c r="F975" s="262"/>
      <c r="G975" s="264"/>
      <c r="H975" s="264"/>
      <c r="I975" s="267"/>
      <c r="J975" s="118"/>
      <c r="K975" s="136"/>
      <c r="L975" s="118"/>
      <c r="M975" s="136"/>
      <c r="N975" s="118"/>
      <c r="O975" s="136"/>
      <c r="P975" s="272"/>
      <c r="Q975" s="272"/>
      <c r="R975" s="272"/>
      <c r="S975" s="272"/>
      <c r="T975" s="272"/>
      <c r="U975" s="272"/>
      <c r="V975" s="273"/>
      <c r="W975" s="253"/>
      <c r="X975" s="253"/>
      <c r="Y975" s="253"/>
      <c r="Z975" s="253"/>
      <c r="AA975" s="253"/>
      <c r="AB975" s="218"/>
    </row>
    <row r="976">
      <c r="A976" s="118"/>
      <c r="B976" s="118"/>
      <c r="C976" s="143"/>
      <c r="D976" s="118"/>
      <c r="E976" s="118"/>
      <c r="F976" s="262"/>
      <c r="G976" s="264"/>
      <c r="H976" s="264"/>
      <c r="I976" s="267"/>
      <c r="J976" s="118"/>
      <c r="K976" s="136"/>
      <c r="L976" s="118"/>
      <c r="M976" s="136"/>
      <c r="N976" s="118"/>
      <c r="O976" s="136"/>
      <c r="P976" s="272"/>
      <c r="Q976" s="272"/>
      <c r="R976" s="272"/>
      <c r="S976" s="272"/>
      <c r="T976" s="272"/>
      <c r="U976" s="272"/>
      <c r="V976" s="273"/>
      <c r="W976" s="253"/>
      <c r="X976" s="253"/>
      <c r="Y976" s="253"/>
      <c r="Z976" s="253"/>
      <c r="AA976" s="253"/>
      <c r="AB976" s="218"/>
    </row>
    <row r="977">
      <c r="A977" s="118"/>
      <c r="B977" s="118"/>
      <c r="C977" s="143"/>
      <c r="D977" s="118"/>
      <c r="E977" s="118"/>
      <c r="F977" s="262"/>
      <c r="G977" s="264"/>
      <c r="H977" s="264"/>
      <c r="I977" s="267"/>
      <c r="J977" s="118"/>
      <c r="K977" s="136"/>
      <c r="L977" s="118"/>
      <c r="M977" s="136"/>
      <c r="N977" s="118"/>
      <c r="O977" s="136"/>
      <c r="P977" s="272"/>
      <c r="Q977" s="272"/>
      <c r="R977" s="272"/>
      <c r="S977" s="272"/>
      <c r="T977" s="272"/>
      <c r="U977" s="272"/>
      <c r="V977" s="273"/>
      <c r="W977" s="253"/>
      <c r="X977" s="253"/>
      <c r="Y977" s="253"/>
      <c r="Z977" s="253"/>
      <c r="AA977" s="253"/>
      <c r="AB977" s="218"/>
    </row>
    <row r="978">
      <c r="A978" s="118"/>
      <c r="B978" s="118"/>
      <c r="C978" s="143"/>
      <c r="D978" s="118"/>
      <c r="E978" s="118"/>
      <c r="F978" s="262"/>
      <c r="G978" s="264"/>
      <c r="H978" s="264"/>
      <c r="I978" s="267"/>
      <c r="J978" s="118"/>
      <c r="K978" s="136"/>
      <c r="L978" s="118"/>
      <c r="M978" s="136"/>
      <c r="N978" s="118"/>
      <c r="O978" s="136"/>
      <c r="P978" s="272"/>
      <c r="Q978" s="272"/>
      <c r="R978" s="272"/>
      <c r="S978" s="272"/>
      <c r="T978" s="272"/>
      <c r="U978" s="272"/>
      <c r="V978" s="273"/>
      <c r="W978" s="253"/>
      <c r="X978" s="253"/>
      <c r="Y978" s="253"/>
      <c r="Z978" s="253"/>
      <c r="AA978" s="253"/>
      <c r="AB978" s="218"/>
    </row>
    <row r="979">
      <c r="A979" s="118"/>
      <c r="B979" s="118"/>
      <c r="C979" s="143"/>
      <c r="D979" s="118"/>
      <c r="E979" s="118"/>
      <c r="F979" s="262"/>
      <c r="G979" s="264"/>
      <c r="H979" s="264"/>
      <c r="I979" s="267"/>
      <c r="J979" s="118"/>
      <c r="K979" s="136"/>
      <c r="L979" s="118"/>
      <c r="M979" s="136"/>
      <c r="N979" s="118"/>
      <c r="O979" s="136"/>
      <c r="P979" s="272"/>
      <c r="Q979" s="272"/>
      <c r="R979" s="272"/>
      <c r="S979" s="272"/>
      <c r="T979" s="272"/>
      <c r="U979" s="272"/>
      <c r="V979" s="273"/>
      <c r="W979" s="253"/>
      <c r="X979" s="253"/>
      <c r="Y979" s="253"/>
      <c r="Z979" s="253"/>
      <c r="AA979" s="253"/>
      <c r="AB979" s="218"/>
    </row>
    <row r="980">
      <c r="A980" s="118"/>
      <c r="B980" s="118"/>
      <c r="C980" s="143"/>
      <c r="D980" s="118"/>
      <c r="E980" s="118"/>
      <c r="F980" s="262"/>
      <c r="G980" s="264"/>
      <c r="H980" s="264"/>
      <c r="I980" s="267"/>
      <c r="J980" s="118"/>
      <c r="K980" s="136"/>
      <c r="L980" s="118"/>
      <c r="M980" s="136"/>
      <c r="N980" s="118"/>
      <c r="O980" s="136"/>
      <c r="P980" s="272"/>
      <c r="Q980" s="272"/>
      <c r="R980" s="272"/>
      <c r="S980" s="272"/>
      <c r="T980" s="272"/>
      <c r="U980" s="272"/>
      <c r="V980" s="273"/>
      <c r="W980" s="253"/>
      <c r="X980" s="253"/>
      <c r="Y980" s="253"/>
      <c r="Z980" s="253"/>
      <c r="AA980" s="253"/>
      <c r="AB980" s="218"/>
    </row>
    <row r="981">
      <c r="A981" s="118"/>
      <c r="B981" s="118"/>
      <c r="C981" s="143"/>
      <c r="D981" s="118"/>
      <c r="E981" s="118"/>
      <c r="F981" s="262"/>
      <c r="G981" s="264"/>
      <c r="H981" s="264"/>
      <c r="I981" s="267"/>
      <c r="J981" s="118"/>
      <c r="K981" s="136"/>
      <c r="L981" s="118"/>
      <c r="M981" s="136"/>
      <c r="N981" s="118"/>
      <c r="O981" s="136"/>
      <c r="P981" s="272"/>
      <c r="Q981" s="272"/>
      <c r="R981" s="272"/>
      <c r="S981" s="272"/>
      <c r="T981" s="272"/>
      <c r="U981" s="272"/>
      <c r="V981" s="273"/>
      <c r="W981" s="253"/>
      <c r="X981" s="253"/>
      <c r="Y981" s="253"/>
      <c r="Z981" s="253"/>
      <c r="AA981" s="253"/>
      <c r="AB981" s="218"/>
    </row>
    <row r="982">
      <c r="A982" s="118"/>
      <c r="B982" s="118"/>
      <c r="C982" s="143"/>
      <c r="D982" s="118"/>
      <c r="E982" s="118"/>
      <c r="F982" s="262"/>
      <c r="G982" s="264"/>
      <c r="H982" s="264"/>
      <c r="I982" s="267"/>
      <c r="J982" s="118"/>
      <c r="K982" s="136"/>
      <c r="L982" s="118"/>
      <c r="M982" s="136"/>
      <c r="N982" s="118"/>
      <c r="O982" s="136"/>
      <c r="P982" s="272"/>
      <c r="Q982" s="272"/>
      <c r="R982" s="272"/>
      <c r="S982" s="272"/>
      <c r="T982" s="272"/>
      <c r="U982" s="272"/>
      <c r="V982" s="273"/>
      <c r="W982" s="253"/>
      <c r="X982" s="253"/>
      <c r="Y982" s="253"/>
      <c r="Z982" s="253"/>
      <c r="AA982" s="253"/>
      <c r="AB982" s="218"/>
    </row>
    <row r="983">
      <c r="A983" s="118"/>
      <c r="B983" s="118"/>
      <c r="C983" s="143"/>
      <c r="D983" s="118"/>
      <c r="E983" s="118"/>
      <c r="F983" s="262"/>
      <c r="G983" s="264"/>
      <c r="H983" s="264"/>
      <c r="I983" s="267"/>
      <c r="J983" s="118"/>
      <c r="K983" s="136"/>
      <c r="L983" s="118"/>
      <c r="M983" s="136"/>
      <c r="N983" s="118"/>
      <c r="O983" s="136"/>
      <c r="P983" s="272"/>
      <c r="Q983" s="272"/>
      <c r="R983" s="272"/>
      <c r="S983" s="272"/>
      <c r="T983" s="272"/>
      <c r="U983" s="272"/>
      <c r="V983" s="273"/>
      <c r="W983" s="253"/>
      <c r="X983" s="253"/>
      <c r="Y983" s="253"/>
      <c r="Z983" s="253"/>
      <c r="AA983" s="253"/>
      <c r="AB983" s="218"/>
    </row>
    <row r="984">
      <c r="A984" s="118"/>
      <c r="B984" s="118"/>
      <c r="C984" s="143"/>
      <c r="D984" s="118"/>
      <c r="E984" s="118"/>
      <c r="F984" s="262"/>
      <c r="G984" s="264"/>
      <c r="H984" s="264"/>
      <c r="I984" s="267"/>
      <c r="J984" s="118"/>
      <c r="K984" s="136"/>
      <c r="L984" s="118"/>
      <c r="M984" s="136"/>
      <c r="N984" s="118"/>
      <c r="O984" s="136"/>
      <c r="P984" s="272"/>
      <c r="Q984" s="272"/>
      <c r="R984" s="272"/>
      <c r="S984" s="272"/>
      <c r="T984" s="272"/>
      <c r="U984" s="272"/>
      <c r="V984" s="273"/>
      <c r="W984" s="253"/>
      <c r="X984" s="253"/>
      <c r="Y984" s="253"/>
      <c r="Z984" s="253"/>
      <c r="AA984" s="253"/>
      <c r="AB984" s="218"/>
    </row>
    <row r="985">
      <c r="A985" s="118"/>
      <c r="B985" s="118"/>
      <c r="C985" s="143"/>
      <c r="D985" s="118"/>
      <c r="E985" s="118"/>
      <c r="F985" s="262"/>
      <c r="G985" s="264"/>
      <c r="H985" s="264"/>
      <c r="I985" s="267"/>
      <c r="J985" s="118"/>
      <c r="K985" s="136"/>
      <c r="L985" s="118"/>
      <c r="M985" s="136"/>
      <c r="N985" s="118"/>
      <c r="O985" s="136"/>
      <c r="P985" s="272"/>
      <c r="Q985" s="272"/>
      <c r="R985" s="272"/>
      <c r="S985" s="272"/>
      <c r="T985" s="272"/>
      <c r="U985" s="272"/>
      <c r="V985" s="273"/>
      <c r="W985" s="253"/>
      <c r="X985" s="253"/>
      <c r="Y985" s="253"/>
      <c r="Z985" s="253"/>
      <c r="AA985" s="253"/>
      <c r="AB985" s="218"/>
    </row>
    <row r="986">
      <c r="A986" s="118"/>
      <c r="B986" s="118"/>
      <c r="C986" s="143"/>
      <c r="D986" s="118"/>
      <c r="E986" s="118"/>
      <c r="F986" s="262"/>
      <c r="G986" s="264"/>
      <c r="H986" s="264"/>
      <c r="I986" s="267"/>
      <c r="J986" s="118"/>
      <c r="K986" s="136"/>
      <c r="L986" s="118"/>
      <c r="M986" s="136"/>
      <c r="N986" s="118"/>
      <c r="O986" s="136"/>
      <c r="P986" s="272"/>
      <c r="Q986" s="272"/>
      <c r="R986" s="272"/>
      <c r="S986" s="272"/>
      <c r="T986" s="272"/>
      <c r="U986" s="272"/>
      <c r="V986" s="273"/>
      <c r="W986" s="253"/>
      <c r="X986" s="253"/>
      <c r="Y986" s="253"/>
      <c r="Z986" s="253"/>
      <c r="AA986" s="253"/>
      <c r="AB986" s="218"/>
    </row>
    <row r="987">
      <c r="A987" s="118"/>
      <c r="B987" s="118"/>
      <c r="C987" s="143"/>
      <c r="D987" s="118"/>
      <c r="E987" s="118"/>
      <c r="F987" s="262"/>
      <c r="G987" s="264"/>
      <c r="H987" s="264"/>
      <c r="I987" s="267"/>
      <c r="J987" s="118"/>
      <c r="K987" s="136"/>
      <c r="L987" s="118"/>
      <c r="M987" s="136"/>
      <c r="N987" s="118"/>
      <c r="O987" s="136"/>
      <c r="P987" s="272"/>
      <c r="Q987" s="272"/>
      <c r="R987" s="272"/>
      <c r="S987" s="272"/>
      <c r="T987" s="272"/>
      <c r="U987" s="272"/>
      <c r="V987" s="273"/>
      <c r="W987" s="253"/>
      <c r="X987" s="253"/>
      <c r="Y987" s="253"/>
      <c r="Z987" s="253"/>
      <c r="AA987" s="253"/>
      <c r="AB987" s="218"/>
    </row>
    <row r="988">
      <c r="A988" s="118"/>
      <c r="B988" s="118"/>
      <c r="C988" s="143"/>
      <c r="D988" s="118"/>
      <c r="E988" s="118"/>
      <c r="F988" s="262"/>
      <c r="G988" s="264"/>
      <c r="H988" s="264"/>
      <c r="I988" s="267"/>
      <c r="J988" s="118"/>
      <c r="K988" s="136"/>
      <c r="L988" s="118"/>
      <c r="M988" s="136"/>
      <c r="N988" s="118"/>
      <c r="O988" s="136"/>
      <c r="P988" s="272"/>
      <c r="Q988" s="272"/>
      <c r="R988" s="272"/>
      <c r="S988" s="272"/>
      <c r="T988" s="272"/>
      <c r="U988" s="272"/>
      <c r="V988" s="273"/>
      <c r="W988" s="253"/>
      <c r="X988" s="253"/>
      <c r="Y988" s="253"/>
      <c r="Z988" s="253"/>
      <c r="AA988" s="253"/>
      <c r="AB988" s="218"/>
    </row>
    <row r="989">
      <c r="A989" s="118"/>
      <c r="B989" s="118"/>
      <c r="C989" s="143"/>
      <c r="D989" s="118"/>
      <c r="E989" s="118"/>
      <c r="F989" s="262"/>
      <c r="G989" s="264"/>
      <c r="H989" s="264"/>
      <c r="I989" s="267"/>
      <c r="J989" s="118"/>
      <c r="K989" s="136"/>
      <c r="L989" s="118"/>
      <c r="M989" s="136"/>
      <c r="N989" s="118"/>
      <c r="O989" s="136"/>
      <c r="P989" s="272"/>
      <c r="Q989" s="272"/>
      <c r="R989" s="272"/>
      <c r="S989" s="272"/>
      <c r="T989" s="272"/>
      <c r="U989" s="272"/>
      <c r="V989" s="273"/>
      <c r="W989" s="253"/>
      <c r="X989" s="253"/>
      <c r="Y989" s="253"/>
      <c r="Z989" s="253"/>
      <c r="AA989" s="253"/>
      <c r="AB989" s="218"/>
    </row>
    <row r="990">
      <c r="A990" s="118"/>
      <c r="B990" s="118"/>
      <c r="C990" s="143"/>
      <c r="D990" s="118"/>
      <c r="E990" s="118"/>
      <c r="F990" s="262"/>
      <c r="G990" s="264"/>
      <c r="H990" s="264"/>
      <c r="I990" s="267"/>
      <c r="J990" s="118"/>
      <c r="K990" s="136"/>
      <c r="L990" s="118"/>
      <c r="M990" s="136"/>
      <c r="N990" s="118"/>
      <c r="O990" s="136"/>
      <c r="P990" s="272"/>
      <c r="Q990" s="272"/>
      <c r="R990" s="272"/>
      <c r="S990" s="272"/>
      <c r="T990" s="272"/>
      <c r="U990" s="272"/>
      <c r="V990" s="273"/>
      <c r="W990" s="253"/>
      <c r="X990" s="253"/>
      <c r="Y990" s="253"/>
      <c r="Z990" s="253"/>
      <c r="AA990" s="253"/>
      <c r="AB990" s="218"/>
    </row>
    <row r="991">
      <c r="A991" s="118"/>
      <c r="B991" s="118"/>
      <c r="C991" s="143"/>
      <c r="D991" s="118"/>
      <c r="E991" s="118"/>
      <c r="F991" s="262"/>
      <c r="G991" s="264"/>
      <c r="H991" s="264"/>
      <c r="I991" s="267"/>
      <c r="J991" s="118"/>
      <c r="K991" s="136"/>
      <c r="L991" s="118"/>
      <c r="M991" s="136"/>
      <c r="N991" s="118"/>
      <c r="O991" s="136"/>
      <c r="P991" s="272"/>
      <c r="Q991" s="272"/>
      <c r="R991" s="272"/>
      <c r="S991" s="272"/>
      <c r="T991" s="272"/>
      <c r="U991" s="272"/>
      <c r="V991" s="273"/>
      <c r="W991" s="253"/>
      <c r="X991" s="253"/>
      <c r="Y991" s="253"/>
      <c r="Z991" s="253"/>
      <c r="AA991" s="253"/>
      <c r="AB991" s="218"/>
    </row>
    <row r="992">
      <c r="A992" s="118"/>
      <c r="B992" s="118"/>
      <c r="C992" s="143"/>
      <c r="D992" s="118"/>
      <c r="E992" s="118"/>
      <c r="F992" s="262"/>
      <c r="G992" s="264"/>
      <c r="H992" s="264"/>
      <c r="I992" s="267"/>
      <c r="J992" s="118"/>
      <c r="K992" s="136"/>
      <c r="L992" s="118"/>
      <c r="M992" s="136"/>
      <c r="N992" s="118"/>
      <c r="O992" s="136"/>
      <c r="P992" s="272"/>
      <c r="Q992" s="272"/>
      <c r="R992" s="272"/>
      <c r="S992" s="272"/>
      <c r="T992" s="272"/>
      <c r="U992" s="272"/>
      <c r="V992" s="273"/>
      <c r="W992" s="253"/>
      <c r="X992" s="253"/>
      <c r="Y992" s="253"/>
      <c r="Z992" s="253"/>
      <c r="AA992" s="253"/>
      <c r="AB992" s="218"/>
    </row>
    <row r="993">
      <c r="A993" s="118"/>
      <c r="B993" s="118"/>
      <c r="C993" s="143"/>
      <c r="D993" s="118"/>
      <c r="E993" s="118"/>
      <c r="F993" s="262"/>
      <c r="G993" s="264"/>
      <c r="H993" s="264"/>
      <c r="I993" s="267"/>
      <c r="J993" s="118"/>
      <c r="K993" s="136"/>
      <c r="L993" s="118"/>
      <c r="M993" s="136"/>
      <c r="N993" s="118"/>
      <c r="O993" s="136"/>
      <c r="P993" s="272"/>
      <c r="Q993" s="272"/>
      <c r="R993" s="272"/>
      <c r="S993" s="272"/>
      <c r="T993" s="272"/>
      <c r="U993" s="272"/>
      <c r="V993" s="273"/>
      <c r="W993" s="253"/>
      <c r="X993" s="253"/>
      <c r="Y993" s="253"/>
      <c r="Z993" s="253"/>
      <c r="AA993" s="253"/>
      <c r="AB993" s="218"/>
    </row>
    <row r="994">
      <c r="A994" s="118"/>
      <c r="B994" s="118"/>
      <c r="C994" s="143"/>
      <c r="D994" s="118"/>
      <c r="E994" s="118"/>
      <c r="F994" s="262"/>
      <c r="G994" s="264"/>
      <c r="H994" s="264"/>
      <c r="I994" s="267"/>
      <c r="J994" s="118"/>
      <c r="K994" s="136"/>
      <c r="L994" s="118"/>
      <c r="M994" s="136"/>
      <c r="N994" s="118"/>
      <c r="O994" s="136"/>
      <c r="P994" s="272"/>
      <c r="Q994" s="272"/>
      <c r="R994" s="272"/>
      <c r="S994" s="272"/>
      <c r="T994" s="272"/>
      <c r="U994" s="272"/>
      <c r="V994" s="273"/>
      <c r="W994" s="253"/>
      <c r="X994" s="253"/>
      <c r="Y994" s="253"/>
      <c r="Z994" s="253"/>
      <c r="AA994" s="253"/>
      <c r="AB994" s="218"/>
    </row>
    <row r="995">
      <c r="A995" s="118"/>
      <c r="B995" s="118"/>
      <c r="C995" s="143"/>
      <c r="D995" s="118"/>
      <c r="E995" s="118"/>
      <c r="F995" s="262"/>
      <c r="G995" s="264"/>
      <c r="H995" s="264"/>
      <c r="I995" s="267"/>
      <c r="J995" s="118"/>
      <c r="K995" s="136"/>
      <c r="L995" s="118"/>
      <c r="M995" s="136"/>
      <c r="N995" s="118"/>
      <c r="O995" s="136"/>
      <c r="P995" s="272"/>
      <c r="Q995" s="272"/>
      <c r="R995" s="272"/>
      <c r="S995" s="272"/>
      <c r="T995" s="272"/>
      <c r="U995" s="272"/>
      <c r="V995" s="273"/>
      <c r="W995" s="253"/>
      <c r="X995" s="253"/>
      <c r="Y995" s="253"/>
      <c r="Z995" s="253"/>
      <c r="AA995" s="253"/>
      <c r="AB995" s="218"/>
    </row>
    <row r="996">
      <c r="A996" s="118"/>
      <c r="B996" s="118"/>
      <c r="C996" s="143"/>
      <c r="D996" s="118"/>
      <c r="E996" s="118"/>
      <c r="F996" s="262"/>
      <c r="G996" s="264"/>
      <c r="H996" s="264"/>
      <c r="I996" s="267"/>
      <c r="J996" s="118"/>
      <c r="K996" s="136"/>
      <c r="L996" s="118"/>
      <c r="M996" s="136"/>
      <c r="N996" s="118"/>
      <c r="O996" s="136"/>
      <c r="P996" s="272"/>
      <c r="Q996" s="272"/>
      <c r="R996" s="272"/>
      <c r="S996" s="272"/>
      <c r="T996" s="272"/>
      <c r="U996" s="272"/>
      <c r="V996" s="273"/>
      <c r="W996" s="253"/>
      <c r="X996" s="253"/>
      <c r="Y996" s="253"/>
      <c r="Z996" s="253"/>
      <c r="AA996" s="253"/>
      <c r="AB996" s="218"/>
    </row>
    <row r="997">
      <c r="A997" s="118"/>
      <c r="B997" s="118"/>
      <c r="C997" s="143"/>
      <c r="D997" s="118"/>
      <c r="E997" s="118"/>
      <c r="F997" s="262"/>
      <c r="G997" s="264"/>
      <c r="H997" s="264"/>
      <c r="I997" s="267"/>
      <c r="J997" s="118"/>
      <c r="K997" s="136"/>
      <c r="L997" s="118"/>
      <c r="M997" s="136"/>
      <c r="N997" s="118"/>
      <c r="O997" s="136"/>
      <c r="P997" s="272"/>
      <c r="Q997" s="272"/>
      <c r="R997" s="272"/>
      <c r="S997" s="272"/>
      <c r="T997" s="272"/>
      <c r="U997" s="272"/>
      <c r="V997" s="273"/>
      <c r="W997" s="253"/>
      <c r="X997" s="253"/>
      <c r="Y997" s="253"/>
      <c r="Z997" s="253"/>
      <c r="AA997" s="253"/>
      <c r="AB997" s="218"/>
    </row>
    <row r="998">
      <c r="A998" s="118"/>
      <c r="B998" s="118"/>
      <c r="C998" s="143"/>
      <c r="D998" s="118"/>
      <c r="E998" s="118"/>
      <c r="F998" s="262"/>
      <c r="G998" s="264"/>
      <c r="H998" s="264"/>
      <c r="I998" s="267"/>
      <c r="J998" s="118"/>
      <c r="K998" s="136"/>
      <c r="L998" s="118"/>
      <c r="M998" s="136"/>
      <c r="N998" s="118"/>
      <c r="O998" s="136"/>
      <c r="P998" s="272"/>
      <c r="Q998" s="272"/>
      <c r="R998" s="272"/>
      <c r="S998" s="272"/>
      <c r="T998" s="272"/>
      <c r="U998" s="272"/>
      <c r="V998" s="273"/>
      <c r="W998" s="253"/>
      <c r="X998" s="253"/>
      <c r="Y998" s="253"/>
      <c r="Z998" s="253"/>
      <c r="AA998" s="253"/>
      <c r="AB998" s="218"/>
    </row>
    <row r="999">
      <c r="A999" s="118"/>
      <c r="B999" s="118"/>
      <c r="C999" s="143"/>
      <c r="D999" s="118"/>
      <c r="E999" s="118"/>
      <c r="F999" s="262"/>
      <c r="G999" s="264"/>
      <c r="H999" s="264"/>
      <c r="I999" s="267"/>
      <c r="J999" s="118"/>
      <c r="K999" s="136"/>
      <c r="L999" s="118"/>
      <c r="M999" s="136"/>
      <c r="N999" s="118"/>
      <c r="O999" s="136"/>
      <c r="P999" s="272"/>
      <c r="Q999" s="272"/>
      <c r="R999" s="272"/>
      <c r="S999" s="272"/>
      <c r="T999" s="272"/>
      <c r="U999" s="272"/>
      <c r="V999" s="273"/>
      <c r="W999" s="253"/>
      <c r="X999" s="253"/>
      <c r="Y999" s="253"/>
      <c r="Z999" s="253"/>
      <c r="AA999" s="253"/>
      <c r="AB999" s="218"/>
    </row>
    <row r="1000">
      <c r="A1000" s="118"/>
      <c r="B1000" s="118"/>
      <c r="C1000" s="143"/>
      <c r="D1000" s="118"/>
      <c r="E1000" s="118"/>
      <c r="F1000" s="262"/>
      <c r="G1000" s="264"/>
      <c r="H1000" s="264"/>
      <c r="I1000" s="267"/>
      <c r="J1000" s="118"/>
      <c r="K1000" s="136"/>
      <c r="L1000" s="118"/>
      <c r="M1000" s="136"/>
      <c r="N1000" s="118"/>
      <c r="O1000" s="136"/>
      <c r="P1000" s="272"/>
      <c r="Q1000" s="272"/>
      <c r="R1000" s="272"/>
      <c r="S1000" s="272"/>
      <c r="T1000" s="272"/>
      <c r="U1000" s="272"/>
      <c r="V1000" s="273"/>
      <c r="W1000" s="253"/>
      <c r="X1000" s="253"/>
      <c r="Y1000" s="253"/>
      <c r="Z1000" s="253"/>
      <c r="AA1000" s="253"/>
      <c r="AB1000" s="218"/>
    </row>
  </sheetData>
  <mergeCells count="7">
    <mergeCell ref="A1:A2"/>
    <mergeCell ref="B1:B2"/>
    <mergeCell ref="C1:C2"/>
    <mergeCell ref="D1:D2"/>
    <mergeCell ref="E1:I1"/>
    <mergeCell ref="J1:O1"/>
    <mergeCell ref="P1:Y1"/>
  </mergeCells>
  <hyperlinks>
    <hyperlink r:id="rId1" ref="N2"/>
    <hyperlink r:id="rId2" ref="P2"/>
    <hyperlink r:id="rId3" ref="Q2"/>
    <hyperlink r:id="rId4" ref="R2"/>
    <hyperlink r:id="rId5" ref="S2"/>
    <hyperlink r:id="rId6" ref="T2"/>
    <hyperlink r:id="rId7" ref="U2"/>
    <hyperlink r:id="rId8" ref="V2"/>
    <hyperlink r:id="rId9" ref="W2"/>
    <hyperlink r:id="rId10" ref="X2"/>
    <hyperlink r:id="rId11" ref="Y2"/>
    <hyperlink r:id="rId12" ref="Z2"/>
    <hyperlink r:id="rId13" ref="AA2"/>
    <hyperlink r:id="rId14" location="unified-login" ref="G3"/>
    <hyperlink r:id="rId15" location="sso" ref="H3"/>
    <hyperlink r:id="rId16" location="single-sign-on" ref="I3"/>
    <hyperlink r:id="rId17" ref="Q3"/>
    <hyperlink r:id="rId18" ref="R3"/>
    <hyperlink r:id="rId19" ref="S3"/>
    <hyperlink r:id="rId20" ref="G4"/>
    <hyperlink r:id="rId21" ref="H4"/>
    <hyperlink r:id="rId22" ref="I4"/>
    <hyperlink r:id="rId23" ref="Q4"/>
    <hyperlink r:id="rId24" ref="R4"/>
    <hyperlink r:id="rId25" ref="S4"/>
    <hyperlink r:id="rId26" ref="G5"/>
    <hyperlink r:id="rId27" ref="H5"/>
    <hyperlink r:id="rId28" ref="I5"/>
    <hyperlink r:id="rId29" ref="Q5"/>
    <hyperlink r:id="rId30" ref="R5"/>
    <hyperlink r:id="rId31" ref="S5"/>
    <hyperlink r:id="rId32" ref="G6"/>
    <hyperlink r:id="rId33" ref="H6"/>
    <hyperlink r:id="rId34" ref="I6"/>
    <hyperlink r:id="rId35" ref="Q6"/>
    <hyperlink r:id="rId36" ref="R6"/>
    <hyperlink r:id="rId37" ref="S6"/>
    <hyperlink r:id="rId38" ref="G7"/>
    <hyperlink r:id="rId39" ref="H7"/>
    <hyperlink r:id="rId40" ref="I7"/>
    <hyperlink r:id="rId41" ref="P7"/>
    <hyperlink r:id="rId42" ref="Q7"/>
    <hyperlink r:id="rId43" ref="R7"/>
    <hyperlink r:id="rId44" ref="S7"/>
    <hyperlink r:id="rId45" ref="Y7"/>
    <hyperlink r:id="rId46" ref="G8"/>
    <hyperlink r:id="rId47" ref="H8"/>
    <hyperlink r:id="rId48" ref="I8"/>
    <hyperlink r:id="rId49" ref="Q8"/>
    <hyperlink r:id="rId50" ref="R8"/>
    <hyperlink r:id="rId51" ref="S8"/>
    <hyperlink r:id="rId52" ref="T8"/>
    <hyperlink r:id="rId53" ref="G9"/>
    <hyperlink r:id="rId54" ref="H9"/>
    <hyperlink r:id="rId55" ref="I9"/>
    <hyperlink r:id="rId56" ref="P9"/>
    <hyperlink r:id="rId57" ref="R9"/>
    <hyperlink r:id="rId58" ref="G10"/>
    <hyperlink r:id="rId59" ref="H10"/>
    <hyperlink r:id="rId60" ref="I10"/>
    <hyperlink r:id="rId61" ref="P10"/>
    <hyperlink r:id="rId62" ref="Q10"/>
    <hyperlink r:id="rId63" ref="R10"/>
    <hyperlink r:id="rId64" ref="S10"/>
    <hyperlink r:id="rId65" ref="Y10"/>
    <hyperlink r:id="rId66" ref="G11"/>
    <hyperlink r:id="rId67" ref="H11"/>
    <hyperlink r:id="rId68" ref="I11"/>
    <hyperlink r:id="rId69" ref="P11"/>
    <hyperlink r:id="rId70" ref="Q11"/>
    <hyperlink r:id="rId71" ref="R11"/>
    <hyperlink r:id="rId72" ref="S11"/>
    <hyperlink r:id="rId73" ref="Y11"/>
    <hyperlink r:id="rId74" ref="G12"/>
    <hyperlink r:id="rId75" ref="H12"/>
    <hyperlink r:id="rId76" ref="I12"/>
    <hyperlink r:id="rId77" ref="Q12"/>
    <hyperlink r:id="rId78" ref="R12"/>
    <hyperlink r:id="rId79" ref="G13"/>
    <hyperlink r:id="rId80" ref="H13"/>
    <hyperlink r:id="rId81" ref="I13"/>
    <hyperlink r:id="rId82" ref="R13"/>
    <hyperlink r:id="rId83" location="delete-from-a-table" ref="G14"/>
    <hyperlink r:id="rId84" location="--delete-from-a-table" ref="H14"/>
    <hyperlink r:id="rId85" location="delete-from-a-table" ref="I14"/>
    <hyperlink r:id="rId86" ref="G15"/>
    <hyperlink r:id="rId87" ref="H15"/>
    <hyperlink r:id="rId88" ref="I15"/>
    <hyperlink r:id="rId89" ref="R15"/>
    <hyperlink r:id="rId90" ref="S15"/>
    <hyperlink r:id="rId91" ref="G16"/>
    <hyperlink r:id="rId92" ref="H16"/>
    <hyperlink r:id="rId93" ref="I16"/>
    <hyperlink r:id="rId94" ref="R16"/>
    <hyperlink r:id="rId95" ref="S16"/>
    <hyperlink r:id="rId96" ref="Y16"/>
    <hyperlink r:id="rId97" ref="G17"/>
    <hyperlink r:id="rId98" ref="H17"/>
    <hyperlink r:id="rId99" ref="I17"/>
    <hyperlink r:id="rId100" ref="P17"/>
    <hyperlink r:id="rId101" ref="R17"/>
    <hyperlink r:id="rId102" ref="S17"/>
    <hyperlink r:id="rId103" ref="G18"/>
    <hyperlink r:id="rId104" ref="H18"/>
    <hyperlink r:id="rId105" ref="I18"/>
    <hyperlink r:id="rId106" ref="Y18"/>
    <hyperlink r:id="rId107" ref="G19"/>
    <hyperlink r:id="rId108" ref="H19"/>
    <hyperlink r:id="rId109" ref="I19"/>
    <hyperlink r:id="rId110" ref="S19"/>
    <hyperlink r:id="rId111" ref="Y19"/>
    <hyperlink r:id="rId112" location="machine-learning-on-databricks" ref="G20"/>
    <hyperlink r:id="rId113" location="machine-learning-on-databricks" ref="H20"/>
    <hyperlink r:id="rId114" location="machine-learning-on-databricks" ref="I20"/>
    <hyperlink r:id="rId115" ref="G21"/>
    <hyperlink r:id="rId116" ref="H21"/>
    <hyperlink r:id="rId117" ref="I21"/>
    <hyperlink r:id="rId118" ref="Y21"/>
    <hyperlink r:id="rId119" ref="G22"/>
    <hyperlink r:id="rId120" ref="H22"/>
    <hyperlink r:id="rId121" ref="I22"/>
    <hyperlink r:id="rId122" ref="G23"/>
    <hyperlink r:id="rId123" ref="H23"/>
    <hyperlink r:id="rId124" ref="I23"/>
    <hyperlink r:id="rId125" ref="G24"/>
    <hyperlink r:id="rId126" ref="H24"/>
    <hyperlink r:id="rId127" ref="I24"/>
    <hyperlink r:id="rId128" ref="R24"/>
    <hyperlink r:id="rId129" ref="G25"/>
    <hyperlink r:id="rId130" ref="H25"/>
    <hyperlink r:id="rId131" ref="I25"/>
    <hyperlink r:id="rId132" location="control-access-to-models" ref="G26"/>
    <hyperlink r:id="rId133" location="control-access-to-models" ref="H26"/>
    <hyperlink r:id="rId134" location="control-access-to-models" ref="I26"/>
    <hyperlink r:id="rId135" ref="P26"/>
    <hyperlink r:id="rId136" ref="R26"/>
    <hyperlink r:id="rId137" ref="S26"/>
    <hyperlink r:id="rId138" ref="G27"/>
    <hyperlink r:id="rId139" ref="H27"/>
    <hyperlink r:id="rId140" ref="I27"/>
    <hyperlink r:id="rId141" ref="G28"/>
    <hyperlink r:id="rId142" ref="H28"/>
    <hyperlink r:id="rId143" ref="R28"/>
    <hyperlink r:id="rId144" location="pretraining" ref="G29"/>
    <hyperlink r:id="rId145" location="pretraining" ref="H29"/>
    <hyperlink r:id="rId146" location="deploy-and-organize-models-with-aliases-and-tags" ref="G30"/>
    <hyperlink r:id="rId147" location="--deploy-and-organize-models-with-aliases-and-tags" ref="H30"/>
    <hyperlink r:id="rId148" location="deploy-and-organize-models-with-aliases-and-tags" ref="I30"/>
    <hyperlink r:id="rId149" ref="R30"/>
    <hyperlink r:id="rId150" ref="S30"/>
    <hyperlink r:id="rId151" ref="G31"/>
    <hyperlink r:id="rId152" ref="H31"/>
    <hyperlink r:id="rId153" ref="I31"/>
    <hyperlink r:id="rId154" ref="R31"/>
    <hyperlink r:id="rId155" ref="S31"/>
    <hyperlink r:id="rId156" location="data-protection-in-model-serving" ref="G32"/>
    <hyperlink r:id="rId157" location="data-protection-in-model-serving" ref="H32"/>
    <hyperlink r:id="rId158" location="data-protection-in-model-serving" ref="I32"/>
    <hyperlink r:id="rId159" ref="P32"/>
    <hyperlink r:id="rId160" ref="Q32"/>
    <hyperlink r:id="rId161" ref="S32"/>
    <hyperlink r:id="rId162" ref="Y32"/>
    <hyperlink r:id="rId163" location="manage-permissions-on-your-model-serving-endpoint" ref="G33"/>
    <hyperlink r:id="rId164" location="manage-permissions-on-your-model-serving-endpoint" ref="H33"/>
    <hyperlink r:id="rId165" ref="I33"/>
    <hyperlink r:id="rId166" ref="P33"/>
    <hyperlink r:id="rId167" ref="R33"/>
    <hyperlink r:id="rId168" ref="S33"/>
    <hyperlink r:id="rId169" ref="G34"/>
    <hyperlink r:id="rId170" ref="H34"/>
    <hyperlink r:id="rId171" ref="I34"/>
    <hyperlink r:id="rId172" ref="P34"/>
    <hyperlink r:id="rId173" ref="Q34"/>
    <hyperlink r:id="rId174" ref="R34"/>
    <hyperlink r:id="rId175" ref="S34"/>
    <hyperlink r:id="rId176" ref="G35"/>
    <hyperlink r:id="rId177" ref="H35"/>
    <hyperlink r:id="rId178" ref="I35"/>
    <hyperlink r:id="rId179" ref="Q35"/>
    <hyperlink r:id="rId180" location="data-protection-in-model-serving" ref="G36"/>
    <hyperlink r:id="rId181" location="data-protection-in-model-serving" ref="H36"/>
    <hyperlink r:id="rId182" ref="I36"/>
    <hyperlink r:id="rId183" ref="P36"/>
    <hyperlink r:id="rId184" ref="Q36"/>
    <hyperlink r:id="rId185" ref="R36"/>
    <hyperlink r:id="rId186" ref="S36"/>
    <hyperlink r:id="rId187" ref="G37"/>
    <hyperlink r:id="rId188" ref="H37"/>
    <hyperlink r:id="rId189" ref="I37"/>
    <hyperlink r:id="rId190" ref="S37"/>
    <hyperlink r:id="rId191" ref="Y37"/>
    <hyperlink r:id="rId192" ref="G38"/>
    <hyperlink r:id="rId193" ref="H38"/>
    <hyperlink r:id="rId194" ref="I38"/>
    <hyperlink r:id="rId195" ref="R38"/>
    <hyperlink r:id="rId196" ref="S38"/>
    <hyperlink r:id="rId197" ref="G39"/>
    <hyperlink r:id="rId198" ref="H39"/>
    <hyperlink r:id="rId199" location="vulnerability-management" ref="G40"/>
    <hyperlink r:id="rId200" location="vulnerability-management" ref="H40"/>
    <hyperlink r:id="rId201" location="vulnerability-management" ref="I40"/>
    <hyperlink r:id="rId202" ref="P40"/>
    <hyperlink r:id="rId203" ref="Q40"/>
    <hyperlink r:id="rId204" location="security-investigations-and-incident-response" ref="G41"/>
    <hyperlink r:id="rId205" location="security-investigations-and-incident-response" ref="H41"/>
    <hyperlink r:id="rId206" location="security-investigations-and-incident-response" ref="I41"/>
    <hyperlink r:id="rId207" ref="Q41"/>
    <hyperlink r:id="rId208" ref="Y41"/>
    <hyperlink r:id="rId209" location="internal-access" ref="G42"/>
    <hyperlink r:id="rId210" location="internal-access" ref="H42"/>
    <hyperlink r:id="rId211" location="internal-access" ref="I42"/>
    <hyperlink r:id="rId212" ref="S42"/>
    <hyperlink r:id="rId213" location="secure-software-development-lifecycle" ref="G43"/>
    <hyperlink r:id="rId214" location="secure-software-development-lifecycle" ref="H43"/>
    <hyperlink r:id="rId215" location="secure-software-development-lifecycle" ref="I43"/>
    <hyperlink r:id="rId216" ref="Q43"/>
    <hyperlink r:id="rId217" ref="G44"/>
    <hyperlink r:id="rId218" ref="H44"/>
    <hyperlink r:id="rId219" ref="I44"/>
    <hyperlink r:id="rId220" ref="R44"/>
    <hyperlink r:id="rId221" ref="S44"/>
    <hyperlink r:id="rId222" ref="G45"/>
    <hyperlink r:id="rId223" ref="H45"/>
    <hyperlink r:id="rId224" ref="I45"/>
    <hyperlink r:id="rId225" ref="Q45"/>
    <hyperlink r:id="rId226" ref="G46"/>
    <hyperlink r:id="rId227" ref="H46"/>
    <hyperlink r:id="rId228" ref="I46"/>
    <hyperlink r:id="rId229" ref="G47"/>
    <hyperlink r:id="rId230" ref="H47"/>
    <hyperlink r:id="rId231" ref="I47"/>
    <hyperlink r:id="rId232" ref="P47"/>
    <hyperlink r:id="rId233" ref="Y47"/>
    <hyperlink r:id="rId234" ref="D48"/>
    <hyperlink r:id="rId235" ref="G48"/>
    <hyperlink r:id="rId236" ref="H48"/>
    <hyperlink r:id="rId237" ref="I48"/>
    <hyperlink r:id="rId238" ref="G49"/>
    <hyperlink r:id="rId239" ref="H49"/>
    <hyperlink r:id="rId240" ref="I49"/>
    <hyperlink r:id="rId241" location="databricks-runtime-for-machine-learning" ref="G50"/>
    <hyperlink r:id="rId242" location="--databricks-runtime-for-machine-learning" ref="H50"/>
    <hyperlink r:id="rId243" location="databricks-runtime-for-machine-learning" ref="I50"/>
    <hyperlink r:id="rId244" ref="P50"/>
    <hyperlink r:id="rId245" ref="Q50"/>
    <hyperlink r:id="rId246" ref="G51"/>
    <hyperlink r:id="rId247" ref="H51"/>
    <hyperlink r:id="rId248" ref="I51"/>
    <hyperlink r:id="rId249" ref="D52"/>
    <hyperlink r:id="rId250" ref="G52"/>
    <hyperlink r:id="rId251" ref="H52"/>
    <hyperlink r:id="rId252" ref="I52"/>
    <hyperlink r:id="rId253" ref="Y52"/>
    <hyperlink r:id="rId254" ref="G53"/>
    <hyperlink r:id="rId255" ref="H53"/>
    <hyperlink r:id="rId256" ref="I53"/>
    <hyperlink r:id="rId257" ref="G54"/>
    <hyperlink r:id="rId258" ref="H54"/>
    <hyperlink r:id="rId259" ref="I54"/>
    <hyperlink r:id="rId260" ref="G55"/>
    <hyperlink r:id="rId261" ref="H55"/>
    <hyperlink r:id="rId262" ref="I55"/>
    <hyperlink r:id="rId263" ref="P55"/>
    <hyperlink r:id="rId264" ref="Q55"/>
    <hyperlink r:id="rId265" location="define-guardrails" ref="G56"/>
    <hyperlink r:id="rId266" ref="H56"/>
    <hyperlink r:id="rId267" ref="I56"/>
    <hyperlink r:id="rId268" ref="Y56"/>
    <hyperlink r:id="rId269" location="audit-log-reference" ref="D57"/>
    <hyperlink r:id="rId270" ref="G57"/>
    <hyperlink r:id="rId271" ref="H57"/>
    <hyperlink r:id="rId272" ref="I57"/>
    <hyperlink r:id="rId273" ref="Q57"/>
    <hyperlink r:id="rId274" ref="S57"/>
    <hyperlink r:id="rId275" ref="Y57"/>
    <hyperlink r:id="rId276" ref="G58"/>
    <hyperlink r:id="rId277" ref="H58"/>
    <hyperlink r:id="rId278" ref="I58"/>
    <hyperlink r:id="rId279" ref="Q58"/>
    <hyperlink r:id="rId280" ref="R58"/>
    <hyperlink r:id="rId281" ref="Y58"/>
    <hyperlink r:id="rId282" ref="G59"/>
    <hyperlink r:id="rId283" ref="H59"/>
    <hyperlink r:id="rId284" ref="I59"/>
    <hyperlink r:id="rId285" ref="R59"/>
    <hyperlink r:id="rId286" ref="G60"/>
    <hyperlink r:id="rId287" ref="H60"/>
    <hyperlink r:id="rId288" ref="I60"/>
    <hyperlink r:id="rId289" ref="Y60"/>
    <hyperlink r:id="rId290" ref="G61"/>
    <hyperlink r:id="rId291" ref="H61"/>
    <hyperlink r:id="rId292" ref="I61"/>
    <hyperlink r:id="rId293" ref="G62"/>
    <hyperlink r:id="rId294" ref="H62"/>
    <hyperlink r:id="rId295" ref="I62"/>
    <hyperlink r:id="rId296" ref="P62"/>
    <hyperlink r:id="rId297" ref="Y62"/>
    <hyperlink r:id="rId298" ref="D63"/>
    <hyperlink r:id="rId299" ref="G63"/>
    <hyperlink r:id="rId300" ref="H63"/>
    <hyperlink r:id="rId301" ref="I63"/>
    <hyperlink r:id="rId302" ref="P63"/>
    <hyperlink r:id="rId303" ref="Q63"/>
    <hyperlink r:id="rId304" ref="G64"/>
    <hyperlink r:id="rId305" ref="H64"/>
    <hyperlink r:id="rId306" ref="I64"/>
    <hyperlink r:id="rId307" ref="Q64"/>
    <hyperlink r:id="rId308" ref="G65"/>
    <hyperlink r:id="rId309" ref="H65"/>
    <hyperlink r:id="rId310" ref="I65"/>
    <hyperlink r:id="rId311" location=":~:text=to%20mitigate%20risk.-,M1051,-Update%20Software" ref="Q65"/>
    <hyperlink r:id="rId312" ref="G66"/>
    <hyperlink r:id="rId313" ref="H66"/>
    <hyperlink r:id="rId314" ref="I66"/>
    <hyperlink r:id="rId315" ref="X66"/>
    <hyperlink r:id="rId316" ref="Y66"/>
    <hyperlink r:id="rId317" ref="G67"/>
    <hyperlink r:id="rId318" ref="H67"/>
    <hyperlink r:id="rId319" ref="I67"/>
    <hyperlink r:id="rId320" ref="S67"/>
    <hyperlink r:id="rId321" ref="Y67"/>
    <hyperlink r:id="rId322" ref="G68"/>
    <hyperlink r:id="rId323" ref="H68"/>
    <hyperlink r:id="rId324" ref="I68"/>
    <hyperlink r:id="rId325" ref="P68"/>
    <hyperlink r:id="rId326" ref="Y68"/>
    <hyperlink r:id="rId327" ref="G69"/>
    <hyperlink r:id="rId328" ref="H69"/>
    <hyperlink r:id="rId329" ref="I69"/>
    <hyperlink r:id="rId330" ref="Q69"/>
    <hyperlink r:id="rId331" ref="R69"/>
    <hyperlink r:id="rId332" ref="S69"/>
    <hyperlink r:id="rId333" ref="G70"/>
    <hyperlink r:id="rId334" ref="H70"/>
    <hyperlink r:id="rId335" ref="I70"/>
    <hyperlink r:id="rId336" ref="R70"/>
    <hyperlink r:id="rId337" ref="G71"/>
    <hyperlink r:id="rId338" ref="H71"/>
    <hyperlink r:id="rId339" ref="I71"/>
    <hyperlink r:id="rId340" ref="R71"/>
    <hyperlink r:id="rId341" ref="G72"/>
    <hyperlink r:id="rId342" ref="H72"/>
    <hyperlink r:id="rId343" ref="I72"/>
    <hyperlink r:id="rId344" ref="R72"/>
    <hyperlink r:id="rId345" ref="G73"/>
    <hyperlink r:id="rId346" ref="H73"/>
    <hyperlink r:id="rId347" ref="I73"/>
    <hyperlink r:id="rId348" ref="G74"/>
    <hyperlink r:id="rId349" ref="H74"/>
    <hyperlink r:id="rId350" ref="R74"/>
    <hyperlink r:id="rId351" ref="G75"/>
    <hyperlink r:id="rId352" ref="H75"/>
    <hyperlink r:id="rId353" ref="I75"/>
    <hyperlink r:id="rId354" ref="R75"/>
  </hyperlinks>
  <drawing r:id="rId35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2.0" topLeftCell="A13" activePane="bottomLeft" state="frozen"/>
      <selection activeCell="B14" sqref="B14" pane="bottomLeft"/>
    </sheetView>
  </sheetViews>
  <sheetFormatPr customHeight="1" defaultColWidth="12.63" defaultRowHeight="15.75"/>
  <cols>
    <col customWidth="1" min="1" max="1" width="22.63"/>
    <col customWidth="1" min="2" max="2" width="35.13"/>
    <col customWidth="1" min="3" max="3" width="60.13"/>
    <col customWidth="1" min="4" max="6" width="35.13"/>
    <col customWidth="1" hidden="1" min="7" max="7" width="13.75"/>
    <col hidden="1" min="8" max="8" width="12.63"/>
  </cols>
  <sheetData>
    <row r="1" ht="37.5" customHeight="1">
      <c r="A1" s="274" t="s">
        <v>2285</v>
      </c>
      <c r="B1" s="275"/>
      <c r="C1" s="275"/>
      <c r="D1" s="275"/>
      <c r="E1" s="275"/>
      <c r="F1" s="276"/>
      <c r="G1" s="277"/>
      <c r="H1" s="277"/>
      <c r="I1" s="278"/>
      <c r="J1" s="278"/>
      <c r="K1" s="278"/>
      <c r="L1" s="278"/>
      <c r="M1" s="278"/>
      <c r="N1" s="278"/>
      <c r="O1" s="278"/>
      <c r="P1" s="278"/>
      <c r="Q1" s="278"/>
      <c r="R1" s="278"/>
      <c r="S1" s="278"/>
      <c r="T1" s="278"/>
    </row>
    <row r="2" ht="15.75" customHeight="1">
      <c r="A2" s="279"/>
      <c r="B2" s="280"/>
      <c r="C2" s="281"/>
      <c r="D2" s="282"/>
      <c r="E2" s="283"/>
      <c r="F2" s="283"/>
      <c r="G2" s="284"/>
      <c r="H2" s="284"/>
      <c r="I2" s="283"/>
      <c r="J2" s="283"/>
      <c r="K2" s="283"/>
      <c r="L2" s="283"/>
      <c r="M2" s="283"/>
      <c r="N2" s="283"/>
      <c r="O2" s="283"/>
      <c r="P2" s="283"/>
      <c r="Q2" s="283"/>
      <c r="R2" s="283"/>
      <c r="S2" s="283"/>
      <c r="T2" s="283"/>
    </row>
    <row r="3" ht="15.75" customHeight="1">
      <c r="A3" s="285"/>
      <c r="B3" s="286"/>
      <c r="D3" s="287"/>
      <c r="E3" s="288"/>
      <c r="F3" s="289"/>
      <c r="G3" s="290"/>
      <c r="H3" s="290"/>
      <c r="I3" s="289"/>
      <c r="J3" s="289"/>
      <c r="K3" s="289"/>
      <c r="L3" s="289"/>
      <c r="M3" s="289"/>
      <c r="N3" s="289"/>
      <c r="O3" s="289"/>
      <c r="P3" s="289"/>
      <c r="Q3" s="289"/>
      <c r="R3" s="289"/>
      <c r="S3" s="289"/>
      <c r="T3" s="289"/>
    </row>
    <row r="4">
      <c r="A4" s="291"/>
      <c r="B4" s="292" t="s">
        <v>2286</v>
      </c>
      <c r="C4" s="293" t="s">
        <v>2287</v>
      </c>
      <c r="D4" s="160" t="s">
        <v>2288</v>
      </c>
      <c r="E4" s="294"/>
      <c r="F4" s="283"/>
      <c r="G4" s="295"/>
      <c r="H4" s="295"/>
      <c r="I4" s="296"/>
      <c r="J4" s="296"/>
      <c r="K4" s="296"/>
      <c r="L4" s="296"/>
      <c r="M4" s="296"/>
      <c r="N4" s="296"/>
      <c r="O4" s="296"/>
      <c r="P4" s="296"/>
      <c r="Q4" s="296"/>
      <c r="R4" s="296"/>
      <c r="S4" s="296"/>
      <c r="T4" s="296"/>
    </row>
    <row r="5">
      <c r="A5" s="291"/>
      <c r="B5" s="292" t="s">
        <v>2289</v>
      </c>
      <c r="C5" s="293" t="s">
        <v>2290</v>
      </c>
      <c r="D5" s="297"/>
      <c r="E5" s="298"/>
      <c r="F5" s="283"/>
      <c r="G5" s="295"/>
      <c r="H5" s="295"/>
      <c r="I5" s="296"/>
      <c r="J5" s="296"/>
      <c r="K5" s="296"/>
      <c r="L5" s="296"/>
      <c r="M5" s="296"/>
      <c r="N5" s="296"/>
      <c r="O5" s="296"/>
      <c r="P5" s="296"/>
      <c r="Q5" s="296"/>
      <c r="R5" s="296"/>
      <c r="S5" s="296"/>
      <c r="T5" s="296"/>
    </row>
    <row r="6">
      <c r="A6" s="279"/>
      <c r="B6" s="292" t="s">
        <v>2291</v>
      </c>
      <c r="C6" s="293" t="s">
        <v>2292</v>
      </c>
      <c r="D6" s="299"/>
      <c r="E6" s="298"/>
      <c r="F6" s="283"/>
      <c r="G6" s="295"/>
      <c r="H6" s="295"/>
      <c r="I6" s="296"/>
      <c r="J6" s="296"/>
      <c r="K6" s="296"/>
      <c r="L6" s="296"/>
      <c r="M6" s="296"/>
      <c r="N6" s="296"/>
      <c r="O6" s="296"/>
      <c r="P6" s="296"/>
      <c r="Q6" s="296"/>
      <c r="R6" s="296"/>
      <c r="S6" s="296"/>
      <c r="T6" s="296"/>
    </row>
    <row r="7">
      <c r="A7" s="291"/>
      <c r="B7" s="292" t="s">
        <v>2293</v>
      </c>
      <c r="C7" s="293" t="s">
        <v>2294</v>
      </c>
      <c r="D7" s="299"/>
      <c r="E7" s="298"/>
      <c r="F7" s="283"/>
      <c r="G7" s="295"/>
      <c r="H7" s="295"/>
      <c r="I7" s="296"/>
      <c r="J7" s="296"/>
      <c r="K7" s="296"/>
      <c r="L7" s="296"/>
      <c r="M7" s="296"/>
      <c r="N7" s="296"/>
      <c r="O7" s="296"/>
      <c r="P7" s="296"/>
      <c r="Q7" s="296"/>
      <c r="R7" s="296"/>
      <c r="S7" s="296"/>
      <c r="T7" s="296"/>
    </row>
    <row r="8">
      <c r="A8" s="300"/>
      <c r="B8" s="292" t="s">
        <v>2295</v>
      </c>
      <c r="C8" s="301" t="s">
        <v>2296</v>
      </c>
      <c r="D8" s="299"/>
      <c r="E8" s="298"/>
      <c r="F8" s="283"/>
      <c r="G8" s="284"/>
      <c r="H8" s="284"/>
      <c r="I8" s="283"/>
      <c r="J8" s="283"/>
      <c r="K8" s="283"/>
      <c r="L8" s="283"/>
      <c r="M8" s="283"/>
      <c r="N8" s="283"/>
      <c r="O8" s="283"/>
      <c r="P8" s="283"/>
      <c r="Q8" s="283"/>
      <c r="R8" s="283"/>
      <c r="S8" s="283"/>
      <c r="T8" s="283"/>
    </row>
    <row r="9">
      <c r="A9" s="300"/>
      <c r="B9" s="292" t="s">
        <v>2297</v>
      </c>
      <c r="C9" s="293" t="s">
        <v>2298</v>
      </c>
      <c r="D9" s="299"/>
      <c r="E9" s="298"/>
      <c r="F9" s="283"/>
      <c r="G9" s="284"/>
      <c r="H9" s="284"/>
      <c r="I9" s="283"/>
      <c r="J9" s="283"/>
      <c r="K9" s="283"/>
      <c r="L9" s="283"/>
      <c r="M9" s="283"/>
      <c r="N9" s="283"/>
      <c r="O9" s="283"/>
      <c r="P9" s="283"/>
      <c r="Q9" s="283"/>
      <c r="R9" s="283"/>
      <c r="S9" s="283"/>
      <c r="T9" s="283"/>
    </row>
    <row r="10" ht="15.75" customHeight="1">
      <c r="A10" s="302"/>
      <c r="B10" s="303"/>
      <c r="C10" s="304"/>
      <c r="D10" s="305"/>
      <c r="E10" s="304"/>
      <c r="F10" s="304"/>
      <c r="G10" s="306"/>
      <c r="H10" s="306"/>
      <c r="I10" s="304"/>
      <c r="J10" s="304"/>
      <c r="K10" s="304"/>
      <c r="L10" s="304"/>
      <c r="M10" s="304"/>
      <c r="N10" s="304"/>
      <c r="O10" s="304"/>
      <c r="P10" s="304"/>
      <c r="Q10" s="304"/>
      <c r="R10" s="304"/>
      <c r="S10" s="304"/>
      <c r="T10" s="304"/>
    </row>
    <row r="11" ht="15.75" customHeight="1">
      <c r="A11" s="307"/>
      <c r="B11" s="308"/>
      <c r="C11" s="306"/>
      <c r="D11" s="308"/>
      <c r="E11" s="306"/>
      <c r="F11" s="284"/>
      <c r="G11" s="284"/>
      <c r="H11" s="284"/>
      <c r="I11" s="283"/>
      <c r="J11" s="283"/>
      <c r="K11" s="283"/>
      <c r="L11" s="283"/>
      <c r="M11" s="283"/>
      <c r="N11" s="283"/>
      <c r="O11" s="283"/>
      <c r="P11" s="283"/>
      <c r="Q11" s="283"/>
      <c r="R11" s="283"/>
      <c r="S11" s="283"/>
      <c r="T11" s="283"/>
    </row>
    <row r="12" ht="67.5" customHeight="1">
      <c r="A12" s="309" t="s">
        <v>2299</v>
      </c>
      <c r="B12" s="309" t="s">
        <v>207</v>
      </c>
      <c r="C12" s="309" t="s">
        <v>2300</v>
      </c>
      <c r="D12" s="309" t="s">
        <v>223</v>
      </c>
      <c r="E12" s="309" t="s">
        <v>224</v>
      </c>
      <c r="F12" s="309" t="s">
        <v>2301</v>
      </c>
      <c r="G12" s="310"/>
      <c r="H12" s="310"/>
      <c r="I12" s="311"/>
      <c r="J12" s="311"/>
      <c r="K12" s="311"/>
      <c r="L12" s="311"/>
      <c r="M12" s="311"/>
      <c r="N12" s="311"/>
      <c r="O12" s="311"/>
      <c r="P12" s="311"/>
      <c r="Q12" s="311"/>
      <c r="R12" s="311"/>
      <c r="S12" s="311"/>
      <c r="T12" s="311"/>
    </row>
    <row r="13" ht="201.0" customHeight="1">
      <c r="A13" s="63" t="str">
        <f>'AI Lifecycle Risks'!C3</f>
        <v>Raw Data 1.1: Insufficient access controls</v>
      </c>
      <c r="B13" s="63" t="str">
        <f>'AI Lifecycle Risks'!B3</f>
        <v>Data operations</v>
      </c>
      <c r="C13" s="63" t="str">
        <f>'AI Lifecycle Risks'!D3</f>
        <v>Effective access management is fundamental to data security, ensuring only authorized individuals or groups can access specific datasets. Such security protocols encompass authentication, authorization and finely tuned access controls tailored to the scope of access required by each user, down to the file or record level. Establishing definitive governance policies for data access is imperative in response to the heightened risks from data breaches and regulations like the General Data Protection Regulation (GDPR) and the California Consumer Privacy Act (CCPA). These policies guard against unauthorized use and are a cornerstone of preserving data integrity and maintaining customer trust.</v>
      </c>
      <c r="D13" s="63" t="str">
        <f>'AI Lifecycle Risks'!O3</f>
        <v>• Unauthorised access to customer data
• Unauthorised access to training data 
• Data Breach
• Regulatory non-compliance
• Loss of Data Integrity</v>
      </c>
      <c r="E13" s="63" t="str">
        <f>'AI Lifecycle Risks'!P3</f>
        <v>• Breach of legal obligations
• Breach of regulatory obligations
• Customer Retention
• Legal fines
• Response costs
• Regulatory Fines and Judgement</v>
      </c>
      <c r="F13" s="63" t="str">
        <f>'AI Lifecycle Risks'!E3</f>
        <v>DASF 1
DASF 2
DASF 3
DASF 4
DASF 5
DASF 51
DASF 55
DASF 59
DASF 67</v>
      </c>
      <c r="G13"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13" s="284" t="str">
        <f>IFERROR(__xludf.DUMMYFUNCTION("IF(ISBLANK($C$4), 
  ""Show"",
  IF(
    REGEXMATCH($G13, ""Yes""),
    ""Show"",
    ""Hide""
  )
)"),"Show")</f>
        <v>Show</v>
      </c>
      <c r="I13" s="283"/>
      <c r="J13" s="283"/>
      <c r="K13" s="283"/>
      <c r="L13" s="283"/>
      <c r="M13" s="283"/>
      <c r="N13" s="283"/>
      <c r="O13" s="283"/>
      <c r="P13" s="283"/>
      <c r="Q13" s="283"/>
      <c r="R13" s="283"/>
      <c r="S13" s="283"/>
      <c r="T13" s="283"/>
    </row>
    <row r="14" ht="201.0" customHeight="1">
      <c r="A14" s="63" t="str">
        <f>'AI Lifecycle Risks'!C4</f>
        <v>Raw Data 1.2: Missing data classification </v>
      </c>
      <c r="B14" s="63" t="str">
        <f>'AI Lifecycle Risks'!B4</f>
        <v>Data operations</v>
      </c>
      <c r="C14" s="63" t="str">
        <f>'AI Lifecycle Risks'!D4</f>
        <v>Data classification is critical for data governance, enabling organizations to effectively sort and categorize data by sensitivity, importance and criticality. As data volumes grow exponentially, prioritizing sensitive information protection, risk reduction and data quality becomes imperative. Classification facilitates the implementation of appropriate security measures and governance policies by evaluating data’s risk and value. A robust classification strategy strengthens data governance, mitigates risks, and ensures data integrity and security on a scalable level.</v>
      </c>
      <c r="D14" s="63" t="str">
        <f>'AI Lifecycle Risks'!O4</f>
        <v>• Data Breach
• Breach of Legal Obligations
• Breach of Regulatory Obligations
• Regulatory non-compliance
• Loss of Data Integrity</v>
      </c>
      <c r="E14" s="63" t="str">
        <f>'AI Lifecycle Risks'!P4</f>
        <v>• Financial Loss
• Customer Retention
• Legal fines
• Regulatory Fines and Judgement</v>
      </c>
      <c r="F14" s="63" t="str">
        <f>'AI Lifecycle Risks'!E4</f>
        <v>DASF 6</v>
      </c>
      <c r="G14"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14" s="284" t="str">
        <f>IFERROR(__xludf.DUMMYFUNCTION("IF(ISBLANK($C$4), 
  ""Show"",
  IF(
    REGEXMATCH($G14, ""Yes""),
    ""Show"",
    ""Hide""
  )
)"),"Show")</f>
        <v>Show</v>
      </c>
      <c r="I14" s="283"/>
      <c r="J14" s="283"/>
      <c r="K14" s="283"/>
      <c r="L14" s="283"/>
      <c r="M14" s="283"/>
      <c r="N14" s="283"/>
      <c r="O14" s="283"/>
      <c r="P14" s="283"/>
      <c r="Q14" s="283"/>
      <c r="R14" s="283"/>
      <c r="S14" s="283"/>
      <c r="T14" s="283"/>
    </row>
    <row r="15" ht="153.75" customHeight="1">
      <c r="A15" s="63" t="str">
        <f>'AI Lifecycle Risks'!C5</f>
        <v>Raw Data 1.3: Poor data quality</v>
      </c>
      <c r="B15" s="63" t="str">
        <f>'AI Lifecycle Risks'!B5</f>
        <v>Data operations</v>
      </c>
      <c r="C15" s="63" t="str">
        <f>'AI Lifecycle Risks'!D5</f>
        <v>Data quality is crucial for reliable data-driven decisions and is a cornerstone of data governance. Malicious actors threaten data integrity, accuracy and consistency, challenging the analytics and decision-making processes that depend on high-quality data, just as a well-intentioned user with poor-quality data can limit the efficacy of an AI system. To safeguard against these threats, organizations must rigorously evaluate key data attributes — accuracy, completeness, freshness and rule compliance. Prioritizing data quality enables organizations to trace data lineage, apply data quality rules and monitor changes, ensuring analytical accuracy and cost-effectiveness.</v>
      </c>
      <c r="D15" s="63" t="str">
        <f>'AI Lifecycle Risks'!O5</f>
        <v>• Using Untrusted Data to Make Data-Driven Decisions
• Undesired Business Outcomes
• Regulatory non-compliance
• Failure to Achieve Organizational AI Strategy and Goals</v>
      </c>
      <c r="E15" s="63" t="str">
        <f>'AI Lifecycle Risks'!P5</f>
        <v>• Customer Retention
• Regulatory Fines and Judgement</v>
      </c>
      <c r="F15" s="63" t="str">
        <f>'AI Lifecycle Risks'!E5</f>
        <v>DASF 7
DASF 21
DASF 36</v>
      </c>
      <c r="G15"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15" s="284" t="str">
        <f>IFERROR(__xludf.DUMMYFUNCTION("IF(ISBLANK($C$4), 
  ""Show"",
  IF(
    REGEXMATCH($G15, ""Yes""),
    ""Show"",
    ""Hide""
  )
)"),"Show")</f>
        <v>Show</v>
      </c>
      <c r="I15" s="283"/>
      <c r="J15" s="283"/>
      <c r="K15" s="283"/>
      <c r="L15" s="283"/>
      <c r="M15" s="283"/>
      <c r="N15" s="283"/>
      <c r="O15" s="283"/>
      <c r="P15" s="283"/>
      <c r="Q15" s="283"/>
      <c r="R15" s="283"/>
      <c r="S15" s="283"/>
      <c r="T15" s="283"/>
    </row>
    <row r="16">
      <c r="A16" s="63" t="str">
        <f>'AI Lifecycle Risks'!C6</f>
        <v>Raw Data 1.4: Ineffective storage and encryption</v>
      </c>
      <c r="B16" s="63" t="str">
        <f>'AI Lifecycle Risks'!B6</f>
        <v>Data operations</v>
      </c>
      <c r="C16" s="63" t="str">
        <f>'AI Lifecycle Risks'!D6</f>
        <v>Insecure data storage leaves organizations vulnerable to unauthorized access, potentially leading to data breaches with significant legal, financial and reputational consequences. Encrypting data at rest can help to render the data unreadable to unauthorized actors who bypass security measures or attempt large-scale data exfiltration. Additionally, compliance with industry-specific data security regulations often necessitates such measures.</v>
      </c>
      <c r="D16" s="63" t="str">
        <f>'AI Lifecycle Risks'!O6</f>
        <v>• Unauthorised Access to Customer Data
• Unauthorised Access to Training Data 
• Data Breach
• Model Theft
• Breach of Legal Obligations
• Breach of Regulatory Obligations
• Loss of Data Integrity</v>
      </c>
      <c r="E16" s="63" t="str">
        <f>'AI Lifecycle Risks'!P6</f>
        <v>• Financial Loss
• Customer Retention
• Legal fines
• Regulatory Fines and Judgement
• Loss of Competitive Advantage
• Proprietary Data Loss</v>
      </c>
      <c r="F16" s="63" t="str">
        <f>'AI Lifecycle Risks'!E6</f>
        <v>DASF 5
DASF 8
DASF 9</v>
      </c>
      <c r="G16"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16" s="284" t="str">
        <f>IFERROR(__xludf.DUMMYFUNCTION("IF(ISBLANK($C$4), 
  ""Show"",
  IF(
    REGEXMATCH($G16, ""Yes""),
    ""Show"",
    ""Hide""
  )
)"),"Show")</f>
        <v>Show</v>
      </c>
      <c r="I16" s="283"/>
      <c r="J16" s="283"/>
      <c r="K16" s="283"/>
      <c r="L16" s="283"/>
      <c r="M16" s="283"/>
      <c r="N16" s="283"/>
      <c r="O16" s="283"/>
      <c r="P16" s="283"/>
      <c r="Q16" s="283"/>
      <c r="R16" s="283"/>
      <c r="S16" s="283"/>
      <c r="T16" s="283"/>
    </row>
    <row r="17">
      <c r="A17" s="63" t="str">
        <f>'AI Lifecycle Risks'!C7</f>
        <v>Raw Data 1.5: Lack of data versioning </v>
      </c>
      <c r="B17" s="63" t="str">
        <f>'AI Lifecycle Risks'!B7</f>
        <v>Data operations</v>
      </c>
      <c r="C17" s="63" t="str">
        <f>'AI Lifecycle Risks'!D7</f>
        <v>When data gets corrupted by a malicious user by introducing a new set of data or by corrupting a data pipeline, you will need to be able to roll back or trace back to the original data.</v>
      </c>
      <c r="D17" s="63" t="str">
        <f>'AI Lifecycle Risks'!O7</f>
        <v>• Inability to Recover from an Incident
• Disruption of Business Operations and Service Availability
• Regulatory Non-compliance</v>
      </c>
      <c r="E17" s="63" t="str">
        <f>'AI Lifecycle Risks'!P7</f>
        <v>• Breach of Service Level Agreements
• Customer Retention
• Regulatory Fines and Judgement
• Direct Business Interruption
• Fines from SLA</v>
      </c>
      <c r="F17" s="63" t="str">
        <f>'AI Lifecycle Risks'!E7</f>
        <v>DASF 10</v>
      </c>
      <c r="G17"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17" s="284" t="str">
        <f>IFERROR(__xludf.DUMMYFUNCTION("IF(ISBLANK($C$4), 
  ""Show"",
  IF(
    REGEXMATCH($G17, ""Yes""),
    ""Show"",
    ""Hide""
  )
)"),"Show")</f>
        <v>Show</v>
      </c>
      <c r="I17" s="283"/>
      <c r="J17" s="283"/>
      <c r="K17" s="283"/>
      <c r="L17" s="283"/>
      <c r="M17" s="283"/>
      <c r="N17" s="283"/>
      <c r="O17" s="283"/>
      <c r="P17" s="283"/>
      <c r="Q17" s="283"/>
      <c r="R17" s="283"/>
      <c r="S17" s="283"/>
      <c r="T17" s="283"/>
    </row>
    <row r="18">
      <c r="A18" s="63" t="str">
        <f>'AI Lifecycle Risks'!C8</f>
        <v>Raw Data 1.6: Insufficient data lineage</v>
      </c>
      <c r="B18" s="63" t="str">
        <f>'AI Lifecycle Risks'!B8</f>
        <v>Data operations</v>
      </c>
      <c r="C18" s="63" t="str">
        <f>'AI Lifecycle Risks'!D8</f>
        <v>Because data may come from multiple sources and go through multiple transformations over its lifecycle, understanding data transparency and usage requirements in AI training is important to risk management. Many compliance regulations require organizations to have a clear understanding and traceability of data used for AI. Data lineage helps organizations be compliant and audit-ready, thereby alleviating the operational overhead of manually creating the trails of data flows for audit reporting purposes.</v>
      </c>
      <c r="D18" s="63" t="str">
        <f>'AI Lifecycle Risks'!O8</f>
        <v>• Loss of Data Integrity
• Limited Ability to Meet Regulatory Compliance
• Regulatory non-compliance
• Loss of Data Integrity</v>
      </c>
      <c r="E18" s="63" t="str">
        <f>'AI Lifecycle Risks'!P8</f>
        <v>• Financial Loss
• Customer Retention
• Legal fines
• Regulatory Fines and Judgement</v>
      </c>
      <c r="F18" s="63" t="str">
        <f>'AI Lifecycle Risks'!E8</f>
        <v>DASF 11
DASF 51</v>
      </c>
      <c r="G18"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18" s="284" t="str">
        <f>IFERROR(__xludf.DUMMYFUNCTION("IF(ISBLANK($C$4), 
  ""Show"",
  IF(
    REGEXMATCH($G18, ""Yes""),
    ""Show"",
    ""Hide""
  )
)"),"Show")</f>
        <v>Show</v>
      </c>
      <c r="I18" s="283"/>
      <c r="J18" s="283"/>
      <c r="K18" s="283"/>
      <c r="L18" s="283"/>
      <c r="M18" s="283"/>
      <c r="N18" s="283"/>
      <c r="O18" s="283"/>
      <c r="P18" s="283"/>
      <c r="Q18" s="283"/>
      <c r="R18" s="283"/>
      <c r="S18" s="283"/>
      <c r="T18" s="283"/>
    </row>
    <row r="19">
      <c r="A19" s="63" t="str">
        <f>'AI Lifecycle Risks'!C9</f>
        <v>Raw Data 1.7: Lack of data trustworthiness</v>
      </c>
      <c r="B19" s="63" t="str">
        <f>'AI Lifecycle Risks'!B9</f>
        <v>Data operations</v>
      </c>
      <c r="C19" s="63" t="str">
        <f>'AI Lifecycle Risks'!D9</f>
        <v>Attackers may tamper with or poison raw input data (training data, RAG data, etc). Adversaries may exploit public datasets, which often resemble those used by targeted organizations. To mitigate these threats, organizations should validate data sources, implement integrity checks, and utilize AI and machine learning for anomaly detection.</v>
      </c>
      <c r="D19" s="63" t="str">
        <f>'AI Lifecycle Risks'!O9</f>
        <v>• Compromised Integrity of AI System Outputs
• Regulatory non-compliance
• Loss of Data Integrity</v>
      </c>
      <c r="E19" s="63" t="str">
        <f>'AI Lifecycle Risks'!P9</f>
        <v>• Financial Loss
• Customer Retention
• Legal fines
• Regulatory Fines and Judgement</v>
      </c>
      <c r="F19" s="63" t="str">
        <f>'AI Lifecycle Risks'!E9</f>
        <v>DASF 10
DASF 51
DASF 59</v>
      </c>
      <c r="G19"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19" s="284" t="str">
        <f>IFERROR(__xludf.DUMMYFUNCTION("IF(ISBLANK($C$4), 
  ""Show"",
  IF(
    REGEXMATCH($G19, ""Yes""),
    ""Show"",
    ""Hide""
  )
)"),"Show")</f>
        <v>Show</v>
      </c>
      <c r="I19" s="283"/>
      <c r="J19" s="283"/>
      <c r="K19" s="283"/>
      <c r="L19" s="283"/>
      <c r="M19" s="283"/>
      <c r="N19" s="283"/>
      <c r="O19" s="283"/>
      <c r="P19" s="283"/>
      <c r="Q19" s="283"/>
      <c r="R19" s="283"/>
      <c r="S19" s="283"/>
      <c r="T19" s="283"/>
    </row>
    <row r="20">
      <c r="A20" s="63" t="str">
        <f>'AI Lifecycle Risks'!C10</f>
        <v>Raw Data 1.8: Legality of data</v>
      </c>
      <c r="B20" s="63" t="str">
        <f>'AI Lifecycle Risks'!B10</f>
        <v>Data operations</v>
      </c>
      <c r="C20" s="63" t="str">
        <f>'AI Lifecycle Risks'!D10</f>
        <v>Intellectual property concerns of training data and and legal mandates — such as those from GDPR, CCPA and LGPD — necessitate the capability of machine learning systems to “delete” specific data. But you often can’t “untrain” a model; during the training process, input data is encoded into the internal representation of the model, characterized by elements like thresholds and weights, which could become subject to legal constraints. Tracking your training data and retraining your model using clean and ownership-verified datasets is essential for meeting regulatory demands.</v>
      </c>
      <c r="D20" s="63" t="str">
        <f>'AI Lifecycle Risks'!O10</f>
        <v>• Using Data to Train Models without Legal Ownership of Data
• Using Data to Train Models without Consent from the Data Owner 
• Constrained use of your model
• Regulatory non-compliance
• Loss of Data Integrity</v>
      </c>
      <c r="E20" s="63" t="str">
        <f>'AI Lifecycle Risks'!P10</f>
        <v>• Financial Loss
• Customer Retention
• Legal fines
• Regulatory Fines and Judgement</v>
      </c>
      <c r="F20" s="63" t="str">
        <f>'AI Lifecycle Risks'!E10</f>
        <v>DASF 12
DASF 27
DASF 29</v>
      </c>
      <c r="G20"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20" s="284" t="str">
        <f>IFERROR(__xludf.DUMMYFUNCTION("IF(ISBLANK($C$4), 
  ""Show"",
  IF(
    REGEXMATCH($G20, ""Yes""),
    ""Show"",
    ""Hide""
  )
)"),"Show")</f>
        <v>Show</v>
      </c>
      <c r="I20" s="283"/>
      <c r="J20" s="283"/>
      <c r="K20" s="283"/>
      <c r="L20" s="283"/>
      <c r="M20" s="283"/>
      <c r="N20" s="283"/>
      <c r="O20" s="283"/>
      <c r="P20" s="283"/>
      <c r="Q20" s="283"/>
      <c r="R20" s="283"/>
      <c r="S20" s="283"/>
      <c r="T20" s="283"/>
    </row>
    <row r="21">
      <c r="A21" s="63" t="str">
        <f>'AI Lifecycle Risks'!C11</f>
        <v>Raw Data 1.9: Stale data</v>
      </c>
      <c r="B21" s="63" t="str">
        <f>'AI Lifecycle Risks'!B11</f>
        <v>Data operations</v>
      </c>
      <c r="C21" s="63" t="str">
        <f>'AI Lifecycle Risks'!D11</f>
        <v>When downstream data is not timely or accurate, business processes can be delayed, significantly affecting overall efficiency. Attackers may deliberately target these systems with attacks like denial of service, which can undermine the model’s performance and dependability. It’s crucial to proactively counteract these threats. Data streaming and performance monitoring help protect against such risks, maintaining the input data integrity and ensuring they are delivered promptly to the model.</v>
      </c>
      <c r="D21" s="63" t="str">
        <f>'AI Lifecycle Risks'!O11</f>
        <v>• Unreliable Downstream Systems Performance 
• Unreliable Downstream Systems Reliability
• Regulatory non-compliance
• Loss of AI System Integrity</v>
      </c>
      <c r="E21" s="63" t="str">
        <f>'AI Lifecycle Risks'!P11</f>
        <v>• Customer Retention
• Regulatory Fines and Judgement</v>
      </c>
      <c r="F21" s="63" t="str">
        <f>'AI Lifecycle Risks'!E11</f>
        <v>DASF 7
DASF 13</v>
      </c>
      <c r="G21"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21" s="284" t="str">
        <f>IFERROR(__xludf.DUMMYFUNCTION("IF(ISBLANK($C$4), 
  ""Show"",
  IF(
    REGEXMATCH($G21, ""Yes""),
    ""Show"",
    ""Hide""
  )
)"),"Show")</f>
        <v>Show</v>
      </c>
      <c r="I21" s="283"/>
      <c r="J21" s="283"/>
      <c r="K21" s="283"/>
      <c r="L21" s="283"/>
      <c r="M21" s="283"/>
      <c r="N21" s="283"/>
      <c r="O21" s="283"/>
      <c r="P21" s="283"/>
      <c r="Q21" s="283"/>
      <c r="R21" s="283"/>
      <c r="S21" s="283"/>
      <c r="T21" s="283"/>
    </row>
    <row r="22">
      <c r="A22" s="63" t="str">
        <f>'AI Lifecycle Risks'!C12</f>
        <v>Raw Data 1.10: Lack of data access logs</v>
      </c>
      <c r="B22" s="63" t="str">
        <f>'AI Lifecycle Risks'!B12</f>
        <v>Data operations</v>
      </c>
      <c r="C22" s="63" t="str">
        <f>'AI Lifecycle Risks'!D12</f>
        <v>Without proper audit mechanisms, an organization may not be fully aware of its risk surface area, leaving it vulnerable to data breaches and regulatory noncompliance. Therefore, a well-designed audit team within a data governance or security governance organization is critical in ensuring data security and compliance with regulations such as GDPR and CCPA. By implementing effective data access auditing strategies, organizations can maintain the trust of their customers and protect their data from unauthorized access or misuse.</v>
      </c>
      <c r="D22" s="63" t="str">
        <f>'AI Lifecycle Risks'!O12</f>
        <v>• Inability to Detect AI System Compromise
• Inability to Detect a Cyber Attack on AI Systems
• Regulatory non-compliance
• Loss of Data Integrity</v>
      </c>
      <c r="E22" s="63" t="str">
        <f>'AI Lifecycle Risks'!P12</f>
        <v>• Financial Loss
• Customer Retention
• Legal fines
• Regulatory Fines and Judgement</v>
      </c>
      <c r="F22" s="63" t="str">
        <f>'AI Lifecycle Risks'!E12</f>
        <v>DASF 14
DASF 55</v>
      </c>
      <c r="G22"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22" s="284" t="str">
        <f>IFERROR(__xludf.DUMMYFUNCTION("IF(ISBLANK($C$4), 
  ""Show"",
  IF(
    REGEXMATCH($G22, ""Yes""),
    ""Show"",
    ""Hide""
  )
)"),"Show")</f>
        <v>Show</v>
      </c>
      <c r="I22" s="283"/>
      <c r="J22" s="283"/>
      <c r="K22" s="283"/>
      <c r="L22" s="283"/>
      <c r="M22" s="283"/>
      <c r="N22" s="283"/>
      <c r="O22" s="283"/>
      <c r="P22" s="283"/>
      <c r="Q22" s="283"/>
      <c r="R22" s="283"/>
      <c r="S22" s="283"/>
      <c r="T22" s="283"/>
    </row>
    <row r="23">
      <c r="A23" s="63" t="str">
        <f>'AI Lifecycle Risks'!C13</f>
        <v>Raw Data 1.11: Compromised 3rd-party datasets</v>
      </c>
      <c r="B23" s="63" t="str">
        <f>'AI Lifecycle Risks'!B13</f>
        <v>Data operations</v>
      </c>
      <c r="C23" s="63" t="str">
        <f>'AI Lifecycle Risks'!D13</f>
        <v>Adversaries may poison training data and publish it to public locations or manipulate source datasets known to be used in the AI system. The poisoned dataset may be a novel dataset or a poisoned variant of an existing open source dataset. This data may be introduced to a victim system via supply chain compromise.</v>
      </c>
      <c r="D23" s="63" t="str">
        <f>'AI Lifecycle Risks'!O13</f>
        <v>• Unintended Training
• Compromised Integrity of AI System Outputs
• Unreliable Downstream Systems Reliability
• Regulatory non-compliance
• Loss of data integrity</v>
      </c>
      <c r="E23" s="63" t="str">
        <f>'AI Lifecycle Risks'!P13</f>
        <v>• Financial Loss
• Customer Retention
• Legal fines
• Regulatory Fines and Judgement</v>
      </c>
      <c r="F23" s="63" t="str">
        <f>'AI Lifecycle Risks'!E13</f>
        <v>DASF 5
DASF 7
DASF 11
DASF 17</v>
      </c>
      <c r="G23"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23" s="284" t="str">
        <f>IFERROR(__xludf.DUMMYFUNCTION("IF(ISBLANK($C$4), 
  ""Show"",
  IF(
    REGEXMATCH($G23, ""Yes""),
    ""Show"",
    ""Hide""
  )
)"),"Show")</f>
        <v>Show</v>
      </c>
      <c r="I23" s="283"/>
      <c r="J23" s="283"/>
      <c r="K23" s="283"/>
      <c r="L23" s="283"/>
      <c r="M23" s="283"/>
      <c r="N23" s="283"/>
      <c r="O23" s="283"/>
      <c r="P23" s="283"/>
      <c r="Q23" s="283"/>
      <c r="R23" s="283"/>
      <c r="S23" s="283"/>
      <c r="T23" s="283"/>
    </row>
    <row r="24" hidden="1">
      <c r="A24" s="63" t="str">
        <f>'AI Lifecycle Risks'!C14</f>
        <v>Data Prep 2.1: Preprocessing integrity</v>
      </c>
      <c r="B24" s="63" t="str">
        <f>'AI Lifecycle Risks'!B14</f>
        <v>Data operations</v>
      </c>
      <c r="C24" s="63" t="str">
        <f>'AI Lifecycle Risks'!D14</f>
        <v>Preprocessing includes numerical transformations, data aggregation, text or image data encoding, and new feature creation, followed by combining data by joining tables or merging datasets. Data preparation involves cleaning and formatting tasks such as handling missing values, ensuring correct formats and removing unnecessary columns.
Insiders or external actors can introduce errors or manipulate data during preprocessing or from the information repository itself.</v>
      </c>
      <c r="D24" s="63" t="str">
        <f>'AI Lifecycle Risks'!O14</f>
        <v>• Errors in Data During Preprocessing
• Manipulation of Data During Preprocessing
• Compromised Integrity of AI System Outputs
• Regulatory non-compliance
• Loss of data integrity</v>
      </c>
      <c r="E24" s="63" t="str">
        <f>'AI Lifecycle Risks'!P14</f>
        <v>• Financial Loss
• Customer Retention
• Legal fines
• Regulatory Fines and Judgement</v>
      </c>
      <c r="F24" s="63" t="str">
        <f>'AI Lifecycle Risks'!E14</f>
        <v>DASF 1
DASF 2
DASF 3
DASF 4
DASF 5
DASF 7
DASF 11
DASF 15
DASF 16
DASF 42
DASF 52
DASF 55
DASF 67</v>
      </c>
      <c r="G24"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)"),"No,No,No,")</f>
        <v>No,No,No,</v>
      </c>
      <c r="H24" s="284" t="str">
        <f>IFERROR(__xludf.DUMMYFUNCTION("IF(ISBLANK($C$4), 
  ""Show"",
  IF(
    REGEXMATCH($G24, ""Yes""),
    ""Show"",
    ""Hide""
  )
)"),"Hide")</f>
        <v>Hide</v>
      </c>
      <c r="I24" s="283"/>
      <c r="J24" s="283"/>
      <c r="K24" s="283"/>
      <c r="L24" s="283"/>
      <c r="M24" s="283"/>
      <c r="N24" s="283"/>
      <c r="O24" s="283"/>
      <c r="P24" s="283"/>
      <c r="Q24" s="283"/>
      <c r="R24" s="283"/>
      <c r="S24" s="283"/>
      <c r="T24" s="283"/>
    </row>
    <row r="25" hidden="1">
      <c r="A25" s="63" t="str">
        <f>'AI Lifecycle Risks'!C15</f>
        <v>Data Prep 2.2: Feature manipulation</v>
      </c>
      <c r="B25" s="63" t="str">
        <f>'AI Lifecycle Risks'!B15</f>
        <v>Data operations</v>
      </c>
      <c r="C25" s="63" t="str">
        <f>'AI Lifecycle Risks'!D15</f>
        <v>In almost all cases, raw data requires preprocessing and transformation before it is used to build a model. This process, known as feature engineering, involves converting raw data into structured features, the building blocks of the model. Feature engineering is critical to quality and effectiveness of the model. However, how data are annotated into features can introduce the risk of incorporating attacker biases into an AI/ML system. This can compromise the integrity and accuracy of the model and is a significant security concern for models used in critical decision-making (e.g., financial forecasting, fraud detection).</v>
      </c>
      <c r="D25" s="63" t="str">
        <f>'AI Lifecycle Risks'!O15</f>
        <v>• Compromised Fairness in AI System Outputs
• Bias in AI System Outputs
• Untrusted Data used by Decision-making Models
• Regulatory non-compliance
• Loss of data integrity</v>
      </c>
      <c r="E25" s="63" t="str">
        <f>'AI Lifecycle Risks'!P15</f>
        <v>• Financial Loss
• Customer Retention
• Legal fines
• Regulatory Fines and Judgement</v>
      </c>
      <c r="F25" s="63" t="str">
        <f>'AI Lifecycle Risks'!E15</f>
        <v>DASF 1
DASF 2
DASF 3
DASF 4
DASF 16
DASF 42
DASF 67</v>
      </c>
      <c r="G25"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)"),"No,No,No,")</f>
        <v>No,No,No,</v>
      </c>
      <c r="H25" s="284" t="str">
        <f>IFERROR(__xludf.DUMMYFUNCTION("IF(ISBLANK($C$4), 
  ""Show"",
  IF(
    REGEXMATCH($G25, ""Yes""),
    ""Show"",
    ""Hide""
  )
)"),"Hide")</f>
        <v>Hide</v>
      </c>
      <c r="I25" s="283"/>
      <c r="J25" s="283"/>
      <c r="K25" s="283"/>
      <c r="L25" s="283"/>
      <c r="M25" s="283"/>
      <c r="N25" s="283"/>
      <c r="O25" s="283"/>
      <c r="P25" s="283"/>
      <c r="Q25" s="283"/>
      <c r="R25" s="283"/>
      <c r="S25" s="283"/>
      <c r="T25" s="283"/>
    </row>
    <row r="26" hidden="1">
      <c r="A26" s="63" t="str">
        <f>'AI Lifecycle Risks'!C16</f>
        <v>Data Prep 2.3: Raw data criteria</v>
      </c>
      <c r="B26" s="63" t="str">
        <f>'AI Lifecycle Risks'!B16</f>
        <v>Data operations</v>
      </c>
      <c r="C26" s="63" t="str">
        <f>'AI Lifecycle Risks'!D16</f>
        <v>An attacker who understands raw data selection criteria may be able to introduce malicious input that compromises system integrity or functionality later in the model lifecycle. Exploitation of this knowledge allows the attacker to bypass established security measures and manipulate the system’s output or behavior. Implementing stringent security measures to safeguard against such manipulations is essential for maintaining the integrity and reliability of ML systems.</v>
      </c>
      <c r="D26" s="63" t="str">
        <f>'AI Lifecycle Risks'!O16</f>
        <v>• Bypass of AI System Security Measures
• Manipulation of Model Behaviour
• Regulatory non-compliance
• Loss of data integrity</v>
      </c>
      <c r="E26" s="63" t="str">
        <f>'AI Lifecycle Risks'!P16</f>
        <v>• Financial Loss
• Customer Retention
• Legal fines
• Regulatory Fines and Judgement</v>
      </c>
      <c r="F26" s="63" t="str">
        <f>'AI Lifecycle Risks'!E16</f>
        <v>DASF 1
DASF 2
DASF 3
DASF 4
DASF 43
DASF 42
DASF 67</v>
      </c>
      <c r="G26"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)"),"No,No,No,")</f>
        <v>No,No,No,</v>
      </c>
      <c r="H26" s="284" t="str">
        <f>IFERROR(__xludf.DUMMYFUNCTION("IF(ISBLANK($C$4), 
  ""Show"",
  IF(
    REGEXMATCH($G26, ""Yes""),
    ""Show"",
    ""Hide""
  )
)"),"Hide")</f>
        <v>Hide</v>
      </c>
      <c r="I26" s="283"/>
      <c r="J26" s="283"/>
      <c r="K26" s="283"/>
      <c r="L26" s="283"/>
      <c r="M26" s="283"/>
      <c r="N26" s="283"/>
      <c r="O26" s="283"/>
      <c r="P26" s="283"/>
      <c r="Q26" s="283"/>
      <c r="R26" s="283"/>
      <c r="S26" s="283"/>
      <c r="T26" s="283"/>
    </row>
    <row r="27" hidden="1">
      <c r="A27" s="63" t="str">
        <f>'AI Lifecycle Risks'!C17</f>
        <v>Data Prep 2.4: Adversarial partitions</v>
      </c>
      <c r="B27" s="63" t="str">
        <f>'AI Lifecycle Risks'!B17</f>
        <v>Data operations</v>
      </c>
      <c r="C27" s="63" t="str">
        <f>'AI Lifecycle Risks'!D17</f>
        <v>If an attacker can influence the partitioning of datasets used in training and evaluation, they can effectively exercise indirect control over the ML system by making them vulnerable to adversarial attacks, where carefully crafted inputs lead to incorrect outputs. These attacks can exploit the space partitioning capabilities of machine learning models, such as tree ensembles and neural networks, leading to misclassifications even in high-confidence scenarios. This form of “model control” can lead to biased or compromised outcomes. Therefore, it is crucial that datasets accurately reflect the intended operational reality of the ML system. Implementing stringent security measures to safeguard against such manipulations is essential for maintaining the integrity and reliability of ML systems.</v>
      </c>
      <c r="D27" s="63" t="str">
        <f>'AI Lifecycle Risks'!O17</f>
        <v>• Unauthorised Influence of Training Data Partitions
• Attacker Model Control
• Biased or Compromised AI System Outputs
• Regulatory non-compliance
• Loss of data integrity</v>
      </c>
      <c r="E27" s="63" t="str">
        <f>'AI Lifecycle Risks'!P17</f>
        <v>• Financial Loss
• Customer Retention
• Legal fines
• Regulatory Fines and Judgement</v>
      </c>
      <c r="F27" s="63" t="str">
        <f>'AI Lifecycle Risks'!E17</f>
        <v>DASF 1
DASF 2
DASF 3
DASF 4
DASF 17
DASF 42
DASF 67</v>
      </c>
      <c r="G27"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)"),"No,No,No,")</f>
        <v>No,No,No,</v>
      </c>
      <c r="H27" s="284" t="str">
        <f>IFERROR(__xludf.DUMMYFUNCTION("IF(ISBLANK($C$4), 
  ""Show"",
  IF(
    REGEXMATCH($G27, ""Yes""),
    ""Show"",
    ""Hide""
  )
)"),"Hide")</f>
        <v>Hide</v>
      </c>
      <c r="I27" s="283"/>
      <c r="J27" s="283"/>
      <c r="K27" s="283"/>
      <c r="L27" s="283"/>
      <c r="M27" s="283"/>
      <c r="N27" s="283"/>
      <c r="O27" s="283"/>
      <c r="P27" s="283"/>
      <c r="Q27" s="283"/>
      <c r="R27" s="283"/>
      <c r="S27" s="283"/>
      <c r="T27" s="283"/>
    </row>
    <row r="28">
      <c r="A28" s="63" t="str">
        <f>'AI Lifecycle Risks'!C18</f>
        <v>Datasets 3.1: Data poisoning</v>
      </c>
      <c r="B28" s="63" t="str">
        <f>'AI Lifecycle Risks'!B18</f>
        <v>Data operations</v>
      </c>
      <c r="C28" s="63" t="str">
        <f>'AI Lifecycle Risks'!D18</f>
        <v>Attackers can compromise an ML system by contaminating its training data to manipulate its output at the inference stage. All three initial components of a typical ML system — raw data, data preparation and datasets — are susceptible to poisoning attacks. Intentionally manipulated data, possibly coordinated across these components, derail the ML training process and create an unreliable model. Practitioners must assess the potential extent of training data an attacker might control internally and externally and the resultant risks.</v>
      </c>
      <c r="D28" s="63" t="str">
        <f>'AI Lifecycle Risks'!O18</f>
        <v>• Manipulation of Model Outputs or AI System Outputs
• Regulatory non-compliance
• Loss of data integrity</v>
      </c>
      <c r="E28" s="63" t="str">
        <f>'AI Lifecycle Risks'!P18</f>
        <v>• Financial Loss
• Customer Retention
• Legal fines
• Regulatory Fines and Judgement</v>
      </c>
      <c r="F28" s="63" t="str">
        <f>'AI Lifecycle Risks'!E18</f>
        <v>DASF 1
DASF 2
DASF 3
DASF 4
DASF 5
DASF 7
DASF 11
DASF 14
DASF 16
DASF 17
DASF 51
DASF 55
DASF 65
DASF 67</v>
      </c>
      <c r="G28"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28" s="284" t="str">
        <f>IFERROR(__xludf.DUMMYFUNCTION("IF(ISBLANK($C$4), 
  ""Show"",
  IF(
    REGEXMATCH($G28, ""Yes""),
    ""Show"",
    ""Hide""
  )
)"),"Show")</f>
        <v>Show</v>
      </c>
      <c r="I28" s="283"/>
      <c r="J28" s="283"/>
      <c r="K28" s="283"/>
      <c r="L28" s="283"/>
      <c r="M28" s="283"/>
      <c r="N28" s="283"/>
      <c r="O28" s="283"/>
      <c r="P28" s="283"/>
      <c r="Q28" s="283"/>
      <c r="R28" s="283"/>
      <c r="S28" s="283"/>
      <c r="T28" s="283"/>
    </row>
    <row r="29">
      <c r="A29" s="63" t="str">
        <f>'AI Lifecycle Risks'!C19</f>
        <v>Datasets 3.2: Ineffective storage and encryption</v>
      </c>
      <c r="B29" s="63" t="str">
        <f>'AI Lifecycle Risks'!B19</f>
        <v>Data operations</v>
      </c>
      <c r="C29" s="63" t="str">
        <f>'AI Lifecycle Risks'!D19</f>
        <v>Data stored and managed insecurely pose significant risks, especially for ML systems. It’s crucial to consider who has access to training datasets and the reasons behind this access. While access controls are a vital mitigation strategy, their effectiveness is limited with public data sources, where traditional security measures may not apply. Therefore, it’s essential to ask: What are the implications if an attacker gains access and control over your data sources? Understanding and preparing for this scenario is critical for safeguarding the integrity of ML systems.</v>
      </c>
      <c r="D29" s="63" t="str">
        <f>'AI Lifecycle Risks'!O19</f>
        <v>• Attacker Gaining Control of Training Data Sources
• Compromised AI System Integrity
• Data Breach
• Regulatory non-compliance
• Loss of data integrity</v>
      </c>
      <c r="E29" s="63" t="str">
        <f>'AI Lifecycle Risks'!P19</f>
        <v>• Financial Loss
• Response Costs
• Customer Retention
• Legal fines
• Regulatory Fines and Judgement</v>
      </c>
      <c r="F29" s="63" t="str">
        <f>'AI Lifecycle Risks'!E19</f>
        <v>DASF 5
DASF 8
DASF 9</v>
      </c>
      <c r="G29"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29" s="284" t="str">
        <f>IFERROR(__xludf.DUMMYFUNCTION("IF(ISBLANK($C$4), 
  ""Show"",
  IF(
    REGEXMATCH($G29, ""Yes""),
    ""Show"",
    ""Hide""
  )
)"),"Show")</f>
        <v>Show</v>
      </c>
      <c r="I29" s="283"/>
      <c r="J29" s="283"/>
      <c r="K29" s="283"/>
      <c r="L29" s="283"/>
      <c r="M29" s="283"/>
      <c r="N29" s="283"/>
      <c r="O29" s="283"/>
      <c r="P29" s="283"/>
      <c r="Q29" s="283"/>
      <c r="R29" s="283"/>
      <c r="S29" s="283"/>
      <c r="T29" s="283"/>
    </row>
    <row r="30" hidden="1">
      <c r="A30" s="63" t="str">
        <f>'AI Lifecycle Risks'!C20</f>
        <v>Datasets 3.3: Label flipping</v>
      </c>
      <c r="B30" s="63" t="str">
        <f>'AI Lifecycle Risks'!B20</f>
        <v>Data operations</v>
      </c>
      <c r="C30" s="63" t="str">
        <f>'AI Lifecycle Risks'!D20</f>
        <v>Label-flipping attacks are a distinctive type of data poisoning where the attacker manipulates the labels of a fraction of the training data. In these attacks, the attacker changes the labels of specific training points, which can mislead the ML model during training. Even with constrained capabilities, these attacks have been shown to significantly degrade the system’s performance, demonstrating their potential to compromise the accuracy and reliability of ML models.</v>
      </c>
      <c r="D30" s="63" t="str">
        <f>'AI Lifecycle Risks'!O20</f>
        <v>• Degraded AI system Performance
• Degraded AI System Reliability
• Degraded AI System Accuracy
• Regulatory non-compliance
• Loss of data integrity</v>
      </c>
      <c r="E30" s="63" t="str">
        <f>'AI Lifecycle Risks'!P20</f>
        <v>• Financial Loss
• Customer Retention
• Legal fines
• Regulatory Fines and Judgement
• Business Interruption Costs</v>
      </c>
      <c r="F30" s="63" t="str">
        <f>'AI Lifecycle Risks'!E20</f>
        <v>DASF 5
DASF 8
DASF 9</v>
      </c>
      <c r="G30"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)"),"No,No,No,")</f>
        <v>No,No,No,</v>
      </c>
      <c r="H30" s="284" t="str">
        <f>IFERROR(__xludf.DUMMYFUNCTION("IF(ISBLANK($C$4), 
  ""Show"",
  IF(
    REGEXMATCH($G30, ""Yes""),
    ""Show"",
    ""Hide""
  )
)"),"Hide")</f>
        <v>Hide</v>
      </c>
      <c r="I30" s="283"/>
      <c r="J30" s="283"/>
      <c r="K30" s="283"/>
      <c r="L30" s="283"/>
      <c r="M30" s="283"/>
      <c r="N30" s="283"/>
      <c r="O30" s="283"/>
      <c r="P30" s="283"/>
      <c r="Q30" s="283"/>
      <c r="R30" s="283"/>
      <c r="S30" s="283"/>
      <c r="T30" s="283"/>
    </row>
    <row r="31">
      <c r="A31" s="63" t="str">
        <f>'AI Lifecycle Risks'!C21</f>
        <v>Governance 4.1: Lack of traceability and transparency of model assets</v>
      </c>
      <c r="B31" s="63" t="str">
        <f>'AI Lifecycle Risks'!B21</f>
        <v>Data operations</v>
      </c>
      <c r="C31" s="63" t="str">
        <f>'AI Lifecycle Risks'!D21</f>
        <v>The absence of traceability in data, model assets and models and the lack of accountable human oversight pose significant risks in machine learning systems. This lack of traceability can:
Undermine the supportability and adoption of these systems, as it hampers the ability to maintain and update them effectively 
Impact trust and transparency, which are essential for users to understand and rely on the system’s decisions
Limit the organization’s ability to meet regulatory, compliance and legal obligations, as these often require clear documentation and tracking of data and model-related processes</v>
      </c>
      <c r="D31" s="63" t="str">
        <f>'AI Lifecycle Risks'!O21</f>
        <v>• Loss of Model Supportability
• Loss of AI System Adoption
• Limited Ability to Meet Regulatory Compliance
• Regulatory non-compliance
• Loss of data integrity</v>
      </c>
      <c r="E31" s="63" t="str">
        <f>'AI Lifecycle Risks'!P21</f>
        <v>• Financial Loss
• Customer Retention
• Regulatory Fines and Judgement</v>
      </c>
      <c r="F31" s="63" t="str">
        <f>'AI Lifecycle Risks'!E21</f>
        <v>DASF 5
DASF 7
DASF 11
DASF 16
DASF 17
DASF 18
DASF 55
DASF 65</v>
      </c>
      <c r="G31"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31" s="284" t="str">
        <f>IFERROR(__xludf.DUMMYFUNCTION("IF(ISBLANK($C$4), 
  ""Show"",
  IF(
    REGEXMATCH($G31, ""Yes""),
    ""Show"",
    ""Hide""
  )
)"),"Show")</f>
        <v>Show</v>
      </c>
      <c r="I31" s="283"/>
      <c r="J31" s="283"/>
      <c r="K31" s="283"/>
      <c r="L31" s="283"/>
      <c r="M31" s="283"/>
      <c r="N31" s="283"/>
      <c r="O31" s="283"/>
      <c r="P31" s="283"/>
      <c r="Q31" s="283"/>
      <c r="R31" s="283"/>
      <c r="S31" s="283"/>
      <c r="T31" s="283"/>
    </row>
    <row r="32">
      <c r="A32" s="63" t="str">
        <f>'AI Lifecycle Risks'!C22</f>
        <v>Governance 4.2: Lack of end-to-end ML lifecycle</v>
      </c>
      <c r="B32" s="63" t="str">
        <f>'AI Lifecycle Risks'!B22</f>
        <v>Data operations</v>
      </c>
      <c r="C32" s="63" t="str">
        <f>'AI Lifecycle Risks'!D22</f>
        <v>Continuously measure, track and analyze key metrics, such as performance, accuracy and user engagement, to ensure the AI system’s reliability. Demonstrating consistent performance builds trustworthiness among users, customers and regulators.</v>
      </c>
      <c r="D32" s="63" t="str">
        <f>'AI Lifecycle Risks'!O22</f>
        <v>• Inability to Demonstrate Performance
• Inability to Demonstrate Trustworthiness
• Regulatory non-compliance</v>
      </c>
      <c r="E32" s="63" t="str">
        <f>'AI Lifecycle Risks'!P22</f>
        <v>• Financial Loss
• Customer Retention
• Regulatory Fines and Judgement</v>
      </c>
      <c r="F32" s="63" t="str">
        <f>'AI Lifecycle Risks'!E22</f>
        <v>DASF 19
DASF 21
DASF 42</v>
      </c>
      <c r="G32"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)"),"Yes,Yes,Yes,")</f>
        <v>Yes,Yes,Yes,</v>
      </c>
      <c r="H32" s="284" t="str">
        <f>IFERROR(__xludf.DUMMYFUNCTION("IF(ISBLANK($C$4), 
  ""Show"",
  IF(
    REGEXMATCH($G32, ""Yes""),
    ""Show"",
    ""Hide""
  )
)"),"Show")</f>
        <v>Show</v>
      </c>
      <c r="I32" s="283"/>
      <c r="J32" s="283"/>
      <c r="K32" s="283"/>
      <c r="L32" s="283"/>
      <c r="M32" s="283"/>
      <c r="N32" s="283"/>
      <c r="O32" s="283"/>
      <c r="P32" s="283"/>
      <c r="Q32" s="283"/>
      <c r="R32" s="283"/>
      <c r="S32" s="283"/>
      <c r="T32" s="283"/>
    </row>
    <row r="33" hidden="1">
      <c r="A33" s="63" t="str">
        <f>'AI Lifecycle Risks'!C23</f>
        <v>Algorithms 5.1: Lack of tracking and reproducibility of experiments</v>
      </c>
      <c r="B33" s="63" t="str">
        <f>'AI Lifecycle Risks'!B23</f>
        <v>Model operations</v>
      </c>
      <c r="C33" s="63" t="str">
        <f>'AI Lifecycle Risks'!D23</f>
        <v>ML development is often poorly documented and tracked, and results that cannot be reproduced may lead to overconfidence in an ML system’s performance. Common issues include: 
Critical details missing from a model’s description 
Results that are fragile, producing dramatically different results on a different GPU (even one that is supposed to be spec-identical) 
Extensive tweaks to the authors’ system until it outperforms the untweaked “baseline,” resulting in asserted improvements that aren’t borne out in practice (particularly common in academic work)
Additionally, adversaries may gain initial access to a system by compromising the unique portions of the ML supply chain. This could include the model itself, training data or its annotations, parts of the ML software stack, or even GPU hardware. In some instances, the attacker will need secondary access to fully carry out an attack using compromised supply chain components.</v>
      </c>
      <c r="D33" s="63" t="str">
        <f>'AI Lifecycle Risks'!O23</f>
        <v>• Overconfidence in ML Systems
• Fragile and Differening Results when ML Systems are run on different GPU Hardware
• Regulatory non-compliance</v>
      </c>
      <c r="E33" s="63" t="str">
        <f>'AI Lifecycle Risks'!P23</f>
        <v>• Financial Loss
• Response Costs
• Customer Retention
• Regulatory Fines and Judgement</v>
      </c>
      <c r="F33" s="63" t="str">
        <f>'AI Lifecycle Risks'!E23</f>
        <v>DASF 20
DASF 42
DASF 55
</v>
      </c>
      <c r="G33"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)"),"No,No,No,")</f>
        <v>No,No,No,</v>
      </c>
      <c r="H33" s="284" t="str">
        <f>IFERROR(__xludf.DUMMYFUNCTION("IF(ISBLANK($C$4), 
  ""Show"",
  IF(
    REGEXMATCH($G33, ""Yes""),
    ""Show"",
    ""Hide""
  )
)"),"Hide")</f>
        <v>Hide</v>
      </c>
      <c r="I33" s="283"/>
      <c r="J33" s="283"/>
      <c r="K33" s="283"/>
      <c r="L33" s="283"/>
      <c r="M33" s="283"/>
      <c r="N33" s="283"/>
      <c r="O33" s="283"/>
      <c r="P33" s="283"/>
      <c r="Q33" s="283"/>
      <c r="R33" s="283"/>
      <c r="S33" s="283"/>
      <c r="T33" s="283"/>
    </row>
    <row r="34">
      <c r="A34" s="63" t="str">
        <f>'AI Lifecycle Risks'!C24</f>
        <v>Algorithms 5.2: Model drift</v>
      </c>
      <c r="B34" s="63" t="str">
        <f>'AI Lifecycle Risks'!B24</f>
        <v>Model operations</v>
      </c>
      <c r="C34" s="63" t="str">
        <f>'AI Lifecycle Risks'!D24</f>
        <v>Model drift in machine learning systems can occur due to changes in feature data or target dependencies. This drift can be broadly classified into three scenarios:
Concept drift: where the statistical properties of the target variable change over time
Data drift: involving changes in the distribution of input data
Upstream data changes: occur due to alterations in data collection or processing methods before the data reaches the model
Clever attackers can exploit these scenarios to evade an ML system for adversarial purposes.</v>
      </c>
      <c r="D34" s="63" t="str">
        <f>'AI Lifecycle Risks'!O24</f>
        <v>• Inconsistent or Unexpected Model Predictions
• Poor Performance and Reliability of Predictions
• Erosion of Customer Trust
• Adversarial Data Drift
• Regulatory non-compliance</v>
      </c>
      <c r="E34" s="63" t="str">
        <f>'AI Lifecycle Risks'!P24</f>
        <v>• Financial Loss
• Response Costs
• Customer Retention
• Regulatory Fines and Judgement</v>
      </c>
      <c r="F34" s="63" t="str">
        <f>'AI Lifecycle Risks'!E24</f>
        <v>DASF 16
DASF 17
DASF 21
DASF 65</v>
      </c>
      <c r="G34"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34" s="284" t="str">
        <f>IFERROR(__xludf.DUMMYFUNCTION("IF(ISBLANK($C$4), 
  ""Show"",
  IF(
    REGEXMATCH($G34, ""Yes""),
    ""Show"",
    ""Hide""
  )
)"),"Show")</f>
        <v>Show</v>
      </c>
      <c r="I34" s="283"/>
      <c r="J34" s="283"/>
      <c r="K34" s="283"/>
      <c r="L34" s="283"/>
      <c r="M34" s="283"/>
      <c r="N34" s="283"/>
      <c r="O34" s="283"/>
      <c r="P34" s="283"/>
      <c r="Q34" s="283"/>
      <c r="R34" s="283"/>
      <c r="S34" s="283"/>
      <c r="T34" s="283"/>
    </row>
    <row r="35">
      <c r="A35" s="63" t="str">
        <f>'AI Lifecycle Risks'!C25</f>
        <v>Algorithms 5.3: Hyperparameters stealing</v>
      </c>
      <c r="B35" s="63" t="str">
        <f>'AI Lifecycle Risks'!B25</f>
        <v>Model operations</v>
      </c>
      <c r="C35" s="63" t="str">
        <f>'AI Lifecycle Risks'!D25</f>
        <v>Hyperparameters in machine learning are often deemed confidential due to their commercial value and role in proprietary learning processes. If attackers gain access to these hyperparameters, they may steal or manipulate them — altering, concealing or even adding hyperparameters. Such unauthorized interventions can harm the ML system, compromising performance and reliability or revealing sensitive algorithmic strategies.</v>
      </c>
      <c r="D35" s="63" t="str">
        <f>'AI Lifecycle Risks'!O25</f>
        <v>• Breach of Confidential Proprietary Information or Trade Secrets
• Failure to Achieve Organizational AI Strategy and Goals</v>
      </c>
      <c r="E35" s="63" t="str">
        <f>'AI Lifecycle Risks'!P25</f>
        <v>• Financial Loss
• Response Costs
• Loss of Competitive Advantage
• Proprietary Data Loss Liability</v>
      </c>
      <c r="F35" s="63" t="str">
        <f>'AI Lifecycle Risks'!E25</f>
        <v>DASF 20
DASF 42
DASF 43</v>
      </c>
      <c r="G35"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35" s="284" t="str">
        <f>IFERROR(__xludf.DUMMYFUNCTION("IF(ISBLANK($C$4), 
  ""Show"",
  IF(
    REGEXMATCH($G35, ""Yes""),
    ""Show"",
    ""Hide""
  )
)"),"Show")</f>
        <v>Show</v>
      </c>
      <c r="I35" s="283"/>
      <c r="J35" s="283"/>
      <c r="K35" s="283"/>
      <c r="L35" s="283"/>
      <c r="M35" s="283"/>
      <c r="N35" s="283"/>
      <c r="O35" s="283"/>
      <c r="P35" s="283"/>
      <c r="Q35" s="283"/>
      <c r="R35" s="283"/>
      <c r="S35" s="283"/>
      <c r="T35" s="283"/>
    </row>
    <row r="36">
      <c r="A36" s="63" t="str">
        <f>'AI Lifecycle Risks'!C26</f>
        <v>Algorithms 5.4: Malicious libraries</v>
      </c>
      <c r="B36" s="63" t="str">
        <f>'AI Lifecycle Risks'!B26</f>
        <v>Model operations</v>
      </c>
      <c r="C36" s="63" t="str">
        <f>'AI Lifecycle Risks'!D26</f>
        <v>Attackers can upload malicious libraries to public repositories that have the potential to compromise systems, data and models. Administrators should manage and restrict the installation and usage of third-party libraries, safeguarding systems, pipelines and data. This risk may also manifest in 2.2 Data Prep in exploratory data analysis (EDA).</v>
      </c>
      <c r="D36" s="63" t="str">
        <f>'AI Lifecycle Risks'!O26</f>
        <v>• Supply Chain Attack
• Cyber Security Incident
• Loss of AI System Availability
• Regulatory Non-compliance</v>
      </c>
      <c r="E36" s="63" t="str">
        <f>'AI Lifecycle Risks'!P26</f>
        <v>• Financial Loss
• Legal Fines
• Response Costs
• Customer Retention
• Regulatory Fines and Judgement</v>
      </c>
      <c r="F36" s="63" t="str">
        <f>'AI Lifecycle Risks'!E26</f>
        <v>DASF 53</v>
      </c>
      <c r="G36"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36" s="284" t="str">
        <f>IFERROR(__xludf.DUMMYFUNCTION("IF(ISBLANK($C$4), 
  ""Show"",
  IF(
    REGEXMATCH($G36, ""Yes""),
    ""Show"",
    ""Hide""
  )
)"),"Show")</f>
        <v>Show</v>
      </c>
      <c r="I36" s="283"/>
      <c r="J36" s="283"/>
      <c r="K36" s="283"/>
      <c r="L36" s="283"/>
      <c r="M36" s="283"/>
      <c r="N36" s="283"/>
      <c r="O36" s="283"/>
      <c r="P36" s="283"/>
      <c r="Q36" s="283"/>
      <c r="R36" s="283"/>
      <c r="S36" s="283"/>
      <c r="T36" s="283"/>
    </row>
    <row r="37">
      <c r="A37" s="63" t="str">
        <f>'AI Lifecycle Risks'!C27</f>
        <v>Evaluation 6.1: Evaluation data poisoning</v>
      </c>
      <c r="B37" s="63" t="str">
        <f>'AI Lifecycle Risks'!B27</f>
        <v>Model operations</v>
      </c>
      <c r="C37" s="63" t="str">
        <f>'AI Lifecycle Risks'!D27</f>
        <v>Upstream attacks against data, where the data is tampered with before it is used for machine learning, significantly complicate the training and evaluation of ML models. Poisoning of the evaluation data impacts the model validation and testing process. These attacks can corrupt or alter the data in a way that skews the training process, leading to unreliable models.</v>
      </c>
      <c r="D37" s="63" t="str">
        <f>'AI Lifecycle Risks'!O27</f>
        <v>• Unreliable Model Training Processes and Outcomes
• Loss of AI System Integrity
• Failure to Achieve Organizational AI Strategy and Goals</v>
      </c>
      <c r="E37" s="63" t="str">
        <f>'AI Lifecycle Risks'!P27</f>
        <v>• Financial Loss
• Response Costs
• Model Retraining Costs</v>
      </c>
      <c r="F37" s="63" t="str">
        <f>'AI Lifecycle Risks'!E27</f>
        <v>DASF 1
DASF 2
DASF 3
DASF 4
DASF 5
DASF 7
DASF 11
DASF 42
DASF 44
DASF 45
DASF 49
DASF 67</v>
      </c>
      <c r="G37"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37" s="284" t="str">
        <f>IFERROR(__xludf.DUMMYFUNCTION("IF(ISBLANK($C$4), 
  ""Show"",
  IF(
    REGEXMATCH($G37, ""Yes""),
    ""Show"",
    ""Hide""
  )
)"),"Show")</f>
        <v>Show</v>
      </c>
      <c r="I37" s="283"/>
      <c r="J37" s="283"/>
      <c r="K37" s="283"/>
      <c r="L37" s="283"/>
      <c r="M37" s="283"/>
      <c r="N37" s="283"/>
      <c r="O37" s="283"/>
      <c r="P37" s="283"/>
      <c r="Q37" s="283"/>
      <c r="R37" s="283"/>
      <c r="S37" s="283"/>
      <c r="T37" s="283"/>
    </row>
    <row r="38">
      <c r="A38" s="63" t="str">
        <f>'AI Lifecycle Risks'!C28</f>
        <v>Evaluation 6.2: Insufficient evaluation data</v>
      </c>
      <c r="B38" s="63" t="str">
        <f>'AI Lifecycle Risks'!B28</f>
        <v>Model operations</v>
      </c>
      <c r="C38" s="63" t="str">
        <f>'AI Lifecycle Risks'!D28</f>
        <v>Evaluation datasets can also be too small or too similar to the training data to be useful. Poor evaluation data can lead to biases, hallucinations and toxic output. It is difficult to effectively evaluate large language models (LLMs), as these models rarely have an objective ground truth labeled. Consequently, organizations frequently struggle to determine the trustworthiness of these models in critical, unsupervised use cases, given the uncertainties in their evaluation.</v>
      </c>
      <c r="D38" s="63" t="str">
        <f>'AI Lifecycle Risks'!O28</f>
        <v>• Reduced Organisation Trust in Model Effectiveness and Performance
• Introduced Biases
• Introduced Hallucinations
• Introduced Toxic Outputs
• Regulatory Non-compliance
• Failure to Achieve Organizational AI Strategy and Goals</v>
      </c>
      <c r="E38" s="63" t="str">
        <f>'AI Lifecycle Risks'!P28</f>
        <v>• Financial Loss
• Legal Fines
• Customer Retention
• Regulatory Fines and Judgement</v>
      </c>
      <c r="F38" s="63" t="str">
        <f>'AI Lifecycle Risks'!E28</f>
        <v>DASF 22
DASF 25
DASF 47
DASF 45</v>
      </c>
      <c r="G38"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)"),"No,Yes,Yes,")</f>
        <v>No,Yes,Yes,</v>
      </c>
      <c r="H38" s="284" t="str">
        <f>IFERROR(__xludf.DUMMYFUNCTION("IF(ISBLANK($C$4), 
  ""Show"",
  IF(
    REGEXMATCH($G38, ""Yes""),
    ""Show"",
    ""Hide""
  )
)"),"Show")</f>
        <v>Show</v>
      </c>
      <c r="I38" s="283"/>
      <c r="J38" s="283"/>
      <c r="K38" s="283"/>
      <c r="L38" s="283"/>
      <c r="M38" s="283"/>
      <c r="N38" s="283"/>
      <c r="O38" s="283"/>
      <c r="P38" s="283"/>
      <c r="Q38" s="283"/>
      <c r="R38" s="283"/>
      <c r="S38" s="283"/>
      <c r="T38" s="283"/>
    </row>
    <row r="39">
      <c r="A39" s="63" t="str">
        <f>'AI Lifecycle Risks'!C29</f>
        <v>Evaluation 6.3: Lack of Interpretability and Explainability</v>
      </c>
      <c r="B39" s="63" t="str">
        <f>'AI Lifecycle Risks'!B29</f>
        <v>Model operations</v>
      </c>
      <c r="C39" s="63" t="str">
        <f>'AI Lifecycle Risks'!D29</f>
        <v>A lack of interpretability and explainability poses a unique challenge due to the scale and complexity of frontier or GenAI LLMs. The degree to which we can understand the internal workings of a model and trace its decision-making process refers to interpretability. The ability to provide a human-understandable explanation of a model's outputs or decision-making process refers to explainability. Both interpretability and explainability are required to develop trustworthiness in AI systems and are also required to assist with understanding and mitigating security risks such as Prompt Injection, Model Inversion, Misuse, Data Breach, Data Poisoning, Adversarial Attacks, Security Auditing and Regulatory Compliance.
References: 
Mechanistic Interpretability for AI Safety -- A Review
Toward Transparent AI: A Survey on Interpreting the Inner Structures of Deep Neural Networks</v>
      </c>
      <c r="D39" s="63" t="str">
        <f>'AI Lifecycle Risks'!O29</f>
        <v>• Lack of Reasoning for Model Outputs and Decisions
• Compromise of AI Systems
• Subsequent Downstream System Impact or Compromise</v>
      </c>
      <c r="E39" s="63" t="str">
        <f>'AI Lifecycle Risks'!P29</f>
        <v>• Regulatory Non-compliance
• Legal Fines
• Response Costs
• Customer Retention</v>
      </c>
      <c r="F39" s="63" t="str">
        <f>'AI Lifecycle Risks'!E29</f>
        <v>DASF 35
DASF 37
DASF 42
DASF 45
DASF 65</v>
      </c>
      <c r="G39"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)"),"Yes,Yes,Yes,")</f>
        <v>Yes,Yes,Yes,</v>
      </c>
      <c r="H39" s="284" t="str">
        <f>IFERROR(__xludf.DUMMYFUNCTION("IF(ISBLANK($C$4), 
  ""Show"",
  IF(
    REGEXMATCH($G39, ""Yes""),
    ""Show"",
    ""Hide""
  )
)"),"Show")</f>
        <v>Show</v>
      </c>
      <c r="I39" s="283"/>
      <c r="J39" s="283"/>
      <c r="K39" s="283"/>
      <c r="L39" s="283"/>
      <c r="M39" s="283"/>
      <c r="N39" s="283"/>
      <c r="O39" s="283"/>
      <c r="P39" s="283"/>
      <c r="Q39" s="283"/>
      <c r="R39" s="283"/>
      <c r="S39" s="283"/>
      <c r="T39" s="283"/>
    </row>
    <row r="40">
      <c r="A40" s="63" t="str">
        <f>'AI Lifecycle Risks'!C30</f>
        <v>Model 7.1: Backdoor machine learning / Trojaned model</v>
      </c>
      <c r="B40" s="63" t="str">
        <f>'AI Lifecycle Risks'!B30</f>
        <v>Model operations</v>
      </c>
      <c r="C40" s="63" t="str">
        <f>'AI Lifecycle Risks'!D30</f>
        <v>There are inherent risks when using public ML/LLM models or outsourcing their training, akin to the dangers associated with executable (.exe) files. A malicious third party handling the training process could tamper with the data or deliver a “Trojan model” that intentionally misclassifies specific inputs. Additionally, open source models may contain hidden malicious code that can exfiltrate sensitive data upon deployment. These risks are pertinent in both external models and outsourced model development scenarios, necessitating scrutiny and verification of models before use.</v>
      </c>
      <c r="D40" s="63" t="str">
        <f>'AI Lifecycle Risks'!O30</f>
        <v>• Unknown Compromises within AI System Models
• Uncontrolled AI System Models
• Hidden Malicious Code within AI System Models
• Breach of Sensitive Information
• Regulatory Non-compliance
• Failure to Achieve Organizational AI Strategy and Goals</v>
      </c>
      <c r="E40" s="63" t="str">
        <f>'AI Lifecycle Risks'!P30</f>
        <v>• Financial Loss
• Legal Fines
• Response Costs
• Customer Retention
• Regulatory Fines and Judgement</v>
      </c>
      <c r="F40" s="63" t="str">
        <f>'AI Lifecycle Risks'!E30</f>
        <v>DASF 1
DASF 5
DASF 19
DASF 23
DASF 34
DASF 42
DASF 43
DASF 55
DASF 56
DASF 67</v>
      </c>
      <c r="G40"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)"),"No,No,Yes,")</f>
        <v>No,No,Yes,</v>
      </c>
      <c r="H40" s="284" t="str">
        <f>IFERROR(__xludf.DUMMYFUNCTION("IF(ISBLANK($C$4), 
  ""Show"",
  IF(
    REGEXMATCH($G40, ""Yes""),
    ""Show"",
    ""Hide""
  )
)"),"Show")</f>
        <v>Show</v>
      </c>
      <c r="I40" s="283"/>
      <c r="J40" s="283"/>
      <c r="K40" s="283"/>
      <c r="L40" s="283"/>
      <c r="M40" s="283"/>
      <c r="N40" s="283"/>
      <c r="O40" s="283"/>
      <c r="P40" s="283"/>
      <c r="Q40" s="283"/>
      <c r="R40" s="283"/>
      <c r="S40" s="283"/>
      <c r="T40" s="283"/>
    </row>
    <row r="41">
      <c r="A41" s="63" t="str">
        <f>'AI Lifecycle Risks'!C31</f>
        <v>Model 7.2: Model assets leak</v>
      </c>
      <c r="B41" s="63" t="str">
        <f>'AI Lifecycle Risks'!B31</f>
        <v>Model operations</v>
      </c>
      <c r="C41" s="63" t="str">
        <f>'AI Lifecycle Risks'!D31</f>
        <v>Adversaries may target ML artifacts for exfiltration or as a basis for staging ML attacks. These artifacts encompass models, datasets and metadata generated during interactions with a model. Additionally, insiders risk leaking critical model assets like notebooks, features, model files, plots and metrics. Such leaks can expose trade secrets and sensitive organizational information, underlining the need for stringent security measures to protect these valuable assets.</v>
      </c>
      <c r="D41" s="63" t="str">
        <f>'AI Lifecycle Risks'!O31</f>
        <v>• Subsequence Compromise of AI Systems
• Regulatory Non-compliance
• Failure to Achieve Organizational AI Strategy and Goals</v>
      </c>
      <c r="E41" s="63" t="str">
        <f>'AI Lifecycle Risks'!P31</f>
        <v>• Financial Loss
• Legal Fines
• Customer Retention
• Regulatory Fines and Judgement</v>
      </c>
      <c r="F41" s="63" t="str">
        <f>'AI Lifecycle Risks'!E31</f>
        <v>DASF 1
DASF 2
DASF 3
DASF 4
DASF 5
DASF 24
DASF 33
DASF 42
DASF 55
DASF 67</v>
      </c>
      <c r="G41"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41" s="284" t="str">
        <f>IFERROR(__xludf.DUMMYFUNCTION("IF(ISBLANK($C$4), 
  ""Show"",
  IF(
    REGEXMATCH($G41, ""Yes""),
    ""Show"",
    ""Hide""
  )
)"),"Show")</f>
        <v>Show</v>
      </c>
      <c r="I41" s="283"/>
      <c r="J41" s="283"/>
      <c r="K41" s="283"/>
      <c r="L41" s="283"/>
      <c r="M41" s="283"/>
      <c r="N41" s="283"/>
      <c r="O41" s="283"/>
      <c r="P41" s="283"/>
      <c r="Q41" s="283"/>
      <c r="R41" s="283"/>
      <c r="S41" s="283"/>
      <c r="T41" s="283"/>
    </row>
    <row r="42">
      <c r="A42" s="63" t="str">
        <f>'AI Lifecycle Risks'!C32</f>
        <v>Model 7.3: ML Supply chain vulnerabilities</v>
      </c>
      <c r="B42" s="63" t="str">
        <f>'AI Lifecycle Risks'!B32</f>
        <v>Model operations</v>
      </c>
      <c r="C42" s="63" t="str">
        <f>'AI Lifecycle Risks'!D32</f>
        <v>Due to the extensive data, skills and computational resources required to train machine learning algorithms, it’s common practice to reuse and slightly modify models developed by large corporations. For example, ResNet, a popular image recognition model from Microsoft, is often adapted for customer-specific tasks. These models are curated in a Model Zoo (Caffe hosts popular image recognition models) or hosted by third-party ML SaaS (OpenAI LLMs are an example). In this attack, the adversary attacks the models hosted in Caffe, thereby poisoning the well for anyone else. Adversaries can also host specialized models that will receive less scrutiny, akin to watering hole attacks.</v>
      </c>
      <c r="D42" s="63" t="str">
        <f>'AI Lifecycle Risks'!O32</f>
        <v>• Compromise of AI System
• Uncontrolled AI System Models
• Regulatory Non-compliance
• Failure to Achieve Organizational AI Strategy and Goals</v>
      </c>
      <c r="E42" s="63" t="str">
        <f>'AI Lifecycle Risks'!P32</f>
        <v>• Financial Loss
• Response Costs
• Legal Fines
• Customer Retention
• Regulatory Fines and Judgement</v>
      </c>
      <c r="F42" s="63" t="str">
        <f>'AI Lifecycle Risks'!E32</f>
        <v>DASF 22
DASF 27
DASF 42
DASF 45
DASF 48
DASF 53
DASF 56</v>
      </c>
      <c r="G42"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)"),"No,Yes,Yes,")</f>
        <v>No,Yes,Yes,</v>
      </c>
      <c r="H42" s="284" t="str">
        <f>IFERROR(__xludf.DUMMYFUNCTION("IF(ISBLANK($C$4), 
  ""Show"",
  IF(
    REGEXMATCH($G42, ""Yes""),
    ""Show"",
    ""Hide""
  )
)"),"Show")</f>
        <v>Show</v>
      </c>
      <c r="I42" s="283"/>
      <c r="J42" s="283"/>
      <c r="K42" s="283"/>
      <c r="L42" s="283"/>
      <c r="M42" s="283"/>
      <c r="N42" s="283"/>
      <c r="O42" s="283"/>
      <c r="P42" s="283"/>
      <c r="Q42" s="283"/>
      <c r="R42" s="283"/>
      <c r="S42" s="283"/>
      <c r="T42" s="283"/>
    </row>
    <row r="43">
      <c r="A43" s="63" t="str">
        <f>'AI Lifecycle Risks'!C33</f>
        <v>Model 7.4: Source code control attack</v>
      </c>
      <c r="B43" s="63" t="str">
        <f>'AI Lifecycle Risks'!B33</f>
        <v>Model operations</v>
      </c>
      <c r="C43" s="63" t="str">
        <f>'AI Lifecycle Risks'!D33</f>
        <v>The attacker might modify the source code used in the ML algorithm, such as the random number generator or any third-party libraries, which are often open source.</v>
      </c>
      <c r="D43" s="63" t="str">
        <f>'AI Lifecycle Risks'!O33</f>
        <v>• Subsequence Compromise of AI Systems
• Loss of AI System Integrity
• Reduced Organisation Trust in Model Effectiveness and Performance
• Regulatory Non-compliance
• Failure to Achieve Organizational AI Strategy and Goals</v>
      </c>
      <c r="E43" s="63" t="str">
        <f>'AI Lifecycle Risks'!P33</f>
        <v>• Financial Loss
• Legal Fines
• Customer Retention
• Regulatory Fines and Judgement</v>
      </c>
      <c r="F43" s="63" t="str">
        <f>'AI Lifecycle Risks'!E33</f>
        <v>DASF 52
DASF 53
DASF 56</v>
      </c>
      <c r="G43"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43" s="284" t="str">
        <f>IFERROR(__xludf.DUMMYFUNCTION("IF(ISBLANK($C$4), 
  ""Show"",
  IF(
    REGEXMATCH($G43, ""Yes""),
    ""Show"",
    ""Hide""
  )
)"),"Show")</f>
        <v>Show</v>
      </c>
      <c r="I43" s="283"/>
      <c r="J43" s="283"/>
      <c r="K43" s="283"/>
      <c r="L43" s="283"/>
      <c r="M43" s="283"/>
      <c r="N43" s="283"/>
      <c r="O43" s="283"/>
      <c r="P43" s="283"/>
      <c r="Q43" s="283"/>
      <c r="R43" s="283"/>
      <c r="S43" s="283"/>
      <c r="T43" s="283"/>
    </row>
    <row r="44">
      <c r="A44" s="63" t="str">
        <f>'AI Lifecycle Risks'!C34</f>
        <v>Model Management 8.1: Model attribution</v>
      </c>
      <c r="B44" s="312" t="str">
        <f>'AI Lifecycle Risks'!B34</f>
        <v>Model operations</v>
      </c>
      <c r="C44" s="63" t="str">
        <f>'AI Lifecycle Risks'!D34</f>
        <v>Inadequate governance in machine learning, including a lack of robust access controls, unclear model classification and insufficient documentation, can lead to the improper use or sharing of models. This risk is particularly acute when transferring models outside their designed purpose. To mitigate these risks, groups that post models must provide precise descriptions of their intended use and document how they address potential risks.</v>
      </c>
      <c r="D44" s="63" t="str">
        <f>'AI Lifecycle Risks'!O34</f>
        <v>• Unauthorised Sharing of Models
• Unintended Use of Models
• Inappropriate Use of Models
• Regulatory Non-compliance</v>
      </c>
      <c r="E44" s="63" t="str">
        <f>'AI Lifecycle Risks'!P34</f>
        <v>• Financial Loss
• Legal Fines
• Customer Retention
• Regulatory Fines and Judgement</v>
      </c>
      <c r="F44" s="63" t="str">
        <f>'AI Lifecycle Risks'!E34</f>
        <v>DASF 5
DASF 28
DASF 29
DASF 51</v>
      </c>
      <c r="G44"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)"),"No,Yes,Yes,")</f>
        <v>No,Yes,Yes,</v>
      </c>
      <c r="H44" s="284" t="str">
        <f>IFERROR(__xludf.DUMMYFUNCTION("IF(ISBLANK($C$4), 
  ""Show"",
  IF(
    REGEXMATCH($G44, ""Yes""),
    ""Show"",
    ""Hide""
  )
)"),"Show")</f>
        <v>Show</v>
      </c>
      <c r="I44" s="283"/>
      <c r="J44" s="283"/>
      <c r="K44" s="283"/>
      <c r="L44" s="283"/>
      <c r="M44" s="283"/>
      <c r="N44" s="283"/>
      <c r="O44" s="283"/>
      <c r="P44" s="283"/>
      <c r="Q44" s="283"/>
      <c r="R44" s="283"/>
      <c r="S44" s="283"/>
      <c r="T44" s="283"/>
    </row>
    <row r="45">
      <c r="A45" s="63" t="str">
        <f>'AI Lifecycle Risks'!C35</f>
        <v>Model Management 8.2: Model theft</v>
      </c>
      <c r="B45" s="312" t="str">
        <f>'AI Lifecycle Risks'!B35</f>
        <v>Model operations</v>
      </c>
      <c r="C45" s="63" t="str">
        <f>'AI Lifecycle Risks'!D35</f>
        <v>Training machine learning systems, particularly large language models, involves considerable investment. A significant risk is the potential theft of a system’s knowledge through direct observation of their input and output observations, akin to reverse engineering. This can lead to unauthorized access, copying or exfiltration of proprietary models, resulting in economic losses, eroded competitive advantage and exposure of sensitive information.
This attack can be as simple as attackers making legitimate queries and analyzing the responses to recreate a model. Once replicated, the model can be inverted, enabling the attackers to extract feature information or infer details about the training data.</v>
      </c>
      <c r="D45" s="63" t="str">
        <f>'AI Lifecycle Risks'!O35</f>
        <v>• Breach of Confidential Proprietary Information or Trade Secrets
• Failure to Achieve Organizational AI Strategy and Goals</v>
      </c>
      <c r="E45" s="63" t="str">
        <f>'AI Lifecycle Risks'!P35</f>
        <v>• Financial Loss
• Response Costs
• Loss of Competitive Advantage</v>
      </c>
      <c r="F45" s="63" t="str">
        <f>'AI Lifecycle Risks'!E35</f>
        <v>DASF 1
DASF 2
DASF 3
DASF 4
DASF 5
DASF 24
DASF 30
DASF 31
DASF 51
DASF 32
DASF 33
DASF 59
DASF 55
DASF 67</v>
      </c>
      <c r="G45"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45" s="284" t="str">
        <f>IFERROR(__xludf.DUMMYFUNCTION("IF(ISBLANK($C$4), 
  ""Show"",
  IF(
    REGEXMATCH($G45, ""Yes""),
    ""Show"",
    ""Hide""
  )
)"),"Show")</f>
        <v>Show</v>
      </c>
      <c r="I45" s="283"/>
      <c r="J45" s="283"/>
      <c r="K45" s="283"/>
      <c r="L45" s="283"/>
      <c r="M45" s="283"/>
      <c r="N45" s="283"/>
      <c r="O45" s="283"/>
      <c r="P45" s="283"/>
      <c r="Q45" s="283"/>
      <c r="R45" s="283"/>
      <c r="S45" s="283"/>
      <c r="T45" s="283"/>
    </row>
    <row r="46">
      <c r="A46" s="63" t="str">
        <f>'AI Lifecycle Risks'!C36</f>
        <v>Model Management 8.3: Model lifecycle without HITL (human-in-the-loop)</v>
      </c>
      <c r="B46" s="312" t="str">
        <f>'AI Lifecycle Risks'!B36</f>
        <v>Model operations</v>
      </c>
      <c r="C46" s="63" t="str">
        <f>'AI Lifecycle Risks'!D36</f>
        <v>Lack of sufficient controls in a machine learning and systems development lifecycle can result in the unintended deployment of incorrect or unapproved models to production. Implementing model lifecycle tracking within an MLOps framework is advisable to mitigate this risk. This approach should include human oversight, ensuring permissions, version control and proper approvals are in place before models are promoted to production. Such measures are crucial for maintaining ML system integrity, reliability and security.</v>
      </c>
      <c r="D46" s="63" t="str">
        <f>'AI Lifecycle Risks'!O36</f>
        <v>• Unintended Model Outputs
• Reduced Organisation Trust in Model Effectiveness and Performance
• Regulatory Non-compliance
• Failure to Achieve Organizational AI Strategy and Goals</v>
      </c>
      <c r="E46" s="63" t="str">
        <f>'AI Lifecycle Risks'!P36</f>
        <v>• Financial Loss
• Regulatory Fines and Judgement
• Legal Fines
• Customer Retention</v>
      </c>
      <c r="F46" s="63" t="str">
        <f>'AI Lifecycle Risks'!E36</f>
        <v>DASF 5
DASF 24
DASF 28
DASF 29
DASF 42
DASF 66</v>
      </c>
      <c r="G46"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46" s="284" t="str">
        <f>IFERROR(__xludf.DUMMYFUNCTION("IF(ISBLANK($C$4), 
  ""Show"",
  IF(
    REGEXMATCH($G46, ""Yes""),
    ""Show"",
    ""Hide""
  )
)"),"Show")</f>
        <v>Show</v>
      </c>
      <c r="I46" s="283"/>
      <c r="J46" s="283"/>
      <c r="K46" s="283"/>
      <c r="L46" s="283"/>
      <c r="M46" s="283"/>
      <c r="N46" s="283"/>
      <c r="O46" s="283"/>
      <c r="P46" s="283"/>
      <c r="Q46" s="283"/>
      <c r="R46" s="283"/>
      <c r="S46" s="283"/>
      <c r="T46" s="283"/>
    </row>
    <row r="47">
      <c r="A47" s="63" t="str">
        <f>'AI Lifecycle Risks'!C37</f>
        <v>Model Management 8.4: Model inversion</v>
      </c>
      <c r="B47" s="312" t="str">
        <f>'AI Lifecycle Risks'!B37</f>
        <v>Model operations</v>
      </c>
      <c r="C47" s="63" t="str">
        <f>'AI Lifecycle Risks'!D37</f>
        <v>In machine learning models, private assets like training data, features and hyperparameters, which are typically confidential, can potentially be recovered by attackers through a process known as model inversion. This technique involves reconstructing private elements without direct access, compromising the model’s security. Model inversion falls under the “Functional Extraction” category in the MITRE ATLAS framework, highlighting its relevance as a significant security threat.</v>
      </c>
      <c r="D47" s="63" t="str">
        <f>'AI Lifecycle Risks'!O37</f>
        <v>• Breach of Confidential Proprietary Information or Trade Secrets
• Failure to Achieve Organizational AI Strategy and Goals</v>
      </c>
      <c r="E47" s="63" t="str">
        <f>'AI Lifecycle Risks'!P37</f>
        <v>• Financial Loss
• Loss of Competitive Advantage
• Proprietary Data Loss Liability</v>
      </c>
      <c r="F47" s="63" t="str">
        <f>'AI Lifecycle Risks'!E37</f>
        <v>DASF 1
DASF 2
DASF 3
DASF 4
DASF 5
DASF 24
DASF 30
DASF 31
DASF 32
DASF 55
DASF 67</v>
      </c>
      <c r="G47"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47" s="284" t="str">
        <f>IFERROR(__xludf.DUMMYFUNCTION("IF(ISBLANK($C$4), 
  ""Show"",
  IF(
    REGEXMATCH($G47, ""Yes""),
    ""Show"",
    ""Hide""
  )
)"),"Show")</f>
        <v>Show</v>
      </c>
      <c r="I47" s="283"/>
      <c r="J47" s="283"/>
      <c r="K47" s="283"/>
      <c r="L47" s="283"/>
      <c r="M47" s="283"/>
      <c r="N47" s="283"/>
      <c r="O47" s="283"/>
      <c r="P47" s="283"/>
      <c r="Q47" s="283"/>
      <c r="R47" s="283"/>
      <c r="S47" s="283"/>
      <c r="T47" s="283"/>
    </row>
    <row r="48">
      <c r="A48" s="63" t="str">
        <f>'AI Lifecycle Risks'!C38</f>
        <v>Model Serving — Inference requests 9.1: Prompt inject</v>
      </c>
      <c r="B48" s="312" t="str">
        <f>'AI Lifecycle Risks'!B38</f>
        <v>Model deployment and serving</v>
      </c>
      <c r="C48" s="63" t="str">
        <f>'AI Lifecycle Risks'!D38</f>
        <v>A direct prompt injection occurs when a user injects text that is intended to alter the behavior of the LLM. Malicious input, known as model evasion in the MITRE ATLAS framework, is a significant threat to machine learning systems. These risks manifest as “adversarial examples”: inputs deliberately designed to deceive models. Attackers use direct prompt injections to bypass safeguards in order to create misinformation and cause reputational damage. Attackers may wish to extract the system prompt or reveal private information provided to the model in the context but not intended for unfiltered access by the user. Large language model (LLM) plug-ins are particularly vulnerable, as they are typically required to handle untrusted input and it is difficult to apply adequate application control. Attackers can exploit such vulnerabilities, with severe potential outcomes including remote code execution.</v>
      </c>
      <c r="D48" s="63" t="str">
        <f>'AI Lifecycle Risks'!O38</f>
        <v>• Unauthorised Alteration of AI System Outputs
• Unauthorised Access to Private Information
• Unintended Model Outputs
• Reduced Organisation Trust in Model Effectiveness and Performance
• Regulatory Non-compliance
• Failure to Achieve Organizational AI Strategy and Goals</v>
      </c>
      <c r="E48" s="63" t="str">
        <f>'AI Lifecycle Risks'!P38</f>
        <v>• Financial Loss
• Regulatory Fines and Judgement
• Legal Fines
• Customer Retention</v>
      </c>
      <c r="F48" s="63" t="str">
        <f>'AI Lifecycle Risks'!E38</f>
        <v>DASF 1
DASF 3
DASF 4
DASF 5
DASF 24
DASF 46
DASF 30
DASF 31
DASF 32
DASF 37
DASF 54
DASF 56
DASF 60
DASF 65
DASF 67</v>
      </c>
      <c r="G48"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48" s="284" t="str">
        <f>IFERROR(__xludf.DUMMYFUNCTION("IF(ISBLANK($C$4), 
  ""Show"",
  IF(
    REGEXMATCH($G48, ""Yes""),
    ""Show"",
    ""Hide""
  )
)"),"Show")</f>
        <v>Show</v>
      </c>
      <c r="I48" s="283"/>
      <c r="J48" s="283"/>
      <c r="K48" s="283"/>
      <c r="L48" s="283"/>
      <c r="M48" s="283"/>
      <c r="N48" s="283"/>
      <c r="O48" s="283"/>
      <c r="P48" s="283"/>
      <c r="Q48" s="283"/>
      <c r="R48" s="283"/>
      <c r="S48" s="283"/>
      <c r="T48" s="283"/>
    </row>
    <row r="49">
      <c r="A49" s="63" t="str">
        <f>'AI Lifecycle Risks'!C39</f>
        <v>Model Serving — Inference requests 9.2: Model inversion</v>
      </c>
      <c r="B49" s="63" t="str">
        <f>'AI Lifecycle Risks'!B39</f>
        <v>Model deployment and serving</v>
      </c>
      <c r="C49" s="63" t="str">
        <f>'AI Lifecycle Risks'!D39</f>
        <v>Malicious actors can recover the private assets used in machine learning models, known as functional extraction in the MITRE ATLAS framework. This process includes reconstructing private training data, features and hyperparameters the attacker cannot otherwise access. The attacker can also recover a functionally equivalent model by iteratively querying the model.</v>
      </c>
      <c r="D49" s="63" t="str">
        <f>'AI Lifecycle Risks'!O39</f>
        <v>• Breach of Confidential Proprietary Information or Trade Secrets
• Failure to Achieve Organizational AI Strategy and Goals</v>
      </c>
      <c r="E49" s="63" t="str">
        <f>'AI Lifecycle Risks'!P39</f>
        <v>• Financial Loss
• Response Costs
• Loss of Competitive Advantage
• Proprietary Data Loss Liability</v>
      </c>
      <c r="F49" s="63" t="str">
        <f>'AI Lifecycle Risks'!E39</f>
        <v>DASF 1
DASF 2
DASF 3
DASF 4
DASF 5
DASF 24
DASF 46
DASF 30
DASF 31
DASF 32
DASF 37
DASF 54
DASF 60
DASF 67</v>
      </c>
      <c r="G49"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49" s="284" t="str">
        <f>IFERROR(__xludf.DUMMYFUNCTION("IF(ISBLANK($C$4), 
  ""Show"",
  IF(
    REGEXMATCH($G49, ""Yes""),
    ""Show"",
    ""Hide""
  )
)"),"Show")</f>
        <v>Show</v>
      </c>
      <c r="I49" s="283"/>
      <c r="J49" s="283"/>
      <c r="K49" s="283"/>
      <c r="L49" s="283"/>
      <c r="M49" s="283"/>
      <c r="N49" s="283"/>
      <c r="O49" s="283"/>
      <c r="P49" s="283"/>
      <c r="Q49" s="283"/>
      <c r="R49" s="283"/>
      <c r="S49" s="283"/>
      <c r="T49" s="283"/>
    </row>
    <row r="50">
      <c r="A50" s="63" t="str">
        <f>'AI Lifecycle Risks'!C40</f>
        <v>Model Serving — Inference requests 9.3: Model breakout</v>
      </c>
      <c r="B50" s="312" t="str">
        <f>'AI Lifecycle Risks'!B40</f>
        <v>Model deployment and serving</v>
      </c>
      <c r="C50" s="63" t="str">
        <f>'AI Lifecycle Risks'!D40</f>
        <v>Malicious users can exploit adversarial examples to mislead machine learning systems, including large language models (LLMs). These specially crafted inputs aim to disrupt the normal functioning of these systems, leading to several potential hazards. An attacker might use these examples to force the system to deviate from its intended environment, exfiltrate sensitive data or interact inappropriately with other systems. Additionally, adversarial inputs can cause false predictions, leak sensitive information from the training data, or manipulate the system into executing unintended actions on internal and external systems.</v>
      </c>
      <c r="D50" s="63" t="str">
        <f>'AI Lifecycle Risks'!O40</f>
        <v>• Loss of AI System Availability
• Unintended Model Outputs
• Reduced Organisation Trust in Model Effectiveness and Performance
• Regulatory Non-compliance
• Failure to Achieve Organizational AI Strategy and Goals</v>
      </c>
      <c r="E50" s="63" t="str">
        <f>'AI Lifecycle Risks'!P40</f>
        <v>• Financial Loss
• Regulatory Fines and Judgement
• Legal Fines
• Customer Retention
• Regulatory Non-compliance
• Direct Business Interruption</v>
      </c>
      <c r="F50" s="63" t="str">
        <f>'AI Lifecycle Risks'!E40</f>
        <v>DASF 34
DASF 37
DASF 56</v>
      </c>
      <c r="G50"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50" s="284" t="str">
        <f>IFERROR(__xludf.DUMMYFUNCTION("IF(ISBLANK($C$4), 
  ""Show"",
  IF(
    REGEXMATCH($G50, ""Yes""),
    ""Show"",
    ""Hide""
  )
)"),"Show")</f>
        <v>Show</v>
      </c>
      <c r="I50" s="283"/>
      <c r="J50" s="283"/>
      <c r="K50" s="283"/>
      <c r="L50" s="283"/>
      <c r="M50" s="283"/>
      <c r="N50" s="283"/>
      <c r="O50" s="283"/>
      <c r="P50" s="283"/>
      <c r="Q50" s="283"/>
      <c r="R50" s="283"/>
      <c r="S50" s="283"/>
      <c r="T50" s="283"/>
    </row>
    <row r="51">
      <c r="A51" s="63" t="str">
        <f>'AI Lifecycle Risks'!C41</f>
        <v>Model Serving — Inference requests 9.4: Looped input</v>
      </c>
      <c r="B51" s="312" t="str">
        <f>'AI Lifecycle Risks'!B41</f>
        <v>Model deployment and serving</v>
      </c>
      <c r="C51" s="63" t="str">
        <f>'AI Lifecycle Risks'!D41</f>
        <v>There is a notable risk in machine learning systems when the output produced by the system is reintroduced into the real world and subsequently cycles back as input, creating a harmful feedback loop. This can reinforce removing security filters, biases or errors, potentially leading to increasingly skewed or inaccurate model performance and unintended system behaviors.</v>
      </c>
      <c r="D51" s="63" t="str">
        <f>'AI Lifecycle Risks'!O41</f>
        <v>• Unintended Model Outputs
• Reduced Organisation Trust in Model Effectiveness and Performance
• Regulatory Non-compliance
• Failure to Achieve Organizational AI Strategy and Goals</v>
      </c>
      <c r="E51" s="63" t="str">
        <f>'AI Lifecycle Risks'!P41</f>
        <v>• Financial Loss
• Regulatory Fines and Judgement
• Legal Fines
• Customer Retention</v>
      </c>
      <c r="F51" s="63" t="str">
        <f>'AI Lifecycle Risks'!E41</f>
        <v>DASF 37</v>
      </c>
      <c r="G51"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51" s="284" t="str">
        <f>IFERROR(__xludf.DUMMYFUNCTION("IF(ISBLANK($C$4), 
  ""Show"",
  IF(
    REGEXMATCH($G51, ""Yes""),
    ""Show"",
    ""Hide""
  )
)"),"Show")</f>
        <v>Show</v>
      </c>
      <c r="I51" s="283"/>
      <c r="J51" s="283"/>
      <c r="K51" s="283"/>
      <c r="L51" s="283"/>
      <c r="M51" s="283"/>
      <c r="N51" s="283"/>
      <c r="O51" s="283"/>
      <c r="P51" s="283"/>
      <c r="Q51" s="283"/>
      <c r="R51" s="283"/>
      <c r="S51" s="283"/>
      <c r="T51" s="283"/>
    </row>
    <row r="52">
      <c r="A52" s="63" t="str">
        <f>'AI Lifecycle Risks'!C42</f>
        <v>Model Serving — Inference requests 9.5: Infer training data membership</v>
      </c>
      <c r="B52" s="312" t="str">
        <f>'AI Lifecycle Risks'!B42</f>
        <v>Model deployment and serving</v>
      </c>
      <c r="C52" s="63" t="str">
        <f>'AI Lifecycle Risks'!D42</f>
        <v>Adversaries may pose a significant privacy threat to machine learning systems by simulating or inferring whether specific data samples were part of a model’s training set. Such inferences can be made by:
Using techniques like Train Proxy via Replication to create and host shadow models replicating the target model’s behavior
Analyzing the statistical patterns in the model’s prediction scores to conclude the training data
These methods can lead to the unintended leakage of sensitive information, such as individuals’ personally identifiable information (PII) in the training dataset or other forms of protected intellectual property.</v>
      </c>
      <c r="D52" s="63" t="str">
        <f>'AI Lifecycle Risks'!O42</f>
        <v>• Breach of Confidential Proprietary Information or Trade Secrets
• Breach of Personal Information
• Regulatory Non-compliance
• Failure to Achieve Organizational AI Strategy and Goals</v>
      </c>
      <c r="E52" s="63" t="str">
        <f>'AI Lifecycle Risks'!P42</f>
        <v>• Financial Loss
• Response Costs
• Loss of Competitive Advantage
• Regulatory Fines and Judgement
• Legal Fines
• Customer Retention</v>
      </c>
      <c r="F52" s="63" t="str">
        <f>'AI Lifecycle Risks'!E42</f>
        <v>DASF 1
DASF 2
DASF 3
DASF 4
DASF 5
DASF 24
DASF 28
DASF 46
DASF 30
DASF 31
DASF 32
DASF 37
DASF 45
DASF 54
DASF 60
DASF 67</v>
      </c>
      <c r="G52"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52" s="284" t="str">
        <f>IFERROR(__xludf.DUMMYFUNCTION("IF(ISBLANK($C$4), 
  ""Show"",
  IF(
    REGEXMATCH($G52, ""Yes""),
    ""Show"",
    ""Hide""
  )
)"),"Show")</f>
        <v>Show</v>
      </c>
      <c r="I52" s="283"/>
      <c r="J52" s="283"/>
      <c r="K52" s="283"/>
      <c r="L52" s="283"/>
      <c r="M52" s="283"/>
      <c r="N52" s="283"/>
      <c r="O52" s="283"/>
      <c r="P52" s="283"/>
      <c r="Q52" s="283"/>
      <c r="R52" s="283"/>
      <c r="S52" s="283"/>
      <c r="T52" s="283"/>
    </row>
    <row r="53" hidden="1">
      <c r="A53" s="63" t="str">
        <f>'AI Lifecycle Risks'!C43</f>
        <v>Model Serving — Inference requests 9.6: Discover ML model ontology</v>
      </c>
      <c r="B53" s="312" t="str">
        <f>'AI Lifecycle Risks'!B43</f>
        <v>Model deployment and serving</v>
      </c>
      <c r="C53" s="63" t="str">
        <f>'AI Lifecycle Risks'!D43</f>
        <v>Adversaries may aim to uncover the ontology of a machine learning model’s output space, such as identifying the range of objects or responses the model is designed to detect. This can be achieved through repeated queries to the model, which may force it to reveal its classification system or by accessing its configuration files or documentation. Understanding a model’s ontology allows adversaries to gain insights in designing targeted attacks that exploit specific vulnerabilities or characteristics.</v>
      </c>
      <c r="D53" s="63" t="str">
        <f>'AI Lifecycle Risks'!O43</f>
        <v>• Subsequence Compromise of AI Systems
• Regulatory Non-compliance
• Failure to Achieve Organizational AI Strategy and Goals</v>
      </c>
      <c r="E53" s="63" t="str">
        <f>'AI Lifecycle Risks'!P43</f>
        <v>• Financial Loss
• Response Costs
• Legal Fines
• Customer Retention
• Regulatory Fines and Judgement</v>
      </c>
      <c r="F53" s="63" t="str">
        <f>'AI Lifecycle Risks'!E43</f>
        <v>DASF 1
DASF 2
DASF 3
DASF 4
DASF 5
DASF 24
DASF 28
DASF 46
DASF 30
DASF 31
DASF 32
DASF 37
DASF 45
DASF 54
DASF 60
DASF 67
</v>
      </c>
      <c r="G53"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)"),"No,No,No,")</f>
        <v>No,No,No,</v>
      </c>
      <c r="H53" s="284" t="str">
        <f>IFERROR(__xludf.DUMMYFUNCTION("IF(ISBLANK($C$4), 
  ""Show"",
  IF(
    REGEXMATCH($G53, ""Yes""),
    ""Show"",
    ""Hide""
  )
)"),"Hide")</f>
        <v>Hide</v>
      </c>
      <c r="I53" s="283"/>
      <c r="J53" s="283"/>
      <c r="K53" s="283"/>
      <c r="L53" s="283"/>
      <c r="M53" s="283"/>
      <c r="N53" s="283"/>
      <c r="O53" s="283"/>
      <c r="P53" s="283"/>
      <c r="Q53" s="283"/>
      <c r="R53" s="283"/>
      <c r="S53" s="283"/>
      <c r="T53" s="283"/>
    </row>
    <row r="54">
      <c r="A54" s="63" t="str">
        <f>'AI Lifecycle Risks'!C44</f>
        <v>Model Serving — Inference requests 9.7: Denial of Service (DoS)</v>
      </c>
      <c r="B54" s="312" t="str">
        <f>'AI Lifecycle Risks'!B44</f>
        <v>Model deployment and serving</v>
      </c>
      <c r="C54" s="63" t="str">
        <f>'AI Lifecycle Risks'!D44</f>
        <v>Adversaries may target machine learning systems with a flood of requests to degrade or shut down the service. Since many machine learning systems require significant amounts of specialized compute, they are often expensive bottlenecks that can become overloaded. Adversaries can intentionally craft inputs that require heavy amounts of useless compute from the machine learning system.</v>
      </c>
      <c r="D54" s="63" t="str">
        <f>'AI Lifecycle Risks'!O44</f>
        <v>• Loss of AI System Availability
• Disruption of Business Operations and Service Availability</v>
      </c>
      <c r="E54" s="63" t="str">
        <f>'AI Lifecycle Risks'!P44</f>
        <v>• Financial Loss
• Breach of Service Level Agreement
• Direct Business Interruption
• Customer Retention</v>
      </c>
      <c r="F54" s="63" t="str">
        <f>'AI Lifecycle Risks'!E44</f>
        <v>DASF 1
DASF 2
DASF 3
DASF 4
DASF 5
DASF 24
DASF 46
DASF 30
DASF 31
DASF 32
DASF 37
DASF 60
DASF 67</v>
      </c>
      <c r="G54"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)"),"No,Yes,Yes,")</f>
        <v>No,Yes,Yes,</v>
      </c>
      <c r="H54" s="284" t="str">
        <f>IFERROR(__xludf.DUMMYFUNCTION("IF(ISBLANK($C$4), 
  ""Show"",
  IF(
    REGEXMATCH($G54, ""Yes""),
    ""Show"",
    ""Hide""
  )
)"),"Show")</f>
        <v>Show</v>
      </c>
      <c r="I54" s="283"/>
      <c r="J54" s="283"/>
      <c r="K54" s="283"/>
      <c r="L54" s="283"/>
      <c r="M54" s="283"/>
      <c r="N54" s="283"/>
      <c r="O54" s="283"/>
      <c r="P54" s="283"/>
      <c r="Q54" s="283"/>
      <c r="R54" s="283"/>
      <c r="S54" s="283"/>
      <c r="T54" s="283"/>
    </row>
    <row r="55">
      <c r="A55" s="63" t="str">
        <f>'AI Lifecycle Risks'!C45</f>
        <v>Model Serving — Inference requests 9.8: LLM hallucinations</v>
      </c>
      <c r="B55" s="312" t="str">
        <f>'AI Lifecycle Risks'!B45</f>
        <v>Model deployment and serving</v>
      </c>
      <c r="C55" s="63" t="str">
        <f>'AI Lifecycle Risks'!D45</f>
        <v>Large language models (LLMs) are known to inadvertently generate incorrect, misleading or factually false outputs, or leak sensitive data. This situation may arise when training models on datasets containing potential biases in their training data, limitations in contextual understanding or confidential information.</v>
      </c>
      <c r="D55" s="63" t="s">
        <v>833</v>
      </c>
      <c r="E55" s="63" t="str">
        <f>'AI Lifecycle Risks'!P45</f>
        <v>• Financial Loss
• Legal Fines
• Customer Retention
• Regulatory Fines and Judgement</v>
      </c>
      <c r="F55" s="63" t="str">
        <f>'AI Lifecycle Risks'!E45</f>
        <v>DASF 25
DASF 26
DASF 27
DASF 46
DASF 49
DASF 54
DASF 56</v>
      </c>
      <c r="G55"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)"),"Yes,Yes,Yes,")</f>
        <v>Yes,Yes,Yes,</v>
      </c>
      <c r="H55" s="284" t="str">
        <f>IFERROR(__xludf.DUMMYFUNCTION("IF(ISBLANK($C$4), 
  ""Show"",
  IF(
    REGEXMATCH($G55, ""Yes""),
    ""Show"",
    ""Hide""
  )
)"),"Show")</f>
        <v>Show</v>
      </c>
      <c r="I55" s="283"/>
      <c r="J55" s="283"/>
      <c r="K55" s="283"/>
      <c r="L55" s="283"/>
      <c r="M55" s="283"/>
      <c r="N55" s="283"/>
      <c r="O55" s="283"/>
      <c r="P55" s="283"/>
      <c r="Q55" s="283"/>
      <c r="R55" s="283"/>
      <c r="S55" s="283"/>
      <c r="T55" s="283"/>
    </row>
    <row r="56">
      <c r="A56" s="63" t="str">
        <f>'AI Lifecycle Risks'!C46</f>
        <v>Model Serving — Inference requests 9.9: Input Resource Control</v>
      </c>
      <c r="B56" s="312" t="str">
        <f>'AI Lifecycle Risks'!B46</f>
        <v>Model deployment and serving</v>
      </c>
      <c r="C56" s="63" t="str">
        <f>'AI Lifecycle Risks'!D46</f>
        <v>The attacker might modify or exfiltrate resources (e.g., documents, web pages) that will be ingested by the GenAI model at runtime via the RAG process. This capability is used for indirect prompt injection attacks. For example, rows from a database or text from a PDF document that are intended to be summarized generically by the LLM can be extracted by simply asking for them via direct prompt injection.</v>
      </c>
      <c r="D56" s="63" t="str">
        <f>'AI Lifecycle Risks'!O46</f>
        <v>• Unauthorised Alteration of AI System Outputs
• Unauthorised Access to Private Information
• Unintended Model Outputs
• Reduced Organisation Trust in Model Effectiveness and Performance
• Regulatory Non-compliance
• Failure to Achieve Organizational AI Strategy and Goals</v>
      </c>
      <c r="E56" s="63" t="str">
        <f>'AI Lifecycle Risks'!P46</f>
        <v>• Financial Loss
• Response Costs
• Regulatory Fines and Judgement
• Legal Fines
• Customer Retention</v>
      </c>
      <c r="F56" s="63" t="str">
        <f>'AI Lifecycle Risks'!E46</f>
        <v>DASF 1
DASF 2
DASF 3
DASF 4
DASF 5
DASF 46
DASF 54
DASF 56
DASF 67</v>
      </c>
      <c r="G56"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)"),"Yes,No,No,")</f>
        <v>Yes,No,No,</v>
      </c>
      <c r="H56" s="284" t="str">
        <f>IFERROR(__xludf.DUMMYFUNCTION("IF(ISBLANK($C$4), 
  ""Show"",
  IF(
    REGEXMATCH($G56, ""Yes""),
    ""Show"",
    ""Hide""
  )
)"),"Show")</f>
        <v>Show</v>
      </c>
      <c r="I56" s="283"/>
      <c r="J56" s="283"/>
      <c r="K56" s="283"/>
      <c r="L56" s="283"/>
      <c r="M56" s="283"/>
      <c r="N56" s="283"/>
      <c r="O56" s="283"/>
      <c r="P56" s="283"/>
      <c r="Q56" s="283"/>
      <c r="R56" s="283"/>
      <c r="S56" s="283"/>
      <c r="T56" s="283"/>
    </row>
    <row r="57">
      <c r="A57" s="63" t="str">
        <f>'AI Lifecycle Risks'!C47</f>
        <v>Model Serving — Inference requests 9.10: Accidental exposure of unauthorized data to models</v>
      </c>
      <c r="B57" s="312" t="str">
        <f>'AI Lifecycle Risks'!B47</f>
        <v>Model deployment and serving</v>
      </c>
      <c r="C57" s="63" t="str">
        <f>'AI Lifecycle Risks'!D47</f>
        <v>In GenAI, large language models (LLMs)
are also becoming an integral part of the infrastructure and software applications. LLMs are being used to create more powerful online search, help software developers write
code, and even power chatbots that help with customer service. LLMs are being integrated with corporate databases and documents to enable powerful retrieval augmented generation (RAG) scenarios when LLMs are adapted to specific domains and use cases. For example: rows from a database or text from a PDF document that are intended to be summarized generically by the LLM. These scenarios in effect expose a new attack surface to potentially confidential and proprietary enterprise data that is not sufficiently secured or overprivileged, which can lead to use of unauthorized data as an input source to models. A similar risk exists for tabular data models that rely upon lookups to feature store tables at inference time.</v>
      </c>
      <c r="D57" s="63" t="str">
        <f>'AI Lifecycle Risks'!O47</f>
        <v>• Unauthorised use of Model Input Data</v>
      </c>
      <c r="E57" s="63" t="str">
        <f>'AI Lifecycle Risks'!P47</f>
        <v>• Incident Response Costs
• Legal Fines
• Customer Retention</v>
      </c>
      <c r="F57" s="63" t="str">
        <f>'AI Lifecycle Risks'!E47</f>
        <v>DASF 1
DASF 2
DASF 3
DASF 4
DASF 5
DASF 16
DASF 46
DASF 55
DASF 58
DASF 57
DASF 59
DASF 67</v>
      </c>
      <c r="G57"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57" s="284" t="str">
        <f>IFERROR(__xludf.DUMMYFUNCTION("IF(ISBLANK($C$4), 
  ""Show"",
  IF(
    REGEXMATCH($G57, ""Yes""),
    ""Show"",
    ""Hide""
  )
)"),"Show")</f>
        <v>Show</v>
      </c>
      <c r="I57" s="283"/>
      <c r="J57" s="283"/>
      <c r="K57" s="283"/>
      <c r="L57" s="283"/>
      <c r="M57" s="283"/>
      <c r="N57" s="283"/>
      <c r="O57" s="283"/>
      <c r="P57" s="283"/>
      <c r="Q57" s="283"/>
      <c r="R57" s="283"/>
      <c r="S57" s="283"/>
      <c r="T57" s="283"/>
    </row>
    <row r="58">
      <c r="A58" s="63" t="str">
        <f>'AI Lifecycle Risks'!C48</f>
        <v>Model Serving — Inference requests 9.11: Model Inference API Access</v>
      </c>
      <c r="B58" s="312" t="str">
        <f>'AI Lifecycle Risks'!B48</f>
        <v>Model deployment and serving</v>
      </c>
      <c r="C58" s="63" t="str">
        <f>'AI Lifecycle Risks'!D48</f>
        <v>Adversaries may gain access to a model via legitimate access to the inference API. Inference API access can be a source of information to the adversary (Discover ML Model Ontology, Discover ML Model Family), a means of staging the attack (Verify Attack, Craft Adversarial Data), or for introducing data to the target system for Impact (Evade ML Model, Erode ML Model Integrity).</v>
      </c>
      <c r="D58" s="63" t="str">
        <f>'AI Lifecycle Risks'!O48</f>
        <v>• Breach of Confidential Proprietary Information or Trade Secrets
• Unauthorised Alteration of AI System Outputs
• Unauthorised Access to Private Information
• Unintended Model Outputs
• Reduced Organisation Trust in Model Effectiveness and Performance
• Failure to Achieve Organizational AI Strategy and Goals</v>
      </c>
      <c r="E58" s="63" t="str">
        <f>'AI Lifecycle Risks'!P48</f>
        <v>• Financial Loss
• Response Costs
• Loss of Competitive Advantage
• Customer Retention</v>
      </c>
      <c r="F58" s="63" t="str">
        <f>'AI Lifecycle Risks'!E48</f>
        <v>DASF 1
DASF 2
DASF 3
DASF 4
DASF 5
DASF 31
DASF 33
DASF 55
DASF 67</v>
      </c>
      <c r="G58"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)"),"Yes,Yes,Yes,")</f>
        <v>Yes,Yes,Yes,</v>
      </c>
      <c r="H58" s="284" t="str">
        <f>IFERROR(__xludf.DUMMYFUNCTION("IF(ISBLANK($C$4), 
  ""Show"",
  IF(
    REGEXMATCH($G58, ""Yes""),
    ""Show"",
    ""Hide""
  )
)"),"Show")</f>
        <v>Show</v>
      </c>
      <c r="I58" s="283"/>
      <c r="J58" s="283"/>
      <c r="K58" s="283"/>
      <c r="L58" s="283"/>
      <c r="M58" s="283"/>
      <c r="N58" s="283"/>
      <c r="O58" s="283"/>
      <c r="P58" s="283"/>
      <c r="Q58" s="283"/>
      <c r="R58" s="283"/>
      <c r="S58" s="283"/>
      <c r="T58" s="283"/>
    </row>
    <row r="59">
      <c r="A59" s="63" t="str">
        <f>'AI Lifecycle Risks'!C49</f>
        <v>Model Serving — Inference requests 9.12: LLM Jailbreak</v>
      </c>
      <c r="B59" s="312" t="str">
        <f>'AI Lifecycle Risks'!B49</f>
        <v>Model deployment and serving</v>
      </c>
      <c r="C59" s="63" t="str">
        <f>'AI Lifecycle Risks'!D49</f>
        <v>An adversary may use a carefully crafted LLM Prompt Injection designed to place LLM in a state in which it will freely respond to any user input, bypassing any controls, restrictions, or guardrails placed on the LLM. Once successfully jailbroken, the LLM can be used in unintended ways by the adversary.</v>
      </c>
      <c r="D59" s="63" t="str">
        <f>'AI Lifecycle Risks'!O49</f>
        <v>• Unauthorised Alteration of AI System Outputs
• Unintended Model Outputs</v>
      </c>
      <c r="E59" s="63" t="str">
        <f>'AI Lifecycle Risks'!P49</f>
        <v>• Regulatory Non-compliance
• Legal Fines
• Customer Retention</v>
      </c>
      <c r="F59" s="63" t="str">
        <f>'AI Lifecycle Risks'!E49</f>
        <v>DASF 1
DASF 2
DASF 3
DASF 4
DASF 5
DASF 31
DASF 33
DASF 54
DASF 55
DASF 64
DASF 67</v>
      </c>
      <c r="G59"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59" s="284" t="str">
        <f>IFERROR(__xludf.DUMMYFUNCTION("IF(ISBLANK($C$4), 
  ""Show"",
  IF(
    REGEXMATCH($G59, ""Yes""),
    ""Show"",
    ""Hide""
  )
)"),"Show")</f>
        <v>Show</v>
      </c>
      <c r="I59" s="283"/>
      <c r="J59" s="283"/>
      <c r="K59" s="283"/>
      <c r="L59" s="283"/>
      <c r="M59" s="283"/>
      <c r="N59" s="283"/>
      <c r="O59" s="283"/>
      <c r="P59" s="283"/>
      <c r="Q59" s="283"/>
      <c r="R59" s="283"/>
      <c r="S59" s="283"/>
      <c r="T59" s="283"/>
    </row>
    <row r="60">
      <c r="A60" s="63" t="str">
        <f>'AI Lifecycle Risks'!C50</f>
        <v>Model Serving — Inference requests 9.13: Excessive agency</v>
      </c>
      <c r="B60" s="312" t="str">
        <f>'AI Lifecycle Risks'!B50</f>
        <v>Model deployment and serving</v>
      </c>
      <c r="C60" s="63" t="str">
        <f>'AI Lifecycle Risks'!D50</f>
        <v>Generative AI systems may undertake actions outside of the developer's intent, organizational policy, and/or legislative, regulatory, and contractual requirements, leading to unintended consequences. This issue is facilitated by excessive permissions, excessive functionality, excessive autonomy, poorly defined operational parameters or granting the AI system and/or AI Agents the ability to make decisions, access data sources and enterprise objects, or act on systems without human intervention or oversight.</v>
      </c>
      <c r="D60" s="63" t="str">
        <f>'AI Lifecycle Risks'!O50</f>
        <v>• Unauthorised Alteration of AI System Outputs
• Unintended Model Outputs
• Subsequent Downstream System Impact or Compromise</v>
      </c>
      <c r="E60" s="63" t="str">
        <f>'AI Lifecycle Risks'!P50</f>
        <v>• Regulatory Non-compliance
• Legal Fines
• Customer Retention</v>
      </c>
      <c r="F60" s="63" t="str">
        <f>'AI Lifecycle Risks'!E50</f>
        <v>DASF 6
DASF 11
DASF 55
DASF 57
DASF 58
DASF 62
DASF 64</v>
      </c>
      <c r="G60"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)"),"Yes,Yes,Yes,")</f>
        <v>Yes,Yes,Yes,</v>
      </c>
      <c r="H60" s="284" t="str">
        <f>IFERROR(__xludf.DUMMYFUNCTION("IF(ISBLANK($C$4), 
  ""Show"",
  IF(
    REGEXMATCH($G60, ""Yes""),
    ""Show"",
    ""Hide""
  )
)"),"Show")</f>
        <v>Show</v>
      </c>
      <c r="I60" s="283"/>
      <c r="J60" s="283"/>
      <c r="K60" s="283"/>
      <c r="L60" s="283"/>
      <c r="M60" s="283"/>
      <c r="N60" s="283"/>
      <c r="O60" s="283"/>
      <c r="P60" s="283"/>
      <c r="Q60" s="283"/>
      <c r="R60" s="283"/>
      <c r="S60" s="283"/>
      <c r="T60" s="283"/>
    </row>
    <row r="61">
      <c r="A61" s="63" t="str">
        <f>'AI Lifecycle Risks'!C51</f>
        <v>Model Serving — Inference response 10.1: Lack of audit and monitoring inference quality</v>
      </c>
      <c r="B61" s="63" t="str">
        <f>'AI Lifecycle Risks'!B51</f>
        <v>Model deployment and serving</v>
      </c>
      <c r="C61" s="63" t="str">
        <f>'AI Lifecycle Risks'!D51</f>
        <v>Effectively audit, track and assess the performance of machine learning models by monitoring inference tables to gain valuable insights into the model’s decision-making process and identify any discrepancies or anomalies. 
These tables should include the model’s user or system making the request, inputs, and the corresponding predictions or outputs. Monitoring the model serving endpoints provides real-time audit in operational settings.</v>
      </c>
      <c r="D61" s="63" t="str">
        <f>'AI Lifecycle Risks'!O51</f>
        <v>• False or Misleading Responses
• Reduced Organisation Trust in Model Effectiveness and Performance
• Unintended Model Outputs
• Inconsistent or Unexpected Model Predictions
• Poor Performance and Reliability of Predictions
• Erosion of Customer Trust
• Adversarial Data Drift
• Regulatory Non-compliance
• Failure to Achieve Organizational AI Strategy and Goals</v>
      </c>
      <c r="E61" s="63" t="str">
        <f>'AI Lifecycle Risks'!P51</f>
        <v>• Financial Loss
• Regulatory Fines and Judgement
• Legal Fines
• Customer Retention
• Direct Business Interruption
• Regulatory Fines and Judgement</v>
      </c>
      <c r="F61" s="63" t="str">
        <f>'AI Lifecycle Risks'!E51</f>
        <v>DASF 35
DASF 36
DASF 37
DASF 55</v>
      </c>
      <c r="G61"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)"),"Yes,Yes,Yes,")</f>
        <v>Yes,Yes,Yes,</v>
      </c>
      <c r="H61" s="284" t="str">
        <f>IFERROR(__xludf.DUMMYFUNCTION("IF(ISBLANK($C$4), 
  ""Show"",
  IF(
    REGEXMATCH($G61, ""Yes""),
    ""Show"",
    ""Hide""
  )
)"),"Show")</f>
        <v>Show</v>
      </c>
      <c r="I61" s="283"/>
      <c r="J61" s="283"/>
      <c r="K61" s="283"/>
      <c r="L61" s="283"/>
      <c r="M61" s="283"/>
      <c r="N61" s="283"/>
      <c r="O61" s="283"/>
      <c r="P61" s="283"/>
      <c r="Q61" s="283"/>
      <c r="R61" s="283"/>
      <c r="S61" s="283"/>
      <c r="T61" s="283"/>
    </row>
    <row r="62">
      <c r="A62" s="63" t="str">
        <f>'AI Lifecycle Risks'!C52</f>
        <v>Model Serving — Inference response 10.2: Output manipulation</v>
      </c>
      <c r="B62" s="63" t="str">
        <f>'AI Lifecycle Risks'!B52</f>
        <v>Model deployment and serving</v>
      </c>
      <c r="C62" s="63" t="str">
        <f>'AI Lifecycle Risks'!D52</f>
        <v>An attacker can compromise a machine learning system by tweaking its output stream, also known as a man-in-the-middle attack. This is achieved by intercepting the data transmission between the model’s endpoint, which generates its predictions or outputs, and the intended receiver of this information. Such an attack poses a severe security threat, allowing the attacker to read or alter the communicated results, potentially leading to data leakage, misinformation or misguided actions based on manipulated data.</v>
      </c>
      <c r="D62" s="63" t="str">
        <f>'AI Lifecycle Risks'!O52</f>
        <v>• Misinformation in AI System Outputs
• Misguided Actions in AI System Outputs
• Regulatory Non-compliance
• Failure to Achieve Organizational AI Strategy and Goals</v>
      </c>
      <c r="E62" s="63" t="str">
        <f>'AI Lifecycle Risks'!P52</f>
        <v>• Financial Loss
• Regulatory Fines and Judgement
• Legal Fines
• Customer Retention</v>
      </c>
      <c r="F62" s="63" t="str">
        <f>'AI Lifecycle Risks'!E52</f>
        <v>DASF 30
DASF 31
DASF 32
DASF 60
</v>
      </c>
      <c r="G62"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)"),"No,Yes,Yes,")</f>
        <v>No,Yes,Yes,</v>
      </c>
      <c r="H62" s="284" t="str">
        <f>IFERROR(__xludf.DUMMYFUNCTION("IF(ISBLANK($C$4), 
  ""Show"",
  IF(
    REGEXMATCH($G62, ""Yes""),
    ""Show"",
    ""Hide""
  )
)"),"Show")</f>
        <v>Show</v>
      </c>
      <c r="I62" s="283"/>
      <c r="J62" s="283"/>
      <c r="K62" s="283"/>
      <c r="L62" s="283"/>
      <c r="M62" s="283"/>
      <c r="N62" s="283"/>
      <c r="O62" s="283"/>
      <c r="P62" s="283"/>
      <c r="Q62" s="283"/>
      <c r="R62" s="283"/>
      <c r="S62" s="283"/>
      <c r="T62" s="283"/>
    </row>
    <row r="63">
      <c r="A63" s="63" t="str">
        <f>'AI Lifecycle Risks'!C53</f>
        <v>Model Serving — Inference response 10.3: Discover ML model ontology </v>
      </c>
      <c r="B63" s="63" t="str">
        <f>'AI Lifecycle Risks'!B53</f>
        <v>Model deployment and serving</v>
      </c>
      <c r="C63" s="63" t="str">
        <f>'AI Lifecycle Risks'!D53</f>
        <v>Adversaries may aim to uncover the ontology of a machine learning model’s output space, such as identifying the range of objects or responses the model is designed to detect. This can be achieved through repeated queries to the model, which may force it to reveal its classification system or by accessing its configuration files or documentation. Understanding a model’s ontology allows adversaries to gain insights in designing targeted attacks that exploit specific vulnerabilities or characteristics.</v>
      </c>
      <c r="D63" s="63" t="str">
        <f>'AI Lifecycle Risks'!O53</f>
        <v>• Subsequence Compromise of AI Systems
• Regulatory Non-compliance
• Failure to Achieve Organizational AI Strategy and Goals</v>
      </c>
      <c r="E63" s="63" t="str">
        <f>'AI Lifecycle Risks'!P53</f>
        <v>• Financial Loss
• Response Costs
• Legal Fines
• Customer Retention
• Regulatory Fines and Judgement</v>
      </c>
      <c r="F63" s="63" t="str">
        <f>'AI Lifecycle Risks'!E53</f>
        <v>DASF 1
DASF 2
DASF 3
DASF 4
DASF 5
DASF 24
DASF 28
DASF 30
DASF 31
DASF 32
DASF 37
DASF 60
DASF 67</v>
      </c>
      <c r="G63"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63" s="284" t="str">
        <f>IFERROR(__xludf.DUMMYFUNCTION("IF(ISBLANK($C$4), 
  ""Show"",
  IF(
    REGEXMATCH($G63, ""Yes""),
    ""Show"",
    ""Hide""
  )
)"),"Show")</f>
        <v>Show</v>
      </c>
      <c r="I63" s="283"/>
      <c r="J63" s="283"/>
      <c r="K63" s="283"/>
      <c r="L63" s="283"/>
      <c r="M63" s="283"/>
      <c r="N63" s="283"/>
      <c r="O63" s="283"/>
      <c r="P63" s="283"/>
      <c r="Q63" s="283"/>
      <c r="R63" s="283"/>
      <c r="S63" s="283"/>
      <c r="T63" s="283"/>
    </row>
    <row r="64" hidden="1">
      <c r="A64" s="63" t="str">
        <f>'AI Lifecycle Risks'!C54</f>
        <v>Model Serving — Inference response 10.4: Discover ML model family</v>
      </c>
      <c r="B64" s="63" t="str">
        <f>'AI Lifecycle Risks'!B54</f>
        <v>Model deployment and serving</v>
      </c>
      <c r="C64" s="63" t="str">
        <f>'AI Lifecycle Risks'!D54</f>
        <v>Adversaries targeting machine learning systems may strive to identify the general family or type of the model in use. Attackers can obtain this information from documentation that describes the model or through analyzing responses from carefully constructed inputs. Knowledge of the model’s family is crucial for crafting attacks tailored to exploit the identified weaknesses of the model.</v>
      </c>
      <c r="D64" s="63" t="str">
        <f>'AI Lifecycle Risks'!O54</f>
        <v>• Subsequence Compromise of AI Systems
• Regulatory Non-compliance
• Failure to Achieve Organizational AI Strategy and Goals</v>
      </c>
      <c r="E64" s="63" t="str">
        <f>'AI Lifecycle Risks'!P54</f>
        <v>• Financial Loss
• Response Costs
• Legal Fines
• Customer Retention
• Regulatory Fines and Judgement</v>
      </c>
      <c r="F64" s="63" t="str">
        <f>'AI Lifecycle Risks'!E54</f>
        <v>DASF 1
DASF 2
DASF 3
DASF 4
DASF 5
DASF 24
DASF 28
DASF 30
DASF 31
DASF 32
DASF 37
DASF 45
DASF 60
DASF 67</v>
      </c>
      <c r="G64"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)"),"No,No,No,")</f>
        <v>No,No,No,</v>
      </c>
      <c r="H64" s="284" t="str">
        <f>IFERROR(__xludf.DUMMYFUNCTION("IF(ISBLANK($C$4), 
  ""Show"",
  IF(
    REGEXMATCH($G64, ""Yes""),
    ""Show"",
    ""Hide""
  )
)"),"Hide")</f>
        <v>Hide</v>
      </c>
      <c r="I64" s="283"/>
      <c r="J64" s="283"/>
      <c r="K64" s="283"/>
      <c r="L64" s="283"/>
      <c r="M64" s="283"/>
      <c r="N64" s="283"/>
      <c r="O64" s="283"/>
      <c r="P64" s="283"/>
      <c r="Q64" s="283"/>
      <c r="R64" s="283"/>
      <c r="S64" s="283"/>
      <c r="T64" s="283"/>
    </row>
    <row r="65">
      <c r="A65" s="63" t="str">
        <f>'AI Lifecycle Risks'!C55</f>
        <v>Model Serving — Inference response 10.5: Black-box attacks</v>
      </c>
      <c r="B65" s="63" t="str">
        <f>'AI Lifecycle Risks'!B55</f>
        <v>Model deployment and serving</v>
      </c>
      <c r="C65" s="63" t="str">
        <f>'AI Lifecycle Risks'!D55</f>
        <v>Public or compromised private model serving connectors (e.g., API interfaces) are vulnerable to black-box attacks. Although black-box attacks generally require more trial-and-error attempts (inferences), they are notable for requiring significantly less access to the target system. Successful black-box attacks quickly erode trust in enterprises serving the model connectors.</v>
      </c>
      <c r="D65" s="63" t="str">
        <f>'AI Lifecycle Risks'!O55</f>
        <v>• Disruption of Business Operations and Service Availability
• Cyber Security Incident
• Loss of AI System Integrity
• Regulatory Non-compliance
 Failure to Achieve Organizational AI Strategy and Goals</v>
      </c>
      <c r="E65" s="63" t="str">
        <f>'AI Lifecycle Risks'!P55</f>
        <v>• Financial Loss
• Response Costs
• Direct Business Interruption
• Legal Fines
• Customer Retention
• Regulatory Fines and Judgement</v>
      </c>
      <c r="F65" s="63" t="str">
        <f>'AI Lifecycle Risks'!E55</f>
        <v>DASF 30
DASF 31
DASF 32
DASF 60
</v>
      </c>
      <c r="G65"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65" s="284" t="str">
        <f>IFERROR(__xludf.DUMMYFUNCTION("IF(ISBLANK($C$4), 
  ""Show"",
  IF(
    REGEXMATCH($G65, ""Yes""),
    ""Show"",
    ""Hide""
  )
)"),"Show")</f>
        <v>Show</v>
      </c>
      <c r="I65" s="283"/>
      <c r="J65" s="283"/>
      <c r="K65" s="283"/>
      <c r="L65" s="283"/>
      <c r="M65" s="283"/>
      <c r="N65" s="283"/>
      <c r="O65" s="283"/>
      <c r="P65" s="283"/>
      <c r="Q65" s="283"/>
      <c r="R65" s="283"/>
      <c r="S65" s="283"/>
      <c r="T65" s="283"/>
    </row>
    <row r="66">
      <c r="A66" s="63" t="str">
        <f>'AI Lifecycle Risks'!C56</f>
        <v>Model Serving — Inference response 10.6: Sensitive data output from a model</v>
      </c>
      <c r="B66" s="63" t="str">
        <f>'AI Lifecycle Risks'!B56</f>
        <v>Model deployment and serving</v>
      </c>
      <c r="C66" s="63" t="str">
        <f>'AI Lifecycle Risks'!D56</f>
        <v>Without proper guardrails, generative AI outputs can contain confidential and/or sensitive information included in the model’s training dataset, RAG data sources, or data residing in data sources that the AI system is connected to (e.g., through language model tools such as agents or plugins). Examples of such information include that which is covered under data protection laws and regulations (e.g., personally identifiable information, protected health information, cardholder data) and corporate secrets.</v>
      </c>
      <c r="D66" s="63" t="str">
        <f>'AI Lifecycle Risks'!O56</f>
        <v>• Unauthorised Access to Customer Data
• Unauthorised Access to Training Data 
• Data Breach
• Model Theft
• Regulatory non-compliance
• Loss of Data Integrity</v>
      </c>
      <c r="E66" s="63" t="str">
        <f>'AI Lifecycle Risks'!P56</f>
        <v>• Financial Loss
• Customer Retention
• Legal fines
• Regulatory Fines and Judgement
• Data Misuse
• Loss of Competitive Advantage
• Proprietary Data Loss</v>
      </c>
      <c r="F66" s="63" t="str">
        <f>'AI Lifecycle Risks'!E56</f>
        <v>DASF 58
DASF 31
DASF 32
DASF 37
DASF 54
DASF 60
</v>
      </c>
      <c r="G66"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)"),"No,Yes,No,")</f>
        <v>No,Yes,No,</v>
      </c>
      <c r="H66" s="284" t="str">
        <f>IFERROR(__xludf.DUMMYFUNCTION("IF(ISBLANK($C$4), 
  ""Show"",
  IF(
    REGEXMATCH($G66, ""Yes""),
    ""Show"",
    ""Hide""
  )
)"),"Show")</f>
        <v>Show</v>
      </c>
      <c r="I66" s="283"/>
      <c r="J66" s="283"/>
      <c r="K66" s="283"/>
      <c r="L66" s="283"/>
      <c r="M66" s="283"/>
      <c r="N66" s="283"/>
      <c r="O66" s="283"/>
      <c r="P66" s="283"/>
      <c r="Q66" s="283"/>
      <c r="R66" s="283"/>
      <c r="S66" s="283"/>
      <c r="T66" s="283"/>
    </row>
    <row r="67">
      <c r="A67" s="63" t="str">
        <f>'AI Lifecycle Risks'!C57</f>
        <v>Operations 11.1: Lack of MLOps — repeatable enforced standards</v>
      </c>
      <c r="B67" s="63" t="str">
        <f>'AI Lifecycle Risks'!B57</f>
        <v>Operations and Platform</v>
      </c>
      <c r="C67" s="63" t="str">
        <f>'AI Lifecycle Risks'!D57</f>
        <v>Operationalizing an ML solution requires joining data from predictions, monitoring and feature tables with other relevant data. 
Duplicating data, moving AI assets, and driving governance and tracking across these stages may represent roadblocks to practitioners who would rather shortcut security controls to deliver their solution. Many organizations will find that the simplest way to securely combine ML solutions, input data and feature tables is to leverage the same platform that manages other production data.
An ML solution comprises data, code and models. These assets must be developed, tested (staging) and deployed (production). For each of these stages, we also need to operate within an execution environment. Security is an essential component of all MLOps lifecycle stages. It ensures the complete lifecycle meets the required standards by keeping the distinct execution environments — development, staging and production.</v>
      </c>
      <c r="D67" s="63" t="str">
        <f>'AI Lifecycle Risks'!O57</f>
        <v>• Cyber Security Incident
• Loss of AI System Integrity
• Poor Performance and Reliability of Predictions
• Erosion of Customer Trust
• Reduced Organisation Trust in Model Effectiveness and Performance
• Regulatory Non-compliance
• Failure to Achieve Organizational AI Strategy and Goals</v>
      </c>
      <c r="E67" s="63" t="str">
        <f>'AI Lifecycle Risks'!P57</f>
        <v>• Financial Loss
• Response Costs
• Customer Retention
• Regulatory Fines and Judgement</v>
      </c>
      <c r="F67" s="63" t="str">
        <f>'AI Lifecycle Risks'!E57</f>
        <v>DASF 42
DASF 45
DASF 44</v>
      </c>
      <c r="G67"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)"),"Yes,Yes,Yes,")</f>
        <v>Yes,Yes,Yes,</v>
      </c>
      <c r="H67" s="284" t="str">
        <f>IFERROR(__xludf.DUMMYFUNCTION("IF(ISBLANK($C$4), 
  ""Show"",
  IF(
    REGEXMATCH($G67, ""Yes""),
    ""Show"",
    ""Hide""
  )
)"),"Show")</f>
        <v>Show</v>
      </c>
      <c r="I67" s="283"/>
      <c r="J67" s="283"/>
      <c r="K67" s="283"/>
      <c r="L67" s="283"/>
      <c r="M67" s="283"/>
      <c r="N67" s="283"/>
      <c r="O67" s="283"/>
      <c r="P67" s="283"/>
      <c r="Q67" s="283"/>
      <c r="R67" s="283"/>
      <c r="S67" s="283"/>
      <c r="T67" s="283"/>
    </row>
    <row r="68">
      <c r="A68" s="63" t="str">
        <f>'AI Lifecycle Risks'!C58</f>
        <v>Platform 12.1: Lack of vulnerability management</v>
      </c>
      <c r="B68" s="63" t="str">
        <f>'AI Lifecycle Risks'!B58</f>
        <v>Operations and Platform</v>
      </c>
      <c r="C68" s="63" t="str">
        <f>'AI Lifecycle Risks'!D58</f>
        <v>Detecting and promptly addressing software vulnerabilities in systems that support data and AI/ML operations is a critical responsibility for software and service providers. Attackers do not necessarily need to target AI/ML algorithms directly; compromising the layers underlying AI/ML systems is often easier. Therefore, adhering to traditional security threat mitigation practices, such as a secure software development lifecycle, is essential across all software layers.</v>
      </c>
      <c r="D68" s="63" t="str">
        <f>'AI Lifecycle Risks'!O58</f>
        <v>• Technical Vulnerabilities within AI Systems
• Cyber Security Incident
• Compromise of AI Systems
• Regulatory Non-compliance
• Failure to Achieve Organizational AI Strategy and Goals</v>
      </c>
      <c r="E68" s="63" t="str">
        <f>'AI Lifecycle Risks'!P58</f>
        <v>• Financial Loss
• Customer Retention
• Regulatory Fines and Judgement</v>
      </c>
      <c r="F68" s="63" t="str">
        <f>'AI Lifecycle Risks'!E58</f>
        <v>DASF 38
DASF 63</v>
      </c>
      <c r="G68"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68" s="284" t="str">
        <f>IFERROR(__xludf.DUMMYFUNCTION("IF(ISBLANK($C$4), 
  ""Show"",
  IF(
    REGEXMATCH($G68, ""Yes""),
    ""Show"",
    ""Hide""
  )
)"),"Show")</f>
        <v>Show</v>
      </c>
      <c r="I68" s="283"/>
      <c r="J68" s="283"/>
      <c r="K68" s="283"/>
      <c r="L68" s="283"/>
      <c r="M68" s="283"/>
      <c r="N68" s="283"/>
      <c r="O68" s="283"/>
      <c r="P68" s="283"/>
      <c r="Q68" s="283"/>
      <c r="R68" s="283"/>
      <c r="S68" s="283"/>
      <c r="T68" s="283"/>
    </row>
    <row r="69">
      <c r="A69" s="63" t="str">
        <f>'AI Lifecycle Risks'!C59</f>
        <v>Platform 12.2: Lack of penetration testing, red teaming and bug bounty</v>
      </c>
      <c r="B69" s="63" t="str">
        <f>'AI Lifecycle Risks'!B59</f>
        <v>Operations and Platform</v>
      </c>
      <c r="C69" s="63" t="str">
        <f>'AI Lifecycle Risks'!D59</f>
        <v>Penetration testing and bug bounty programs are vital in securing software that supports data and AI/ML operations. Unlike in direct attacks on AI/ML algorithms, adversaries often target underlying software risks, such as the OWASP Top 10. These foundational software layers are generally more prone to attacks than the AI/ML components.  AI red teaming, especially for large language models, is an important component of developing and deploying models safely.
Penetration testing involves skilled experts actively seeking and exploiting weaknesses, mimicking real attack scenarios. Bug bounty programs encourage external ethical hackers to find and report vulnerabilities, rewarding them for their discoveries. This combination of internal and external security testing enhances overall system protection, safeguarding the integrity of AI/ML infrastructures against cyber threats.</v>
      </c>
      <c r="D69" s="63" t="str">
        <f>'AI Lifecycle Risks'!O59</f>
        <v>• Undiscovered Technical Vulnerabilities within AI Systems
• Cyber Security Incident
• Compromise of AI Systems
• Regulatory Non-compliance
• Failure to Achieve Organizational AI Strategy and Goals</v>
      </c>
      <c r="E69" s="63" t="str">
        <f>'AI Lifecycle Risks'!P59</f>
        <v>• Financial Loss
• Response Costs
• Customer Retention
• Regulatory Fines and Judgement</v>
      </c>
      <c r="F69" s="63" t="str">
        <f>'AI Lifecycle Risks'!E59</f>
        <v>DASF 39</v>
      </c>
      <c r="G69"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69" s="284" t="str">
        <f>IFERROR(__xludf.DUMMYFUNCTION("IF(ISBLANK($C$4), 
  ""Show"",
  IF(
    REGEXMATCH($G69, ""Yes""),
    ""Show"",
    ""Hide""
  )
)"),"Show")</f>
        <v>Show</v>
      </c>
      <c r="I69" s="283"/>
      <c r="J69" s="283"/>
      <c r="K69" s="283"/>
      <c r="L69" s="283"/>
      <c r="M69" s="283"/>
      <c r="N69" s="283"/>
      <c r="O69" s="283"/>
      <c r="P69" s="283"/>
      <c r="Q69" s="283"/>
      <c r="R69" s="283"/>
      <c r="S69" s="283"/>
      <c r="T69" s="283"/>
    </row>
    <row r="70">
      <c r="A70" s="63" t="str">
        <f>'AI Lifecycle Risks'!C60</f>
        <v>Platform 12.3: Lack of incident response</v>
      </c>
      <c r="B70" s="63" t="str">
        <f>'AI Lifecycle Risks'!B60</f>
        <v>Operations and Platform</v>
      </c>
      <c r="C70" s="63" t="str">
        <f>'AI Lifecycle Risks'!D60</f>
        <v>AI/ML applications are mission-critical for business. Your chosen platform vendor must address security issues in machine learning operations quickly and effectively. The program should combine automated monitoring with manual analysis to address general and ML-specific threats.</v>
      </c>
      <c r="D70" s="63" t="str">
        <f>'AI Lifecycle Risks'!O60</f>
        <v>• Inability to Respond to Cyber Security Events
• Inability to Respond to Incidents
• Delayed Response to Cyber Security Events
• Delayed Response to Incidents or System Outages
• Regulatory Non-compliance
• Failure to Achieve Organizational AI Strategy and Goals</v>
      </c>
      <c r="E70" s="63" t="str">
        <f>'AI Lifecycle Risks'!P60</f>
        <v>• Financial Loss
• Customer Retention
• Regulatory Fines and Judgement</v>
      </c>
      <c r="F70" s="63" t="str">
        <f>'AI Lifecycle Risks'!E60</f>
        <v>DASF 39</v>
      </c>
      <c r="G70"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70" s="284" t="str">
        <f>IFERROR(__xludf.DUMMYFUNCTION("IF(ISBLANK($C$4), 
  ""Show"",
  IF(
    REGEXMATCH($G70, ""Yes""),
    ""Show"",
    ""Hide""
  )
)"),"Show")</f>
        <v>Show</v>
      </c>
      <c r="I70" s="283"/>
      <c r="J70" s="283"/>
      <c r="K70" s="283"/>
      <c r="L70" s="283"/>
      <c r="M70" s="283"/>
      <c r="N70" s="283"/>
      <c r="O70" s="283"/>
      <c r="P70" s="283"/>
      <c r="Q70" s="283"/>
      <c r="R70" s="283"/>
      <c r="S70" s="283"/>
      <c r="T70" s="283"/>
    </row>
    <row r="71">
      <c r="A71" s="63" t="str">
        <f>'AI Lifecycle Risks'!C61</f>
        <v>Platform 12.4: Unauthorized privileged access </v>
      </c>
      <c r="B71" s="63" t="str">
        <f>'AI Lifecycle Risks'!B61</f>
        <v>Operations and Platform</v>
      </c>
      <c r="C71" s="63" t="str">
        <f>'AI Lifecycle Risks'!D61</f>
        <v>A significant security threat in machine learning platforms arises from malicious internal actors, such as employees or contractors. These individuals might gain unauthorized access to private training data or ML models, posing a grave risk to the integrity and confidentiality of the assets. Such unauthorized access can lead to data breaches, leakage of sensitive or proprietary information, business process abuses, and potential sabotage of the ML systems. Implementing stringent internal security measures and monitoring protocols is critical to mitigate insider risks from the platform vendor.</v>
      </c>
      <c r="D71" s="63" t="str">
        <f>'AI Lifecycle Risks'!O61</f>
        <v>• Cyber Security Incident
• Loss of AI System Integrity
• Disruption of Business Operations and Service Availability
• Unauthorised Access to Customer Data
• Unauthorised Access to Training Data 
• Data breach
• Breach of Legal Obligations
• Breach of Regulatory Obligations
• Regulatory non-compliance
• Loss of data integrity</v>
      </c>
      <c r="E71" s="63" t="str">
        <f>'AI Lifecycle Risks'!P61</f>
        <v>• Financial Loss
• Response Costs
• Customer Retention
• Legal fines
• Regulatory Fines and Judgement</v>
      </c>
      <c r="F71" s="63" t="str">
        <f>'AI Lifecycle Risks'!E61</f>
        <v>DASF 40</v>
      </c>
      <c r="G71"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71" s="284" t="str">
        <f>IFERROR(__xludf.DUMMYFUNCTION("IF(ISBLANK($C$4), 
  ""Show"",
  IF(
    REGEXMATCH($G71, ""Yes""),
    ""Show"",
    ""Hide""
  )
)"),"Show")</f>
        <v>Show</v>
      </c>
      <c r="I71" s="283"/>
      <c r="J71" s="283"/>
      <c r="K71" s="283"/>
      <c r="L71" s="283"/>
      <c r="M71" s="283"/>
      <c r="N71" s="283"/>
      <c r="O71" s="283"/>
      <c r="P71" s="283"/>
      <c r="Q71" s="283"/>
      <c r="R71" s="283"/>
      <c r="S71" s="283"/>
      <c r="T71" s="283"/>
    </row>
    <row r="72">
      <c r="A72" s="63" t="str">
        <f>'AI Lifecycle Risks'!C62</f>
        <v>Platform 12.5: Poor security in the software development lifecycle</v>
      </c>
      <c r="B72" s="63" t="str">
        <f>'AI Lifecycle Risks'!B62</f>
        <v>Operations and Platform</v>
      </c>
      <c r="C72" s="63" t="str">
        <f>'AI Lifecycle Risks'!D62</f>
        <v>Software platform security is an important part of any progressive security program. ML hackers have shown that they don’t need to know sophisticated AI/ML concepts to compromise a system. Hackers have busied themselves with exposing and exploiting bugs in a platform where AI is built as those systems are well known to them. The security of AI depends on the platform’s security.</v>
      </c>
      <c r="D72" s="63" t="str">
        <f>'AI Lifecycle Risks'!O62</f>
        <v>• Supply Chain Attack
• Cyber Security Incident
• Loss of AI System Availability
• Loss of AI System Integrity
• Data Breach
• Regulatory Non-compliance</v>
      </c>
      <c r="E72" s="63" t="str">
        <f>'AI Lifecycle Risks'!P62</f>
        <v>• Financial Loss
• Response Costs
• Legal Fines
• Customer Retention
• Regulatory Fines and Judgement
• Direct Business Interruption</v>
      </c>
      <c r="F72" s="63" t="str">
        <f>'AI Lifecycle Risks'!E62</f>
        <v>DASF 41</v>
      </c>
      <c r="G72"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72" s="284" t="str">
        <f>IFERROR(__xludf.DUMMYFUNCTION("IF(ISBLANK($C$4), 
  ""Show"",
  IF(
    REGEXMATCH($G72, ""Yes""),
    ""Show"",
    ""Hide""
  )
)"),"Show")</f>
        <v>Show</v>
      </c>
      <c r="I72" s="283"/>
      <c r="J72" s="283"/>
      <c r="K72" s="283"/>
      <c r="L72" s="283"/>
      <c r="M72" s="283"/>
      <c r="N72" s="283"/>
      <c r="O72" s="283"/>
      <c r="P72" s="283"/>
      <c r="Q72" s="283"/>
      <c r="R72" s="283"/>
      <c r="S72" s="283"/>
      <c r="T72" s="283"/>
    </row>
    <row r="73">
      <c r="A73" s="63" t="str">
        <f>'AI Lifecycle Risks'!C63</f>
        <v>Platform 12.6: Lack of compliance</v>
      </c>
      <c r="B73" s="63" t="str">
        <f>'AI Lifecycle Risks'!B63</f>
        <v>Operations and Platform</v>
      </c>
      <c r="C73" s="63" t="str">
        <f>'AI Lifecycle Risks'!D63</f>
        <v>As AI applications become prevalent, they are increasingly subject to scrutiny and regulations, such as the General Data Protection Regulation (GDPR) in the European Union and the California Consumer Privacy Act (CCPA) in the United States. Navigating these regulations can be complex, particularly regarding data privacy and user rights. Utilizing a compliance-certified platform can be a significant advantage for organizations. These platforms are specifically designed to meet regulatory standards, providing essential tools and resources to help organizations build and deploy AI applications that are compliant with these laws. By leveraging such platforms, organizations can more effectively address regulatory compliance challenges, ensuring their AI initiatives align with legal requirements and best practices for data protection.</v>
      </c>
      <c r="D73" s="63" t="str">
        <f>'AI Lifecycle Risks'!O63</f>
        <v>• Limited Ability to Meet Legal Compliance
• Limited Ability to Meet Regulatory Compliance
• Regulatory non-compliance</v>
      </c>
      <c r="E73" s="63" t="str">
        <f>'AI Lifecycle Risks'!P63</f>
        <v>• Financial Loss
• Legal Fines
• Customer Retention
• Regulatory Fines and Judgement</v>
      </c>
      <c r="F73" s="63" t="str">
        <f>'AI Lifecycle Risks'!E63</f>
        <v>DASF 50</v>
      </c>
      <c r="G73"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)"),"Yes,Yes,No,")</f>
        <v>Yes,Yes,No,</v>
      </c>
      <c r="H73" s="284" t="str">
        <f>IFERROR(__xludf.DUMMYFUNCTION("IF(ISBLANK($C$4), 
  ""Show"",
  IF(
    REGEXMATCH($G73, ""Yes""),
    ""Show"",
    ""Hide""
  )
)"),"Show")</f>
        <v>Show</v>
      </c>
      <c r="I73" s="283"/>
      <c r="J73" s="283"/>
      <c r="K73" s="283"/>
      <c r="L73" s="283"/>
      <c r="M73" s="283"/>
      <c r="N73" s="283"/>
      <c r="O73" s="283"/>
      <c r="P73" s="283"/>
      <c r="Q73" s="283"/>
      <c r="R73" s="283"/>
      <c r="S73" s="283"/>
      <c r="T73" s="283"/>
    </row>
    <row r="74">
      <c r="A74" s="63" t="str">
        <f>'AI Lifecycle Risks'!C64</f>
        <v>Platform 12.7: Initial Access</v>
      </c>
      <c r="B74" s="63" t="str">
        <f>'AI Lifecycle Risks'!B64</f>
        <v>Operations and Platform</v>
      </c>
      <c r="C74" s="63" t="str">
        <f>'AI Lifecycle Risks'!D64</f>
        <v>The adversary is trying to gain access to the machine learning system.
The target system could be a network, mobile device, or an edge device such as a sensor platform. The machine learning capabilities used by the system could be local with onboard or cloud-enabled ML capabilities.
Initial Access consists of techniques that use various entry vectors to gain their initial foothold within the system.</v>
      </c>
      <c r="D74" s="63" t="str">
        <f>'AI Lifecycle Risks'!O64</f>
        <v>• Compromise of AI Systems
• Subsequent Downstream System Impact or Compromise
• Regulatory Non-compliance</v>
      </c>
      <c r="E74" s="63" t="str">
        <f>'AI Lifecycle Risks'!P64</f>
        <v>• Legal Fines
• Response Costs
• Customer Retention
• Regulatory Fines and Judgement</v>
      </c>
      <c r="F74" s="63" t="str">
        <f>'AI Lifecycle Risks'!E64</f>
        <v>DASF 1
DASF 2
DASF 3
DASF 4
DASF 5
DASF 31
DASF 55
DASF 67</v>
      </c>
      <c r="G74" s="284" t="str">
        <f>IFERROR(__xludf.DUMMYFUNCTION("IF(LEN($C$4)=0, """",
  CONCATENATE(
    IF(REGEXMATCH(TRIM($C$4), ""Predictive ML Models""),
      INDIRECT(""'AI Lifecycle Risks'!H""&amp;(ROW()-13+3))&amp;"","",
      """"
    ),
    IF(REGEXMATCH(TRIM($C$4), ""RAG - LLMs""),
      INDIRECT(""'AI Lifecycle Ri"&amp;"sks'!I""&amp;(ROW()-13+3))&amp;"","",
      """"
    ),
    IF(REGEXMATCH(TRIM($C$4), ""Fine-tuned LLMs""),
      INDIRECT(""'AI Lifecycle Risks'!J""&amp;(ROW()-13+3))&amp;"","",
      """"
    ),
    IF(REGEXMATCH(TRIM($C$4), ""Pre-trained LLMs""),
      INDIRECT(""'AI "&amp;"Lifecycle Risks'!K""&amp;(ROW()-13+3))&amp;"","",
      """"
    ),
    IF(REGEXMATCH(TRIM($C$4), ""Foundational LLMs""),
      INDIRECT(""'AI Lifecycle Risks'!L""&amp;(ROW()-13+3))&amp;"","",
      """"
    ),
    IF(REGEXMATCH(TRIM($C$4), ""External Models""),
      IN"&amp;"DIRECT(""'AI Lifecycle Risks'!M""&amp;(ROW()-13+3))&amp;"","",
      """"
    )
  )
)"),"Yes,Yes,Yes,")</f>
        <v>Yes,Yes,Yes,</v>
      </c>
      <c r="H74" s="284" t="str">
        <f>IFERROR(__xludf.DUMMYFUNCTION("IF(ISBLANK($C$4), 
  ""Show"",
  IF(
    REGEXMATCH($G74, ""Yes""),
    ""Show"",
    ""Hide""
  )
)"),"Show")</f>
        <v>Show</v>
      </c>
      <c r="I74" s="283"/>
      <c r="J74" s="283"/>
      <c r="K74" s="283"/>
      <c r="L74" s="283"/>
      <c r="M74" s="283"/>
      <c r="N74" s="283"/>
      <c r="O74" s="283"/>
      <c r="P74" s="283"/>
      <c r="Q74" s="283"/>
      <c r="R74" s="283"/>
      <c r="S74" s="283"/>
      <c r="T74" s="283"/>
    </row>
    <row r="75">
      <c r="A75" s="300"/>
      <c r="B75" s="282"/>
      <c r="C75" s="283"/>
      <c r="D75" s="282"/>
      <c r="E75" s="283"/>
      <c r="F75" s="283"/>
      <c r="G75" s="284"/>
      <c r="H75" s="284"/>
      <c r="I75" s="283"/>
      <c r="J75" s="283"/>
      <c r="K75" s="283"/>
      <c r="L75" s="283"/>
      <c r="M75" s="283"/>
      <c r="N75" s="283"/>
      <c r="O75" s="283"/>
      <c r="P75" s="283"/>
      <c r="Q75" s="283"/>
      <c r="R75" s="283"/>
      <c r="S75" s="283"/>
      <c r="T75" s="283"/>
    </row>
    <row r="76">
      <c r="A76" s="300"/>
      <c r="B76" s="282"/>
      <c r="C76" s="283"/>
      <c r="D76" s="282"/>
      <c r="E76" s="283"/>
      <c r="F76" s="283"/>
      <c r="G76" s="284"/>
      <c r="H76" s="284"/>
      <c r="I76" s="283"/>
      <c r="J76" s="283"/>
      <c r="K76" s="283"/>
      <c r="L76" s="283"/>
      <c r="M76" s="283"/>
      <c r="N76" s="283"/>
      <c r="O76" s="283"/>
      <c r="P76" s="283"/>
      <c r="Q76" s="283"/>
      <c r="R76" s="283"/>
      <c r="S76" s="283"/>
      <c r="T76" s="283"/>
    </row>
    <row r="77">
      <c r="A77" s="300"/>
      <c r="B77" s="282"/>
      <c r="C77" s="283"/>
      <c r="D77" s="282"/>
      <c r="E77" s="283"/>
      <c r="F77" s="283"/>
      <c r="G77" s="284"/>
      <c r="H77" s="284"/>
      <c r="I77" s="283"/>
      <c r="J77" s="283"/>
      <c r="K77" s="283"/>
      <c r="L77" s="283"/>
      <c r="M77" s="283"/>
      <c r="N77" s="283"/>
      <c r="O77" s="283"/>
      <c r="P77" s="283"/>
      <c r="Q77" s="283"/>
      <c r="R77" s="283"/>
      <c r="S77" s="283"/>
      <c r="T77" s="283"/>
    </row>
    <row r="78">
      <c r="A78" s="300"/>
      <c r="B78" s="282"/>
      <c r="C78" s="283"/>
      <c r="D78" s="282"/>
      <c r="E78" s="283"/>
      <c r="F78" s="283"/>
      <c r="G78" s="284"/>
      <c r="H78" s="284"/>
      <c r="I78" s="283"/>
      <c r="J78" s="283"/>
      <c r="K78" s="283"/>
      <c r="L78" s="283"/>
      <c r="M78" s="283"/>
      <c r="N78" s="283"/>
      <c r="O78" s="283"/>
      <c r="P78" s="283"/>
      <c r="Q78" s="283"/>
      <c r="R78" s="283"/>
      <c r="S78" s="283"/>
      <c r="T78" s="283"/>
    </row>
    <row r="79">
      <c r="A79" s="300"/>
      <c r="B79" s="282"/>
      <c r="C79" s="283"/>
      <c r="D79" s="282"/>
      <c r="E79" s="283"/>
      <c r="F79" s="283"/>
      <c r="G79" s="284"/>
      <c r="H79" s="284"/>
      <c r="I79" s="283"/>
      <c r="J79" s="283"/>
      <c r="K79" s="283"/>
      <c r="L79" s="283"/>
      <c r="M79" s="283"/>
      <c r="N79" s="283"/>
      <c r="O79" s="283"/>
      <c r="P79" s="283"/>
      <c r="Q79" s="283"/>
      <c r="R79" s="283"/>
      <c r="S79" s="283"/>
      <c r="T79" s="283"/>
    </row>
    <row r="80">
      <c r="A80" s="300"/>
      <c r="B80" s="282"/>
      <c r="C80" s="283"/>
      <c r="D80" s="282"/>
      <c r="E80" s="283"/>
      <c r="F80" s="283"/>
      <c r="G80" s="284"/>
      <c r="H80" s="284"/>
      <c r="I80" s="283"/>
      <c r="J80" s="283"/>
      <c r="K80" s="283"/>
      <c r="L80" s="283"/>
      <c r="M80" s="283"/>
      <c r="N80" s="283"/>
      <c r="O80" s="283"/>
      <c r="P80" s="283"/>
      <c r="Q80" s="283"/>
      <c r="R80" s="283"/>
      <c r="S80" s="283"/>
      <c r="T80" s="283"/>
    </row>
    <row r="81">
      <c r="A81" s="300"/>
      <c r="B81" s="282"/>
      <c r="C81" s="283"/>
      <c r="D81" s="282"/>
      <c r="E81" s="283"/>
      <c r="F81" s="283"/>
      <c r="G81" s="284"/>
      <c r="H81" s="284"/>
      <c r="I81" s="283"/>
      <c r="J81" s="283"/>
      <c r="K81" s="283"/>
      <c r="L81" s="283"/>
      <c r="M81" s="283"/>
      <c r="N81" s="283"/>
      <c r="O81" s="283"/>
      <c r="P81" s="283"/>
      <c r="Q81" s="283"/>
      <c r="R81" s="283"/>
      <c r="S81" s="283"/>
      <c r="T81" s="283"/>
    </row>
    <row r="82">
      <c r="A82" s="300"/>
      <c r="B82" s="282"/>
      <c r="C82" s="283"/>
      <c r="D82" s="282"/>
      <c r="E82" s="283"/>
      <c r="F82" s="283"/>
      <c r="G82" s="284"/>
      <c r="H82" s="284"/>
      <c r="I82" s="283"/>
      <c r="J82" s="283"/>
      <c r="K82" s="283"/>
      <c r="L82" s="283"/>
      <c r="M82" s="283"/>
      <c r="N82" s="283"/>
      <c r="O82" s="283"/>
      <c r="P82" s="283"/>
      <c r="Q82" s="283"/>
      <c r="R82" s="283"/>
      <c r="S82" s="283"/>
      <c r="T82" s="283"/>
    </row>
    <row r="83">
      <c r="A83" s="300"/>
      <c r="B83" s="282"/>
      <c r="C83" s="283"/>
      <c r="D83" s="282"/>
      <c r="E83" s="283"/>
      <c r="F83" s="283"/>
      <c r="G83" s="284"/>
      <c r="H83" s="284"/>
      <c r="I83" s="283"/>
      <c r="J83" s="283"/>
      <c r="K83" s="283"/>
      <c r="L83" s="283"/>
      <c r="M83" s="283"/>
      <c r="N83" s="283"/>
      <c r="O83" s="283"/>
      <c r="P83" s="283"/>
      <c r="Q83" s="283"/>
      <c r="R83" s="283"/>
      <c r="S83" s="283"/>
      <c r="T83" s="283"/>
    </row>
    <row r="84">
      <c r="A84" s="300"/>
      <c r="B84" s="282"/>
      <c r="C84" s="283"/>
      <c r="D84" s="282"/>
      <c r="E84" s="283"/>
      <c r="F84" s="283"/>
      <c r="G84" s="284"/>
      <c r="H84" s="284"/>
      <c r="I84" s="283"/>
      <c r="J84" s="283"/>
      <c r="K84" s="283"/>
      <c r="L84" s="283"/>
      <c r="M84" s="283"/>
      <c r="N84" s="283"/>
      <c r="O84" s="283"/>
      <c r="P84" s="283"/>
      <c r="Q84" s="283"/>
      <c r="R84" s="283"/>
      <c r="S84" s="283"/>
      <c r="T84" s="283"/>
    </row>
    <row r="85">
      <c r="A85" s="300"/>
      <c r="B85" s="282"/>
      <c r="C85" s="283"/>
      <c r="D85" s="282"/>
      <c r="E85" s="283"/>
      <c r="F85" s="283"/>
      <c r="G85" s="284"/>
      <c r="H85" s="284"/>
      <c r="I85" s="283"/>
      <c r="J85" s="283"/>
      <c r="K85" s="283"/>
      <c r="L85" s="283"/>
      <c r="M85" s="283"/>
      <c r="N85" s="283"/>
      <c r="O85" s="283"/>
      <c r="P85" s="283"/>
      <c r="Q85" s="283"/>
      <c r="R85" s="283"/>
      <c r="S85" s="283"/>
      <c r="T85" s="283"/>
    </row>
    <row r="86">
      <c r="A86" s="300"/>
      <c r="B86" s="282"/>
      <c r="C86" s="283"/>
      <c r="D86" s="282"/>
      <c r="E86" s="283"/>
      <c r="F86" s="283"/>
      <c r="G86" s="284"/>
      <c r="H86" s="284"/>
      <c r="I86" s="283"/>
      <c r="J86" s="283"/>
      <c r="K86" s="283"/>
      <c r="L86" s="283"/>
      <c r="M86" s="283"/>
      <c r="N86" s="283"/>
      <c r="O86" s="283"/>
      <c r="P86" s="283"/>
      <c r="Q86" s="283"/>
      <c r="R86" s="283"/>
      <c r="S86" s="283"/>
      <c r="T86" s="283"/>
    </row>
    <row r="87">
      <c r="A87" s="300"/>
      <c r="B87" s="282"/>
      <c r="C87" s="283"/>
      <c r="D87" s="282"/>
      <c r="E87" s="283"/>
      <c r="F87" s="283"/>
      <c r="G87" s="284"/>
      <c r="H87" s="284"/>
      <c r="I87" s="283"/>
      <c r="J87" s="283"/>
      <c r="K87" s="283"/>
      <c r="L87" s="283"/>
      <c r="M87" s="283"/>
      <c r="N87" s="283"/>
      <c r="O87" s="283"/>
      <c r="P87" s="283"/>
      <c r="Q87" s="283"/>
      <c r="R87" s="283"/>
      <c r="S87" s="283"/>
      <c r="T87" s="283"/>
    </row>
    <row r="88">
      <c r="A88" s="300"/>
      <c r="B88" s="282"/>
      <c r="C88" s="283"/>
      <c r="D88" s="282"/>
      <c r="E88" s="283"/>
      <c r="F88" s="283"/>
      <c r="G88" s="284"/>
      <c r="H88" s="284"/>
      <c r="I88" s="283"/>
      <c r="J88" s="283"/>
      <c r="K88" s="283"/>
      <c r="L88" s="283"/>
      <c r="M88" s="283"/>
      <c r="N88" s="283"/>
      <c r="O88" s="283"/>
      <c r="P88" s="283"/>
      <c r="Q88" s="283"/>
      <c r="R88" s="283"/>
      <c r="S88" s="283"/>
      <c r="T88" s="283"/>
    </row>
    <row r="89">
      <c r="A89" s="300"/>
      <c r="B89" s="282"/>
      <c r="C89" s="283"/>
      <c r="D89" s="282"/>
      <c r="E89" s="283"/>
      <c r="F89" s="283"/>
      <c r="G89" s="284"/>
      <c r="H89" s="284"/>
      <c r="I89" s="283"/>
      <c r="J89" s="283"/>
      <c r="K89" s="283"/>
      <c r="L89" s="283"/>
      <c r="M89" s="283"/>
      <c r="N89" s="283"/>
      <c r="O89" s="283"/>
      <c r="P89" s="283"/>
      <c r="Q89" s="283"/>
      <c r="R89" s="283"/>
      <c r="S89" s="283"/>
      <c r="T89" s="283"/>
    </row>
    <row r="90">
      <c r="A90" s="300"/>
      <c r="B90" s="282"/>
      <c r="C90" s="283"/>
      <c r="D90" s="282"/>
      <c r="E90" s="283"/>
      <c r="F90" s="283"/>
      <c r="G90" s="284"/>
      <c r="H90" s="284"/>
      <c r="I90" s="283"/>
      <c r="J90" s="283"/>
      <c r="K90" s="283"/>
      <c r="L90" s="283"/>
      <c r="M90" s="283"/>
      <c r="N90" s="283"/>
      <c r="O90" s="283"/>
      <c r="P90" s="283"/>
      <c r="Q90" s="283"/>
      <c r="R90" s="283"/>
      <c r="S90" s="283"/>
      <c r="T90" s="283"/>
    </row>
    <row r="91">
      <c r="A91" s="300"/>
      <c r="B91" s="282"/>
      <c r="C91" s="283"/>
      <c r="D91" s="282"/>
      <c r="E91" s="283"/>
      <c r="F91" s="283"/>
      <c r="G91" s="284"/>
      <c r="H91" s="284"/>
      <c r="I91" s="283"/>
      <c r="J91" s="283"/>
      <c r="K91" s="283"/>
      <c r="L91" s="283"/>
      <c r="M91" s="283"/>
      <c r="N91" s="283"/>
      <c r="O91" s="283"/>
      <c r="P91" s="283"/>
      <c r="Q91" s="283"/>
      <c r="R91" s="283"/>
      <c r="S91" s="283"/>
      <c r="T91" s="283"/>
    </row>
    <row r="92">
      <c r="B92" s="282"/>
      <c r="C92" s="283"/>
      <c r="D92" s="282"/>
      <c r="E92" s="283"/>
      <c r="F92" s="283"/>
      <c r="G92" s="284"/>
      <c r="H92" s="284"/>
      <c r="I92" s="283"/>
      <c r="J92" s="283"/>
      <c r="K92" s="283"/>
      <c r="L92" s="283"/>
      <c r="M92" s="283"/>
      <c r="N92" s="283"/>
      <c r="O92" s="283"/>
      <c r="P92" s="283"/>
      <c r="Q92" s="283"/>
      <c r="R92" s="283"/>
      <c r="S92" s="283"/>
      <c r="T92" s="283"/>
    </row>
    <row r="93">
      <c r="A93" s="300"/>
      <c r="B93" s="282"/>
      <c r="C93" s="283"/>
      <c r="D93" s="282"/>
      <c r="E93" s="283"/>
      <c r="F93" s="283"/>
      <c r="G93" s="284"/>
      <c r="H93" s="284"/>
      <c r="I93" s="283"/>
      <c r="J93" s="283"/>
      <c r="K93" s="283"/>
      <c r="L93" s="283"/>
      <c r="M93" s="283"/>
      <c r="N93" s="283"/>
      <c r="O93" s="283"/>
      <c r="P93" s="283"/>
      <c r="Q93" s="283"/>
      <c r="R93" s="283"/>
      <c r="S93" s="283"/>
      <c r="T93" s="283"/>
    </row>
    <row r="94">
      <c r="A94" s="300"/>
      <c r="B94" s="282"/>
      <c r="C94" s="283"/>
      <c r="D94" s="282"/>
      <c r="E94" s="283"/>
      <c r="F94" s="283"/>
      <c r="G94" s="284"/>
      <c r="H94" s="284"/>
      <c r="I94" s="283"/>
      <c r="J94" s="283"/>
      <c r="K94" s="283"/>
      <c r="L94" s="283"/>
      <c r="M94" s="283"/>
      <c r="N94" s="283"/>
      <c r="O94" s="283"/>
      <c r="P94" s="283"/>
      <c r="Q94" s="283"/>
      <c r="R94" s="283"/>
      <c r="S94" s="283"/>
      <c r="T94" s="283"/>
    </row>
    <row r="95">
      <c r="A95" s="300"/>
      <c r="B95" s="282"/>
      <c r="C95" s="283"/>
      <c r="D95" s="282"/>
      <c r="E95" s="283"/>
      <c r="F95" s="283"/>
      <c r="G95" s="284"/>
      <c r="H95" s="284"/>
      <c r="I95" s="283"/>
      <c r="J95" s="283"/>
      <c r="K95" s="283"/>
      <c r="L95" s="283"/>
      <c r="M95" s="283"/>
      <c r="N95" s="283"/>
      <c r="O95" s="283"/>
      <c r="P95" s="283"/>
      <c r="Q95" s="283"/>
      <c r="R95" s="283"/>
      <c r="S95" s="283"/>
      <c r="T95" s="283"/>
    </row>
    <row r="96">
      <c r="A96" s="300"/>
      <c r="B96" s="282"/>
      <c r="C96" s="283"/>
      <c r="D96" s="282"/>
      <c r="E96" s="283"/>
      <c r="F96" s="283"/>
      <c r="G96" s="284"/>
      <c r="H96" s="284"/>
      <c r="I96" s="283"/>
      <c r="J96" s="283"/>
      <c r="K96" s="283"/>
      <c r="L96" s="283"/>
      <c r="M96" s="283"/>
      <c r="N96" s="283"/>
      <c r="O96" s="283"/>
      <c r="P96" s="283"/>
      <c r="Q96" s="283"/>
      <c r="R96" s="283"/>
      <c r="S96" s="283"/>
      <c r="T96" s="283"/>
    </row>
    <row r="97">
      <c r="A97" s="300"/>
      <c r="B97" s="282"/>
      <c r="C97" s="283"/>
      <c r="D97" s="282"/>
      <c r="E97" s="283"/>
      <c r="F97" s="283"/>
      <c r="G97" s="284"/>
      <c r="H97" s="284"/>
      <c r="I97" s="283"/>
      <c r="J97" s="283"/>
      <c r="K97" s="283"/>
      <c r="L97" s="283"/>
      <c r="M97" s="283"/>
      <c r="N97" s="283"/>
      <c r="O97" s="283"/>
      <c r="P97" s="283"/>
      <c r="Q97" s="283"/>
      <c r="R97" s="283"/>
      <c r="S97" s="283"/>
      <c r="T97" s="283"/>
    </row>
    <row r="98">
      <c r="A98" s="300"/>
      <c r="B98" s="282"/>
      <c r="C98" s="283"/>
      <c r="D98" s="282"/>
      <c r="E98" s="283"/>
      <c r="F98" s="283"/>
      <c r="G98" s="284"/>
      <c r="H98" s="284"/>
      <c r="I98" s="283"/>
      <c r="J98" s="283"/>
      <c r="K98" s="283"/>
      <c r="L98" s="283"/>
      <c r="M98" s="283"/>
      <c r="N98" s="283"/>
      <c r="O98" s="283"/>
      <c r="P98" s="283"/>
      <c r="Q98" s="283"/>
      <c r="R98" s="283"/>
      <c r="S98" s="283"/>
      <c r="T98" s="283"/>
    </row>
    <row r="99">
      <c r="A99" s="300"/>
      <c r="B99" s="282"/>
      <c r="C99" s="283"/>
      <c r="D99" s="282"/>
      <c r="E99" s="283"/>
      <c r="F99" s="283"/>
      <c r="G99" s="284"/>
      <c r="H99" s="284"/>
      <c r="I99" s="283"/>
      <c r="J99" s="283"/>
      <c r="K99" s="283"/>
      <c r="L99" s="283"/>
      <c r="M99" s="283"/>
      <c r="N99" s="283"/>
      <c r="O99" s="283"/>
      <c r="P99" s="283"/>
      <c r="Q99" s="283"/>
      <c r="R99" s="283"/>
      <c r="S99" s="283"/>
      <c r="T99" s="283"/>
    </row>
    <row r="100">
      <c r="A100" s="300"/>
      <c r="B100" s="282"/>
      <c r="C100" s="283"/>
      <c r="D100" s="282"/>
      <c r="E100" s="283"/>
      <c r="F100" s="283"/>
      <c r="G100" s="284"/>
      <c r="H100" s="284"/>
      <c r="I100" s="283"/>
      <c r="J100" s="283"/>
      <c r="K100" s="283"/>
      <c r="L100" s="283"/>
      <c r="M100" s="283"/>
      <c r="N100" s="283"/>
      <c r="O100" s="283"/>
      <c r="P100" s="283"/>
      <c r="Q100" s="283"/>
      <c r="R100" s="283"/>
      <c r="S100" s="283"/>
      <c r="T100" s="283"/>
    </row>
    <row r="101">
      <c r="A101" s="300"/>
      <c r="B101" s="282"/>
      <c r="C101" s="283"/>
      <c r="D101" s="282"/>
      <c r="E101" s="283"/>
      <c r="F101" s="283"/>
      <c r="G101" s="284"/>
      <c r="H101" s="284"/>
      <c r="I101" s="283"/>
      <c r="J101" s="283"/>
      <c r="K101" s="283"/>
      <c r="L101" s="283"/>
      <c r="M101" s="283"/>
      <c r="N101" s="283"/>
      <c r="O101" s="283"/>
      <c r="P101" s="283"/>
      <c r="Q101" s="283"/>
      <c r="R101" s="283"/>
      <c r="S101" s="283"/>
      <c r="T101" s="283"/>
    </row>
    <row r="102">
      <c r="A102" s="300"/>
      <c r="B102" s="282"/>
      <c r="C102" s="283"/>
      <c r="D102" s="282"/>
      <c r="E102" s="283"/>
      <c r="F102" s="283"/>
      <c r="G102" s="284"/>
      <c r="H102" s="284"/>
      <c r="I102" s="283"/>
      <c r="J102" s="283"/>
      <c r="K102" s="283"/>
      <c r="L102" s="283"/>
      <c r="M102" s="283"/>
      <c r="N102" s="283"/>
      <c r="O102" s="283"/>
      <c r="P102" s="283"/>
      <c r="Q102" s="283"/>
      <c r="R102" s="283"/>
      <c r="S102" s="283"/>
      <c r="T102" s="283"/>
    </row>
    <row r="103">
      <c r="A103" s="300"/>
      <c r="B103" s="282"/>
      <c r="C103" s="283"/>
      <c r="D103" s="282"/>
      <c r="E103" s="283"/>
      <c r="F103" s="283"/>
      <c r="G103" s="284"/>
      <c r="H103" s="284"/>
      <c r="I103" s="283"/>
      <c r="J103" s="283"/>
      <c r="K103" s="283"/>
      <c r="L103" s="283"/>
      <c r="M103" s="283"/>
      <c r="N103" s="283"/>
      <c r="O103" s="283"/>
      <c r="P103" s="283"/>
      <c r="Q103" s="283"/>
      <c r="R103" s="283"/>
      <c r="S103" s="283"/>
      <c r="T103" s="283"/>
    </row>
    <row r="104">
      <c r="A104" s="300"/>
      <c r="B104" s="282"/>
      <c r="C104" s="283"/>
      <c r="D104" s="282"/>
      <c r="E104" s="283"/>
      <c r="F104" s="283"/>
      <c r="G104" s="284"/>
      <c r="H104" s="284"/>
      <c r="I104" s="283"/>
      <c r="J104" s="283"/>
      <c r="K104" s="283"/>
      <c r="L104" s="283"/>
      <c r="M104" s="283"/>
      <c r="N104" s="283"/>
      <c r="O104" s="283"/>
      <c r="P104" s="283"/>
      <c r="Q104" s="283"/>
      <c r="R104" s="283"/>
      <c r="S104" s="283"/>
      <c r="T104" s="283"/>
    </row>
    <row r="105">
      <c r="A105" s="300"/>
      <c r="B105" s="282"/>
      <c r="C105" s="283"/>
      <c r="D105" s="282"/>
      <c r="E105" s="283"/>
      <c r="F105" s="283"/>
      <c r="G105" s="284"/>
      <c r="H105" s="284"/>
      <c r="I105" s="283"/>
      <c r="J105" s="283"/>
      <c r="K105" s="283"/>
      <c r="L105" s="283"/>
      <c r="M105" s="283"/>
      <c r="N105" s="283"/>
      <c r="O105" s="283"/>
      <c r="P105" s="283"/>
      <c r="Q105" s="283"/>
      <c r="R105" s="283"/>
      <c r="S105" s="283"/>
      <c r="T105" s="283"/>
    </row>
    <row r="106">
      <c r="A106" s="300"/>
      <c r="B106" s="282"/>
      <c r="C106" s="283"/>
      <c r="D106" s="282"/>
      <c r="E106" s="283"/>
      <c r="F106" s="283"/>
      <c r="G106" s="284"/>
      <c r="H106" s="284"/>
      <c r="I106" s="283"/>
      <c r="J106" s="283"/>
      <c r="K106" s="283"/>
      <c r="L106" s="283"/>
      <c r="M106" s="283"/>
      <c r="N106" s="283"/>
      <c r="O106" s="283"/>
      <c r="P106" s="283"/>
      <c r="Q106" s="283"/>
      <c r="R106" s="283"/>
      <c r="S106" s="283"/>
      <c r="T106" s="283"/>
    </row>
    <row r="107">
      <c r="A107" s="300"/>
      <c r="B107" s="282"/>
      <c r="C107" s="283"/>
      <c r="D107" s="282"/>
      <c r="E107" s="283"/>
      <c r="F107" s="283"/>
      <c r="G107" s="284"/>
      <c r="H107" s="284"/>
      <c r="I107" s="283"/>
      <c r="J107" s="283"/>
      <c r="K107" s="283"/>
      <c r="L107" s="283"/>
      <c r="M107" s="283"/>
      <c r="N107" s="283"/>
      <c r="O107" s="283"/>
      <c r="P107" s="283"/>
      <c r="Q107" s="283"/>
      <c r="R107" s="283"/>
      <c r="S107" s="283"/>
      <c r="T107" s="283"/>
    </row>
    <row r="108">
      <c r="A108" s="300"/>
      <c r="B108" s="282"/>
      <c r="C108" s="283"/>
      <c r="D108" s="282"/>
      <c r="E108" s="283"/>
      <c r="F108" s="283"/>
      <c r="G108" s="284"/>
      <c r="H108" s="284"/>
      <c r="I108" s="283"/>
      <c r="J108" s="283"/>
      <c r="K108" s="283"/>
      <c r="L108" s="283"/>
      <c r="M108" s="283"/>
      <c r="N108" s="283"/>
      <c r="O108" s="283"/>
      <c r="P108" s="283"/>
      <c r="Q108" s="283"/>
      <c r="R108" s="283"/>
      <c r="S108" s="283"/>
      <c r="T108" s="283"/>
    </row>
    <row r="109">
      <c r="A109" s="300"/>
      <c r="B109" s="282"/>
      <c r="C109" s="283"/>
      <c r="D109" s="282"/>
      <c r="E109" s="283"/>
      <c r="F109" s="283"/>
      <c r="G109" s="284"/>
      <c r="H109" s="284"/>
      <c r="I109" s="283"/>
      <c r="J109" s="283"/>
      <c r="K109" s="283"/>
      <c r="L109" s="283"/>
      <c r="M109" s="283"/>
      <c r="N109" s="283"/>
      <c r="O109" s="283"/>
      <c r="P109" s="283"/>
      <c r="Q109" s="283"/>
      <c r="R109" s="283"/>
      <c r="S109" s="283"/>
      <c r="T109" s="283"/>
    </row>
    <row r="110">
      <c r="A110" s="300"/>
      <c r="B110" s="282"/>
      <c r="C110" s="283"/>
      <c r="D110" s="282"/>
      <c r="E110" s="283"/>
      <c r="F110" s="283"/>
      <c r="G110" s="284"/>
      <c r="H110" s="284"/>
      <c r="I110" s="283"/>
      <c r="J110" s="283"/>
      <c r="K110" s="283"/>
      <c r="L110" s="283"/>
      <c r="M110" s="283"/>
      <c r="N110" s="283"/>
      <c r="O110" s="283"/>
      <c r="P110" s="283"/>
      <c r="Q110" s="283"/>
      <c r="R110" s="283"/>
      <c r="S110" s="283"/>
      <c r="T110" s="283"/>
    </row>
    <row r="111">
      <c r="A111" s="300"/>
      <c r="B111" s="282"/>
      <c r="C111" s="283"/>
      <c r="D111" s="282"/>
      <c r="E111" s="283"/>
      <c r="F111" s="283"/>
      <c r="G111" s="284"/>
      <c r="H111" s="284"/>
      <c r="I111" s="283"/>
      <c r="J111" s="283"/>
      <c r="K111" s="283"/>
      <c r="L111" s="283"/>
      <c r="M111" s="283"/>
      <c r="N111" s="283"/>
      <c r="O111" s="283"/>
      <c r="P111" s="283"/>
      <c r="Q111" s="283"/>
      <c r="R111" s="283"/>
      <c r="S111" s="283"/>
      <c r="T111" s="283"/>
    </row>
    <row r="112">
      <c r="A112" s="300"/>
      <c r="B112" s="282"/>
      <c r="C112" s="283"/>
      <c r="D112" s="282"/>
      <c r="E112" s="283"/>
      <c r="F112" s="283"/>
      <c r="G112" s="284"/>
      <c r="H112" s="284"/>
      <c r="I112" s="283"/>
      <c r="J112" s="283"/>
      <c r="K112" s="283"/>
      <c r="L112" s="283"/>
      <c r="M112" s="283"/>
      <c r="N112" s="283"/>
      <c r="O112" s="283"/>
      <c r="P112" s="283"/>
      <c r="Q112" s="283"/>
      <c r="R112" s="283"/>
      <c r="S112" s="283"/>
      <c r="T112" s="283"/>
    </row>
    <row r="113">
      <c r="A113" s="300"/>
      <c r="B113" s="282"/>
      <c r="C113" s="283"/>
      <c r="D113" s="282"/>
      <c r="E113" s="283"/>
      <c r="F113" s="283"/>
      <c r="G113" s="284"/>
      <c r="H113" s="284"/>
      <c r="I113" s="283"/>
      <c r="J113" s="283"/>
      <c r="K113" s="283"/>
      <c r="L113" s="283"/>
      <c r="M113" s="283"/>
      <c r="N113" s="283"/>
      <c r="O113" s="283"/>
      <c r="P113" s="283"/>
      <c r="Q113" s="283"/>
      <c r="R113" s="283"/>
      <c r="S113" s="283"/>
      <c r="T113" s="283"/>
    </row>
    <row r="114">
      <c r="A114" s="300"/>
      <c r="B114" s="282"/>
      <c r="C114" s="283"/>
      <c r="D114" s="282"/>
      <c r="E114" s="283"/>
      <c r="F114" s="283"/>
      <c r="G114" s="284"/>
      <c r="H114" s="284"/>
      <c r="I114" s="283"/>
      <c r="J114" s="283"/>
      <c r="K114" s="283"/>
      <c r="L114" s="283"/>
      <c r="M114" s="283"/>
      <c r="N114" s="283"/>
      <c r="O114" s="283"/>
      <c r="P114" s="283"/>
      <c r="Q114" s="283"/>
      <c r="R114" s="283"/>
      <c r="S114" s="283"/>
      <c r="T114" s="283"/>
    </row>
    <row r="115">
      <c r="A115" s="300"/>
      <c r="B115" s="282"/>
      <c r="C115" s="283"/>
      <c r="D115" s="282"/>
      <c r="E115" s="283"/>
      <c r="F115" s="283"/>
      <c r="G115" s="284"/>
      <c r="H115" s="284"/>
      <c r="I115" s="283"/>
      <c r="J115" s="283"/>
      <c r="K115" s="283"/>
      <c r="L115" s="283"/>
      <c r="M115" s="283"/>
      <c r="N115" s="283"/>
      <c r="O115" s="283"/>
      <c r="P115" s="283"/>
      <c r="Q115" s="283"/>
      <c r="R115" s="283"/>
      <c r="S115" s="283"/>
      <c r="T115" s="283"/>
    </row>
    <row r="116">
      <c r="A116" s="300"/>
      <c r="B116" s="282"/>
      <c r="C116" s="283"/>
      <c r="D116" s="282"/>
      <c r="E116" s="283"/>
      <c r="F116" s="283"/>
      <c r="G116" s="284"/>
      <c r="H116" s="284"/>
      <c r="I116" s="283"/>
      <c r="J116" s="283"/>
      <c r="K116" s="283"/>
      <c r="L116" s="283"/>
      <c r="M116" s="283"/>
      <c r="N116" s="283"/>
      <c r="O116" s="283"/>
      <c r="P116" s="283"/>
      <c r="Q116" s="283"/>
      <c r="R116" s="283"/>
      <c r="S116" s="283"/>
      <c r="T116" s="283"/>
    </row>
    <row r="117">
      <c r="A117" s="300"/>
      <c r="B117" s="282"/>
      <c r="C117" s="283"/>
      <c r="D117" s="282"/>
      <c r="E117" s="283"/>
      <c r="F117" s="283"/>
      <c r="G117" s="284"/>
      <c r="H117" s="284"/>
      <c r="I117" s="283"/>
      <c r="J117" s="283"/>
      <c r="K117" s="283"/>
      <c r="L117" s="283"/>
      <c r="M117" s="283"/>
      <c r="N117" s="283"/>
      <c r="O117" s="283"/>
      <c r="P117" s="283"/>
      <c r="Q117" s="283"/>
      <c r="R117" s="283"/>
      <c r="S117" s="283"/>
      <c r="T117" s="283"/>
    </row>
    <row r="118">
      <c r="A118" s="300"/>
      <c r="B118" s="282"/>
      <c r="C118" s="283"/>
      <c r="D118" s="282"/>
      <c r="E118" s="283"/>
      <c r="F118" s="283"/>
      <c r="G118" s="284"/>
      <c r="H118" s="284"/>
      <c r="I118" s="283"/>
      <c r="J118" s="283"/>
      <c r="K118" s="283"/>
      <c r="L118" s="283"/>
      <c r="M118" s="283"/>
      <c r="N118" s="283"/>
      <c r="O118" s="283"/>
      <c r="P118" s="283"/>
      <c r="Q118" s="283"/>
      <c r="R118" s="283"/>
      <c r="S118" s="283"/>
      <c r="T118" s="283"/>
    </row>
    <row r="119">
      <c r="A119" s="300"/>
      <c r="B119" s="282"/>
      <c r="C119" s="283"/>
      <c r="D119" s="282"/>
      <c r="E119" s="283"/>
      <c r="F119" s="283"/>
      <c r="G119" s="284"/>
      <c r="H119" s="284"/>
      <c r="I119" s="283"/>
      <c r="J119" s="283"/>
      <c r="K119" s="283"/>
      <c r="L119" s="283"/>
      <c r="M119" s="283"/>
      <c r="N119" s="283"/>
      <c r="O119" s="283"/>
      <c r="P119" s="283"/>
      <c r="Q119" s="283"/>
      <c r="R119" s="283"/>
      <c r="S119" s="283"/>
      <c r="T119" s="283"/>
    </row>
    <row r="120">
      <c r="A120" s="300"/>
      <c r="B120" s="282"/>
      <c r="C120" s="283"/>
      <c r="D120" s="282"/>
      <c r="E120" s="283"/>
      <c r="F120" s="283"/>
      <c r="G120" s="284"/>
      <c r="H120" s="284"/>
      <c r="I120" s="283"/>
      <c r="J120" s="283"/>
      <c r="K120" s="283"/>
      <c r="L120" s="283"/>
      <c r="M120" s="283"/>
      <c r="N120" s="283"/>
      <c r="O120" s="283"/>
      <c r="P120" s="283"/>
      <c r="Q120" s="283"/>
      <c r="R120" s="283"/>
      <c r="S120" s="283"/>
      <c r="T120" s="283"/>
    </row>
    <row r="121">
      <c r="A121" s="300"/>
      <c r="B121" s="282"/>
      <c r="C121" s="283"/>
      <c r="D121" s="282"/>
      <c r="E121" s="283"/>
      <c r="F121" s="283"/>
      <c r="G121" s="284"/>
      <c r="H121" s="284"/>
      <c r="I121" s="283"/>
      <c r="J121" s="283"/>
      <c r="K121" s="283"/>
      <c r="L121" s="283"/>
      <c r="M121" s="283"/>
      <c r="N121" s="283"/>
      <c r="O121" s="283"/>
      <c r="P121" s="283"/>
      <c r="Q121" s="283"/>
      <c r="R121" s="283"/>
      <c r="S121" s="283"/>
      <c r="T121" s="283"/>
    </row>
    <row r="122">
      <c r="A122" s="300"/>
      <c r="B122" s="282"/>
      <c r="C122" s="283"/>
      <c r="D122" s="282"/>
      <c r="E122" s="283"/>
      <c r="F122" s="283"/>
      <c r="G122" s="284"/>
      <c r="H122" s="284"/>
      <c r="I122" s="283"/>
      <c r="J122" s="283"/>
      <c r="K122" s="283"/>
      <c r="L122" s="283"/>
      <c r="M122" s="283"/>
      <c r="N122" s="283"/>
      <c r="O122" s="283"/>
      <c r="P122" s="283"/>
      <c r="Q122" s="283"/>
      <c r="R122" s="283"/>
      <c r="S122" s="283"/>
      <c r="T122" s="283"/>
    </row>
    <row r="123">
      <c r="A123" s="300"/>
      <c r="B123" s="282"/>
      <c r="C123" s="283"/>
      <c r="D123" s="282"/>
      <c r="E123" s="283"/>
      <c r="F123" s="283"/>
      <c r="G123" s="284"/>
      <c r="H123" s="284"/>
      <c r="I123" s="283"/>
      <c r="J123" s="283"/>
      <c r="K123" s="283"/>
      <c r="L123" s="283"/>
      <c r="M123" s="283"/>
      <c r="N123" s="283"/>
      <c r="O123" s="283"/>
      <c r="P123" s="283"/>
      <c r="Q123" s="283"/>
      <c r="R123" s="283"/>
      <c r="S123" s="283"/>
      <c r="T123" s="283"/>
    </row>
    <row r="124">
      <c r="A124" s="300"/>
      <c r="B124" s="282"/>
      <c r="C124" s="283"/>
      <c r="D124" s="282"/>
      <c r="E124" s="283"/>
      <c r="F124" s="283"/>
      <c r="G124" s="284"/>
      <c r="H124" s="284"/>
      <c r="I124" s="283"/>
      <c r="J124" s="283"/>
      <c r="K124" s="283"/>
      <c r="L124" s="283"/>
      <c r="M124" s="283"/>
      <c r="N124" s="283"/>
      <c r="O124" s="283"/>
      <c r="P124" s="283"/>
      <c r="Q124" s="283"/>
      <c r="R124" s="283"/>
      <c r="S124" s="283"/>
      <c r="T124" s="283"/>
    </row>
    <row r="125">
      <c r="A125" s="300"/>
      <c r="B125" s="282"/>
      <c r="C125" s="283"/>
      <c r="D125" s="282"/>
      <c r="E125" s="283"/>
      <c r="F125" s="283"/>
      <c r="G125" s="284"/>
      <c r="H125" s="284"/>
      <c r="I125" s="283"/>
      <c r="J125" s="283"/>
      <c r="K125" s="283"/>
      <c r="L125" s="283"/>
      <c r="M125" s="283"/>
      <c r="N125" s="283"/>
      <c r="O125" s="283"/>
      <c r="P125" s="283"/>
      <c r="Q125" s="283"/>
      <c r="R125" s="283"/>
      <c r="S125" s="283"/>
      <c r="T125" s="283"/>
    </row>
    <row r="126">
      <c r="A126" s="300"/>
      <c r="B126" s="282"/>
      <c r="C126" s="283"/>
      <c r="D126" s="282"/>
      <c r="E126" s="283"/>
      <c r="F126" s="283"/>
      <c r="G126" s="284"/>
      <c r="H126" s="284"/>
      <c r="I126" s="283"/>
      <c r="J126" s="283"/>
      <c r="K126" s="283"/>
      <c r="L126" s="283"/>
      <c r="M126" s="283"/>
      <c r="N126" s="283"/>
      <c r="O126" s="283"/>
      <c r="P126" s="283"/>
      <c r="Q126" s="283"/>
      <c r="R126" s="283"/>
      <c r="S126" s="283"/>
      <c r="T126" s="283"/>
    </row>
    <row r="127">
      <c r="A127" s="300"/>
      <c r="B127" s="282"/>
      <c r="C127" s="283"/>
      <c r="D127" s="282"/>
      <c r="E127" s="283"/>
      <c r="F127" s="283"/>
      <c r="G127" s="284"/>
      <c r="H127" s="284"/>
      <c r="I127" s="283"/>
      <c r="J127" s="283"/>
      <c r="K127" s="283"/>
      <c r="L127" s="283"/>
      <c r="M127" s="283"/>
      <c r="N127" s="283"/>
      <c r="O127" s="283"/>
      <c r="P127" s="283"/>
      <c r="Q127" s="283"/>
      <c r="R127" s="283"/>
      <c r="S127" s="283"/>
      <c r="T127" s="283"/>
    </row>
    <row r="128">
      <c r="A128" s="300"/>
      <c r="B128" s="282"/>
      <c r="C128" s="283"/>
      <c r="D128" s="282"/>
      <c r="E128" s="283"/>
      <c r="F128" s="283"/>
      <c r="G128" s="284"/>
      <c r="H128" s="284"/>
      <c r="I128" s="283"/>
      <c r="J128" s="283"/>
      <c r="K128" s="283"/>
      <c r="L128" s="283"/>
      <c r="M128" s="283"/>
      <c r="N128" s="283"/>
      <c r="O128" s="283"/>
      <c r="P128" s="283"/>
      <c r="Q128" s="283"/>
      <c r="R128" s="283"/>
      <c r="S128" s="283"/>
      <c r="T128" s="283"/>
    </row>
    <row r="129">
      <c r="A129" s="300"/>
      <c r="B129" s="282"/>
      <c r="C129" s="283"/>
      <c r="D129" s="282"/>
      <c r="E129" s="283"/>
      <c r="F129" s="283"/>
      <c r="G129" s="284"/>
      <c r="H129" s="284"/>
      <c r="I129" s="283"/>
      <c r="J129" s="283"/>
      <c r="K129" s="283"/>
      <c r="L129" s="283"/>
      <c r="M129" s="283"/>
      <c r="N129" s="283"/>
      <c r="O129" s="283"/>
      <c r="P129" s="283"/>
      <c r="Q129" s="283"/>
      <c r="R129" s="283"/>
      <c r="S129" s="283"/>
      <c r="T129" s="283"/>
    </row>
    <row r="130">
      <c r="A130" s="300"/>
      <c r="B130" s="282"/>
      <c r="C130" s="283"/>
      <c r="D130" s="282"/>
      <c r="E130" s="283"/>
      <c r="F130" s="283"/>
      <c r="G130" s="284"/>
      <c r="H130" s="284"/>
      <c r="I130" s="283"/>
      <c r="J130" s="283"/>
      <c r="K130" s="283"/>
      <c r="L130" s="283"/>
      <c r="M130" s="283"/>
      <c r="N130" s="283"/>
      <c r="O130" s="283"/>
      <c r="P130" s="283"/>
      <c r="Q130" s="283"/>
      <c r="R130" s="283"/>
      <c r="S130" s="283"/>
      <c r="T130" s="283"/>
    </row>
    <row r="131">
      <c r="A131" s="300"/>
      <c r="B131" s="282"/>
      <c r="C131" s="283"/>
      <c r="D131" s="282"/>
      <c r="E131" s="283"/>
      <c r="F131" s="283"/>
      <c r="G131" s="284"/>
      <c r="H131" s="284"/>
      <c r="I131" s="283"/>
      <c r="J131" s="283"/>
      <c r="K131" s="283"/>
      <c r="L131" s="283"/>
      <c r="M131" s="283"/>
      <c r="N131" s="283"/>
      <c r="O131" s="283"/>
      <c r="P131" s="283"/>
      <c r="Q131" s="283"/>
      <c r="R131" s="283"/>
      <c r="S131" s="283"/>
      <c r="T131" s="283"/>
    </row>
    <row r="132">
      <c r="A132" s="300"/>
      <c r="B132" s="282"/>
      <c r="C132" s="283"/>
      <c r="D132" s="282"/>
      <c r="E132" s="283"/>
      <c r="F132" s="283"/>
      <c r="G132" s="284"/>
      <c r="H132" s="284"/>
      <c r="I132" s="283"/>
      <c r="J132" s="283"/>
      <c r="K132" s="283"/>
      <c r="L132" s="283"/>
      <c r="M132" s="283"/>
      <c r="N132" s="283"/>
      <c r="O132" s="283"/>
      <c r="P132" s="283"/>
      <c r="Q132" s="283"/>
      <c r="R132" s="283"/>
      <c r="S132" s="283"/>
      <c r="T132" s="283"/>
    </row>
    <row r="133">
      <c r="A133" s="300"/>
      <c r="B133" s="282"/>
      <c r="C133" s="283"/>
      <c r="D133" s="282"/>
      <c r="E133" s="283"/>
      <c r="F133" s="283"/>
      <c r="G133" s="284"/>
      <c r="H133" s="284"/>
      <c r="I133" s="283"/>
      <c r="J133" s="283"/>
      <c r="K133" s="283"/>
      <c r="L133" s="283"/>
      <c r="M133" s="283"/>
      <c r="N133" s="283"/>
      <c r="O133" s="283"/>
      <c r="P133" s="283"/>
      <c r="Q133" s="283"/>
      <c r="R133" s="283"/>
      <c r="S133" s="283"/>
      <c r="T133" s="283"/>
    </row>
    <row r="134">
      <c r="A134" s="300"/>
      <c r="B134" s="282"/>
      <c r="C134" s="283"/>
      <c r="D134" s="282"/>
      <c r="E134" s="283"/>
      <c r="F134" s="283"/>
      <c r="G134" s="284"/>
      <c r="H134" s="284"/>
      <c r="I134" s="283"/>
      <c r="J134" s="283"/>
      <c r="K134" s="283"/>
      <c r="L134" s="283"/>
      <c r="M134" s="283"/>
      <c r="N134" s="283"/>
      <c r="O134" s="283"/>
      <c r="P134" s="283"/>
      <c r="Q134" s="283"/>
      <c r="R134" s="283"/>
      <c r="S134" s="283"/>
      <c r="T134" s="283"/>
    </row>
    <row r="135">
      <c r="A135" s="300"/>
      <c r="B135" s="282"/>
      <c r="C135" s="283"/>
      <c r="D135" s="282"/>
      <c r="E135" s="283"/>
      <c r="F135" s="283"/>
      <c r="G135" s="284"/>
      <c r="H135" s="284"/>
      <c r="I135" s="283"/>
      <c r="J135" s="283"/>
      <c r="K135" s="283"/>
      <c r="L135" s="283"/>
      <c r="M135" s="283"/>
      <c r="N135" s="283"/>
      <c r="O135" s="283"/>
      <c r="P135" s="283"/>
      <c r="Q135" s="283"/>
      <c r="R135" s="283"/>
      <c r="S135" s="283"/>
      <c r="T135" s="283"/>
    </row>
    <row r="136">
      <c r="A136" s="300"/>
      <c r="B136" s="282"/>
      <c r="C136" s="283"/>
      <c r="D136" s="282"/>
      <c r="E136" s="283"/>
      <c r="F136" s="283"/>
      <c r="G136" s="284"/>
      <c r="H136" s="284"/>
      <c r="I136" s="283"/>
      <c r="J136" s="283"/>
      <c r="K136" s="283"/>
      <c r="L136" s="283"/>
      <c r="M136" s="283"/>
      <c r="N136" s="283"/>
      <c r="O136" s="283"/>
      <c r="P136" s="283"/>
      <c r="Q136" s="283"/>
      <c r="R136" s="283"/>
      <c r="S136" s="283"/>
      <c r="T136" s="283"/>
    </row>
    <row r="137">
      <c r="A137" s="300"/>
      <c r="B137" s="282"/>
      <c r="C137" s="283"/>
      <c r="D137" s="282"/>
      <c r="E137" s="283"/>
      <c r="F137" s="283"/>
      <c r="G137" s="284"/>
      <c r="H137" s="284"/>
      <c r="I137" s="283"/>
      <c r="J137" s="283"/>
      <c r="K137" s="283"/>
      <c r="L137" s="283"/>
      <c r="M137" s="283"/>
      <c r="N137" s="283"/>
      <c r="O137" s="283"/>
      <c r="P137" s="283"/>
      <c r="Q137" s="283"/>
      <c r="R137" s="283"/>
      <c r="S137" s="283"/>
      <c r="T137" s="283"/>
    </row>
    <row r="138">
      <c r="A138" s="300"/>
      <c r="B138" s="282"/>
      <c r="C138" s="283"/>
      <c r="D138" s="282"/>
      <c r="E138" s="283"/>
      <c r="F138" s="283"/>
      <c r="G138" s="284"/>
      <c r="H138" s="284"/>
      <c r="I138" s="283"/>
      <c r="J138" s="283"/>
      <c r="K138" s="283"/>
      <c r="L138" s="283"/>
      <c r="M138" s="283"/>
      <c r="N138" s="283"/>
      <c r="O138" s="283"/>
      <c r="P138" s="283"/>
      <c r="Q138" s="283"/>
      <c r="R138" s="283"/>
      <c r="S138" s="283"/>
      <c r="T138" s="283"/>
    </row>
    <row r="139">
      <c r="A139" s="300"/>
      <c r="B139" s="282"/>
      <c r="C139" s="283"/>
      <c r="D139" s="282"/>
      <c r="E139" s="283"/>
      <c r="F139" s="283"/>
      <c r="G139" s="284"/>
      <c r="H139" s="284"/>
      <c r="I139" s="283"/>
      <c r="J139" s="283"/>
      <c r="K139" s="283"/>
      <c r="L139" s="283"/>
      <c r="M139" s="283"/>
      <c r="N139" s="283"/>
      <c r="O139" s="283"/>
      <c r="P139" s="283"/>
      <c r="Q139" s="283"/>
      <c r="R139" s="283"/>
      <c r="S139" s="283"/>
      <c r="T139" s="283"/>
    </row>
    <row r="140">
      <c r="A140" s="300"/>
      <c r="B140" s="282"/>
      <c r="C140" s="283"/>
      <c r="D140" s="282"/>
      <c r="E140" s="283"/>
      <c r="F140" s="283"/>
      <c r="G140" s="284"/>
      <c r="H140" s="284"/>
      <c r="I140" s="283"/>
      <c r="J140" s="283"/>
      <c r="K140" s="283"/>
      <c r="L140" s="283"/>
      <c r="M140" s="283"/>
      <c r="N140" s="283"/>
      <c r="O140" s="283"/>
      <c r="P140" s="283"/>
      <c r="Q140" s="283"/>
      <c r="R140" s="283"/>
      <c r="S140" s="283"/>
      <c r="T140" s="283"/>
    </row>
    <row r="141">
      <c r="A141" s="300"/>
      <c r="B141" s="282"/>
      <c r="C141" s="283"/>
      <c r="D141" s="282"/>
      <c r="E141" s="283"/>
      <c r="F141" s="283"/>
      <c r="G141" s="284"/>
      <c r="H141" s="284"/>
      <c r="I141" s="283"/>
      <c r="J141" s="283"/>
      <c r="K141" s="283"/>
      <c r="L141" s="283"/>
      <c r="M141" s="283"/>
      <c r="N141" s="283"/>
      <c r="O141" s="283"/>
      <c r="P141" s="283"/>
      <c r="Q141" s="283"/>
      <c r="R141" s="283"/>
      <c r="S141" s="283"/>
      <c r="T141" s="283"/>
    </row>
    <row r="142">
      <c r="A142" s="300"/>
      <c r="B142" s="282"/>
      <c r="C142" s="283"/>
      <c r="D142" s="282"/>
      <c r="E142" s="283"/>
      <c r="F142" s="283"/>
      <c r="G142" s="284"/>
      <c r="H142" s="284"/>
      <c r="I142" s="283"/>
      <c r="J142" s="283"/>
      <c r="K142" s="283"/>
      <c r="L142" s="283"/>
      <c r="M142" s="283"/>
      <c r="N142" s="283"/>
      <c r="O142" s="283"/>
      <c r="P142" s="283"/>
      <c r="Q142" s="283"/>
      <c r="R142" s="283"/>
      <c r="S142" s="283"/>
      <c r="T142" s="283"/>
    </row>
    <row r="143">
      <c r="A143" s="300"/>
      <c r="B143" s="282"/>
      <c r="C143" s="283"/>
      <c r="D143" s="282"/>
      <c r="E143" s="283"/>
      <c r="F143" s="283"/>
      <c r="G143" s="284"/>
      <c r="H143" s="284"/>
      <c r="I143" s="283"/>
      <c r="J143" s="283"/>
      <c r="K143" s="283"/>
      <c r="L143" s="283"/>
      <c r="M143" s="283"/>
      <c r="N143" s="283"/>
      <c r="O143" s="283"/>
      <c r="P143" s="283"/>
      <c r="Q143" s="283"/>
      <c r="R143" s="283"/>
      <c r="S143" s="283"/>
      <c r="T143" s="283"/>
    </row>
    <row r="144">
      <c r="A144" s="300"/>
      <c r="B144" s="282"/>
      <c r="C144" s="283"/>
      <c r="D144" s="282"/>
      <c r="E144" s="283"/>
      <c r="F144" s="283"/>
      <c r="G144" s="284"/>
      <c r="H144" s="284"/>
      <c r="I144" s="283"/>
      <c r="J144" s="283"/>
      <c r="K144" s="283"/>
      <c r="L144" s="283"/>
      <c r="M144" s="283"/>
      <c r="N144" s="283"/>
      <c r="O144" s="283"/>
      <c r="P144" s="283"/>
      <c r="Q144" s="283"/>
      <c r="R144" s="283"/>
      <c r="S144" s="283"/>
      <c r="T144" s="283"/>
    </row>
    <row r="145">
      <c r="A145" s="300"/>
      <c r="B145" s="282"/>
      <c r="C145" s="283"/>
      <c r="D145" s="282"/>
      <c r="E145" s="283"/>
      <c r="F145" s="283"/>
      <c r="G145" s="284"/>
      <c r="H145" s="284"/>
      <c r="I145" s="283"/>
      <c r="J145" s="283"/>
      <c r="K145" s="283"/>
      <c r="L145" s="283"/>
      <c r="M145" s="283"/>
      <c r="N145" s="283"/>
      <c r="O145" s="283"/>
      <c r="P145" s="283"/>
      <c r="Q145" s="283"/>
      <c r="R145" s="283"/>
      <c r="S145" s="283"/>
      <c r="T145" s="283"/>
    </row>
    <row r="146">
      <c r="A146" s="300"/>
      <c r="B146" s="282"/>
      <c r="C146" s="283"/>
      <c r="D146" s="282"/>
      <c r="E146" s="283"/>
      <c r="F146" s="283"/>
      <c r="G146" s="284"/>
      <c r="H146" s="284"/>
      <c r="I146" s="283"/>
      <c r="J146" s="283"/>
      <c r="K146" s="283"/>
      <c r="L146" s="283"/>
      <c r="M146" s="283"/>
      <c r="N146" s="283"/>
      <c r="O146" s="283"/>
      <c r="P146" s="283"/>
      <c r="Q146" s="283"/>
      <c r="R146" s="283"/>
      <c r="S146" s="283"/>
      <c r="T146" s="283"/>
    </row>
    <row r="147">
      <c r="A147" s="300"/>
      <c r="B147" s="282"/>
      <c r="C147" s="283"/>
      <c r="D147" s="282"/>
      <c r="E147" s="283"/>
      <c r="F147" s="283"/>
      <c r="G147" s="284"/>
      <c r="H147" s="284"/>
      <c r="I147" s="283"/>
      <c r="J147" s="283"/>
      <c r="K147" s="283"/>
      <c r="L147" s="283"/>
      <c r="M147" s="283"/>
      <c r="N147" s="283"/>
      <c r="O147" s="283"/>
      <c r="P147" s="283"/>
      <c r="Q147" s="283"/>
      <c r="R147" s="283"/>
      <c r="S147" s="283"/>
      <c r="T147" s="283"/>
    </row>
    <row r="148">
      <c r="A148" s="300"/>
      <c r="B148" s="282"/>
      <c r="C148" s="283"/>
      <c r="D148" s="282"/>
      <c r="E148" s="283"/>
      <c r="F148" s="283"/>
      <c r="G148" s="284"/>
      <c r="H148" s="284"/>
      <c r="I148" s="283"/>
      <c r="J148" s="283"/>
      <c r="K148" s="283"/>
      <c r="L148" s="283"/>
      <c r="M148" s="283"/>
      <c r="N148" s="283"/>
      <c r="O148" s="283"/>
      <c r="P148" s="283"/>
      <c r="Q148" s="283"/>
      <c r="R148" s="283"/>
      <c r="S148" s="283"/>
      <c r="T148" s="283"/>
    </row>
    <row r="149">
      <c r="A149" s="300"/>
      <c r="B149" s="282"/>
      <c r="C149" s="283"/>
      <c r="D149" s="282"/>
      <c r="E149" s="283"/>
      <c r="F149" s="283"/>
      <c r="G149" s="284"/>
      <c r="H149" s="284"/>
      <c r="I149" s="283"/>
      <c r="J149" s="283"/>
      <c r="K149" s="283"/>
      <c r="L149" s="283"/>
      <c r="M149" s="283"/>
      <c r="N149" s="283"/>
      <c r="O149" s="283"/>
      <c r="P149" s="283"/>
      <c r="Q149" s="283"/>
      <c r="R149" s="283"/>
      <c r="S149" s="283"/>
      <c r="T149" s="283"/>
    </row>
    <row r="150">
      <c r="A150" s="300"/>
      <c r="B150" s="282"/>
      <c r="C150" s="283"/>
      <c r="D150" s="282"/>
      <c r="E150" s="283"/>
      <c r="F150" s="283"/>
      <c r="G150" s="284"/>
      <c r="H150" s="284"/>
      <c r="I150" s="283"/>
      <c r="J150" s="283"/>
      <c r="K150" s="283"/>
      <c r="L150" s="283"/>
      <c r="M150" s="283"/>
      <c r="N150" s="283"/>
      <c r="O150" s="283"/>
      <c r="P150" s="283"/>
      <c r="Q150" s="283"/>
      <c r="R150" s="283"/>
      <c r="S150" s="283"/>
      <c r="T150" s="283"/>
    </row>
    <row r="151">
      <c r="A151" s="300"/>
      <c r="B151" s="282"/>
      <c r="C151" s="283"/>
      <c r="D151" s="282"/>
      <c r="E151" s="283"/>
      <c r="F151" s="283"/>
      <c r="G151" s="284"/>
      <c r="H151" s="284"/>
      <c r="I151" s="283"/>
      <c r="J151" s="283"/>
      <c r="K151" s="283"/>
      <c r="L151" s="283"/>
      <c r="M151" s="283"/>
      <c r="N151" s="283"/>
      <c r="O151" s="283"/>
      <c r="P151" s="283"/>
      <c r="Q151" s="283"/>
      <c r="R151" s="283"/>
      <c r="S151" s="283"/>
      <c r="T151" s="283"/>
    </row>
    <row r="152">
      <c r="A152" s="300"/>
      <c r="B152" s="282"/>
      <c r="C152" s="283"/>
      <c r="D152" s="282"/>
      <c r="E152" s="283"/>
      <c r="F152" s="283"/>
      <c r="G152" s="284"/>
      <c r="H152" s="284"/>
      <c r="I152" s="283"/>
      <c r="J152" s="283"/>
      <c r="K152" s="283"/>
      <c r="L152" s="283"/>
      <c r="M152" s="283"/>
      <c r="N152" s="283"/>
      <c r="O152" s="283"/>
      <c r="P152" s="283"/>
      <c r="Q152" s="283"/>
      <c r="R152" s="283"/>
      <c r="S152" s="283"/>
      <c r="T152" s="283"/>
    </row>
    <row r="153">
      <c r="A153" s="300"/>
      <c r="B153" s="282"/>
      <c r="C153" s="283"/>
      <c r="D153" s="282"/>
      <c r="E153" s="283"/>
      <c r="F153" s="283"/>
      <c r="G153" s="284"/>
      <c r="H153" s="284"/>
      <c r="I153" s="283"/>
      <c r="J153" s="283"/>
      <c r="K153" s="283"/>
      <c r="L153" s="283"/>
      <c r="M153" s="283"/>
      <c r="N153" s="283"/>
      <c r="O153" s="283"/>
      <c r="P153" s="283"/>
      <c r="Q153" s="283"/>
      <c r="R153" s="283"/>
      <c r="S153" s="283"/>
      <c r="T153" s="283"/>
    </row>
    <row r="154">
      <c r="A154" s="300"/>
      <c r="B154" s="282"/>
      <c r="C154" s="283"/>
      <c r="D154" s="282"/>
      <c r="E154" s="283"/>
      <c r="F154" s="283"/>
      <c r="G154" s="284"/>
      <c r="H154" s="284"/>
      <c r="I154" s="283"/>
      <c r="J154" s="283"/>
      <c r="K154" s="283"/>
      <c r="L154" s="283"/>
      <c r="M154" s="283"/>
      <c r="N154" s="283"/>
      <c r="O154" s="283"/>
      <c r="P154" s="283"/>
      <c r="Q154" s="283"/>
      <c r="R154" s="283"/>
      <c r="S154" s="283"/>
      <c r="T154" s="283"/>
    </row>
    <row r="155">
      <c r="A155" s="300"/>
      <c r="B155" s="282"/>
      <c r="C155" s="283"/>
      <c r="D155" s="282"/>
      <c r="E155" s="283"/>
      <c r="F155" s="283"/>
      <c r="G155" s="284"/>
      <c r="H155" s="284"/>
      <c r="I155" s="283"/>
      <c r="J155" s="283"/>
      <c r="K155" s="283"/>
      <c r="L155" s="283"/>
      <c r="M155" s="283"/>
      <c r="N155" s="283"/>
      <c r="O155" s="283"/>
      <c r="P155" s="283"/>
      <c r="Q155" s="283"/>
      <c r="R155" s="283"/>
      <c r="S155" s="283"/>
      <c r="T155" s="283"/>
    </row>
    <row r="156">
      <c r="A156" s="300"/>
      <c r="B156" s="282"/>
      <c r="C156" s="283"/>
      <c r="D156" s="282"/>
      <c r="E156" s="283"/>
      <c r="F156" s="283"/>
      <c r="G156" s="284"/>
      <c r="H156" s="284"/>
      <c r="I156" s="283"/>
      <c r="J156" s="283"/>
      <c r="K156" s="283"/>
      <c r="L156" s="283"/>
      <c r="M156" s="283"/>
      <c r="N156" s="283"/>
      <c r="O156" s="283"/>
      <c r="P156" s="283"/>
      <c r="Q156" s="283"/>
      <c r="R156" s="283"/>
      <c r="S156" s="283"/>
      <c r="T156" s="283"/>
    </row>
    <row r="157">
      <c r="A157" s="300"/>
      <c r="B157" s="282"/>
      <c r="C157" s="283"/>
      <c r="D157" s="282"/>
      <c r="E157" s="283"/>
      <c r="F157" s="283"/>
      <c r="G157" s="284"/>
      <c r="H157" s="284"/>
      <c r="I157" s="283"/>
      <c r="J157" s="283"/>
      <c r="K157" s="283"/>
      <c r="L157" s="283"/>
      <c r="M157" s="283"/>
      <c r="N157" s="283"/>
      <c r="O157" s="283"/>
      <c r="P157" s="283"/>
      <c r="Q157" s="283"/>
      <c r="R157" s="283"/>
      <c r="S157" s="283"/>
      <c r="T157" s="283"/>
    </row>
    <row r="158">
      <c r="A158" s="300"/>
      <c r="B158" s="282"/>
      <c r="C158" s="283"/>
      <c r="D158" s="282"/>
      <c r="E158" s="283"/>
      <c r="F158" s="283"/>
      <c r="G158" s="284"/>
      <c r="H158" s="284"/>
      <c r="I158" s="283"/>
      <c r="J158" s="283"/>
      <c r="K158" s="283"/>
      <c r="L158" s="283"/>
      <c r="M158" s="283"/>
      <c r="N158" s="283"/>
      <c r="O158" s="283"/>
      <c r="P158" s="283"/>
      <c r="Q158" s="283"/>
      <c r="R158" s="283"/>
      <c r="S158" s="283"/>
      <c r="T158" s="283"/>
    </row>
    <row r="159">
      <c r="A159" s="300"/>
      <c r="B159" s="282"/>
      <c r="C159" s="283"/>
      <c r="D159" s="282"/>
      <c r="E159" s="283"/>
      <c r="F159" s="283"/>
      <c r="G159" s="284"/>
      <c r="H159" s="284"/>
      <c r="I159" s="283"/>
      <c r="J159" s="283"/>
      <c r="K159" s="283"/>
      <c r="L159" s="283"/>
      <c r="M159" s="283"/>
      <c r="N159" s="283"/>
      <c r="O159" s="283"/>
      <c r="P159" s="283"/>
      <c r="Q159" s="283"/>
      <c r="R159" s="283"/>
      <c r="S159" s="283"/>
      <c r="T159" s="283"/>
    </row>
    <row r="160">
      <c r="A160" s="300"/>
      <c r="B160" s="282"/>
      <c r="C160" s="283"/>
      <c r="D160" s="282"/>
      <c r="E160" s="283"/>
      <c r="F160" s="283"/>
      <c r="G160" s="284"/>
      <c r="H160" s="284"/>
      <c r="I160" s="283"/>
      <c r="J160" s="283"/>
      <c r="K160" s="283"/>
      <c r="L160" s="283"/>
      <c r="M160" s="283"/>
      <c r="N160" s="283"/>
      <c r="O160" s="283"/>
      <c r="P160" s="283"/>
      <c r="Q160" s="283"/>
      <c r="R160" s="283"/>
      <c r="S160" s="283"/>
      <c r="T160" s="283"/>
    </row>
    <row r="161">
      <c r="A161" s="300"/>
      <c r="B161" s="282"/>
      <c r="C161" s="283"/>
      <c r="D161" s="282"/>
      <c r="E161" s="283"/>
      <c r="F161" s="283"/>
      <c r="G161" s="284"/>
      <c r="H161" s="284"/>
      <c r="I161" s="283"/>
      <c r="J161" s="283"/>
      <c r="K161" s="283"/>
      <c r="L161" s="283"/>
      <c r="M161" s="283"/>
      <c r="N161" s="283"/>
      <c r="O161" s="283"/>
      <c r="P161" s="283"/>
      <c r="Q161" s="283"/>
      <c r="R161" s="283"/>
      <c r="S161" s="283"/>
      <c r="T161" s="283"/>
    </row>
    <row r="162">
      <c r="A162" s="300"/>
      <c r="B162" s="282"/>
      <c r="C162" s="283"/>
      <c r="D162" s="282"/>
      <c r="E162" s="283"/>
      <c r="F162" s="283"/>
      <c r="G162" s="284"/>
      <c r="H162" s="284"/>
      <c r="I162" s="283"/>
      <c r="J162" s="283"/>
      <c r="K162" s="283"/>
      <c r="L162" s="283"/>
      <c r="M162" s="283"/>
      <c r="N162" s="283"/>
      <c r="O162" s="283"/>
      <c r="P162" s="283"/>
      <c r="Q162" s="283"/>
      <c r="R162" s="283"/>
      <c r="S162" s="283"/>
      <c r="T162" s="283"/>
    </row>
    <row r="163">
      <c r="A163" s="300"/>
      <c r="B163" s="282"/>
      <c r="C163" s="283"/>
      <c r="D163" s="282"/>
      <c r="E163" s="283"/>
      <c r="F163" s="283"/>
      <c r="G163" s="284"/>
      <c r="H163" s="284"/>
      <c r="I163" s="283"/>
      <c r="J163" s="283"/>
      <c r="K163" s="283"/>
      <c r="L163" s="283"/>
      <c r="M163" s="283"/>
      <c r="N163" s="283"/>
      <c r="O163" s="283"/>
      <c r="P163" s="283"/>
      <c r="Q163" s="283"/>
      <c r="R163" s="283"/>
      <c r="S163" s="283"/>
      <c r="T163" s="283"/>
    </row>
    <row r="164">
      <c r="A164" s="300"/>
      <c r="B164" s="282"/>
      <c r="C164" s="283"/>
      <c r="D164" s="282"/>
      <c r="E164" s="283"/>
      <c r="F164" s="283"/>
      <c r="G164" s="284"/>
      <c r="H164" s="284"/>
      <c r="I164" s="283"/>
      <c r="J164" s="283"/>
      <c r="K164" s="283"/>
      <c r="L164" s="283"/>
      <c r="M164" s="283"/>
      <c r="N164" s="283"/>
      <c r="O164" s="283"/>
      <c r="P164" s="283"/>
      <c r="Q164" s="283"/>
      <c r="R164" s="283"/>
      <c r="S164" s="283"/>
      <c r="T164" s="283"/>
    </row>
    <row r="165">
      <c r="A165" s="300"/>
      <c r="B165" s="282"/>
      <c r="C165" s="283"/>
      <c r="D165" s="282"/>
      <c r="E165" s="283"/>
      <c r="F165" s="283"/>
      <c r="G165" s="284"/>
      <c r="H165" s="284"/>
      <c r="I165" s="283"/>
      <c r="J165" s="283"/>
      <c r="K165" s="283"/>
      <c r="L165" s="283"/>
      <c r="M165" s="283"/>
      <c r="N165" s="283"/>
      <c r="O165" s="283"/>
      <c r="P165" s="283"/>
      <c r="Q165" s="283"/>
      <c r="R165" s="283"/>
      <c r="S165" s="283"/>
      <c r="T165" s="283"/>
    </row>
    <row r="166">
      <c r="A166" s="300"/>
      <c r="B166" s="282"/>
      <c r="C166" s="283"/>
      <c r="D166" s="282"/>
      <c r="E166" s="283"/>
      <c r="F166" s="283"/>
      <c r="G166" s="284"/>
      <c r="H166" s="284"/>
      <c r="I166" s="283"/>
      <c r="J166" s="283"/>
      <c r="K166" s="283"/>
      <c r="L166" s="283"/>
      <c r="M166" s="283"/>
      <c r="N166" s="283"/>
      <c r="O166" s="283"/>
      <c r="P166" s="283"/>
      <c r="Q166" s="283"/>
      <c r="R166" s="283"/>
      <c r="S166" s="283"/>
      <c r="T166" s="283"/>
    </row>
    <row r="167">
      <c r="A167" s="300"/>
      <c r="B167" s="282"/>
      <c r="C167" s="283"/>
      <c r="D167" s="282"/>
      <c r="E167" s="283"/>
      <c r="F167" s="283"/>
      <c r="G167" s="284"/>
      <c r="H167" s="284"/>
      <c r="I167" s="283"/>
      <c r="J167" s="283"/>
      <c r="K167" s="283"/>
      <c r="L167" s="283"/>
      <c r="M167" s="283"/>
      <c r="N167" s="283"/>
      <c r="O167" s="283"/>
      <c r="P167" s="283"/>
      <c r="Q167" s="283"/>
      <c r="R167" s="283"/>
      <c r="S167" s="283"/>
      <c r="T167" s="283"/>
    </row>
    <row r="168">
      <c r="A168" s="300"/>
      <c r="B168" s="282"/>
      <c r="C168" s="283"/>
      <c r="D168" s="282"/>
      <c r="E168" s="283"/>
      <c r="F168" s="283"/>
      <c r="G168" s="284"/>
      <c r="H168" s="284"/>
      <c r="I168" s="283"/>
      <c r="J168" s="283"/>
      <c r="K168" s="283"/>
      <c r="L168" s="283"/>
      <c r="M168" s="283"/>
      <c r="N168" s="283"/>
      <c r="O168" s="283"/>
      <c r="P168" s="283"/>
      <c r="Q168" s="283"/>
      <c r="R168" s="283"/>
      <c r="S168" s="283"/>
      <c r="T168" s="283"/>
    </row>
    <row r="169">
      <c r="A169" s="300"/>
      <c r="B169" s="282"/>
      <c r="C169" s="283"/>
      <c r="D169" s="282"/>
      <c r="E169" s="283"/>
      <c r="F169" s="283"/>
      <c r="G169" s="284"/>
      <c r="H169" s="284"/>
      <c r="I169" s="283"/>
      <c r="J169" s="283"/>
      <c r="K169" s="283"/>
      <c r="L169" s="283"/>
      <c r="M169" s="283"/>
      <c r="N169" s="283"/>
      <c r="O169" s="283"/>
      <c r="P169" s="283"/>
      <c r="Q169" s="283"/>
      <c r="R169" s="283"/>
      <c r="S169" s="283"/>
      <c r="T169" s="283"/>
    </row>
    <row r="170">
      <c r="A170" s="300"/>
      <c r="B170" s="282"/>
      <c r="C170" s="283"/>
      <c r="D170" s="282"/>
      <c r="E170" s="283"/>
      <c r="F170" s="283"/>
      <c r="G170" s="284"/>
      <c r="H170" s="284"/>
      <c r="I170" s="283"/>
      <c r="J170" s="283"/>
      <c r="K170" s="283"/>
      <c r="L170" s="283"/>
      <c r="M170" s="283"/>
      <c r="N170" s="283"/>
      <c r="O170" s="283"/>
      <c r="P170" s="283"/>
      <c r="Q170" s="283"/>
      <c r="R170" s="283"/>
      <c r="S170" s="283"/>
      <c r="T170" s="283"/>
    </row>
    <row r="171">
      <c r="A171" s="300"/>
      <c r="B171" s="282"/>
      <c r="C171" s="283"/>
      <c r="D171" s="282"/>
      <c r="E171" s="283"/>
      <c r="F171" s="283"/>
      <c r="G171" s="284"/>
      <c r="H171" s="284"/>
      <c r="I171" s="283"/>
      <c r="J171" s="283"/>
      <c r="K171" s="283"/>
      <c r="L171" s="283"/>
      <c r="M171" s="283"/>
      <c r="N171" s="283"/>
      <c r="O171" s="283"/>
      <c r="P171" s="283"/>
      <c r="Q171" s="283"/>
      <c r="R171" s="283"/>
      <c r="S171" s="283"/>
      <c r="T171" s="283"/>
    </row>
    <row r="172">
      <c r="A172" s="300"/>
      <c r="B172" s="282"/>
      <c r="C172" s="283"/>
      <c r="D172" s="282"/>
      <c r="E172" s="283"/>
      <c r="F172" s="283"/>
      <c r="G172" s="284"/>
      <c r="H172" s="284"/>
      <c r="I172" s="283"/>
      <c r="J172" s="283"/>
      <c r="K172" s="283"/>
      <c r="L172" s="283"/>
      <c r="M172" s="283"/>
      <c r="N172" s="283"/>
      <c r="O172" s="283"/>
      <c r="P172" s="283"/>
      <c r="Q172" s="283"/>
      <c r="R172" s="283"/>
      <c r="S172" s="283"/>
      <c r="T172" s="283"/>
    </row>
    <row r="173">
      <c r="A173" s="300"/>
      <c r="B173" s="282"/>
      <c r="C173" s="283"/>
      <c r="D173" s="282"/>
      <c r="E173" s="283"/>
      <c r="F173" s="283"/>
      <c r="G173" s="284"/>
      <c r="H173" s="284"/>
      <c r="I173" s="283"/>
      <c r="J173" s="283"/>
      <c r="K173" s="283"/>
      <c r="L173" s="283"/>
      <c r="M173" s="283"/>
      <c r="N173" s="283"/>
      <c r="O173" s="283"/>
      <c r="P173" s="283"/>
      <c r="Q173" s="283"/>
      <c r="R173" s="283"/>
      <c r="S173" s="283"/>
      <c r="T173" s="283"/>
    </row>
    <row r="174">
      <c r="A174" s="300"/>
      <c r="B174" s="282"/>
      <c r="C174" s="283"/>
      <c r="D174" s="282"/>
      <c r="E174" s="283"/>
      <c r="F174" s="283"/>
      <c r="G174" s="284"/>
      <c r="H174" s="284"/>
      <c r="I174" s="283"/>
      <c r="J174" s="283"/>
      <c r="K174" s="283"/>
      <c r="L174" s="283"/>
      <c r="M174" s="283"/>
      <c r="N174" s="283"/>
      <c r="O174" s="283"/>
      <c r="P174" s="283"/>
      <c r="Q174" s="283"/>
      <c r="R174" s="283"/>
      <c r="S174" s="283"/>
      <c r="T174" s="283"/>
    </row>
    <row r="175">
      <c r="A175" s="300"/>
      <c r="B175" s="282"/>
      <c r="C175" s="283"/>
      <c r="D175" s="282"/>
      <c r="E175" s="283"/>
      <c r="F175" s="283"/>
      <c r="G175" s="284"/>
      <c r="H175" s="284"/>
      <c r="I175" s="283"/>
      <c r="J175" s="283"/>
      <c r="K175" s="283"/>
      <c r="L175" s="283"/>
      <c r="M175" s="283"/>
      <c r="N175" s="283"/>
      <c r="O175" s="283"/>
      <c r="P175" s="283"/>
      <c r="Q175" s="283"/>
      <c r="R175" s="283"/>
      <c r="S175" s="283"/>
      <c r="T175" s="283"/>
    </row>
    <row r="176">
      <c r="A176" s="300"/>
      <c r="B176" s="282"/>
      <c r="C176" s="283"/>
      <c r="D176" s="282"/>
      <c r="E176" s="283"/>
      <c r="F176" s="283"/>
      <c r="G176" s="284"/>
      <c r="H176" s="284"/>
      <c r="I176" s="283"/>
      <c r="J176" s="283"/>
      <c r="K176" s="283"/>
      <c r="L176" s="283"/>
      <c r="M176" s="283"/>
      <c r="N176" s="283"/>
      <c r="O176" s="283"/>
      <c r="P176" s="283"/>
      <c r="Q176" s="283"/>
      <c r="R176" s="283"/>
      <c r="S176" s="283"/>
      <c r="T176" s="283"/>
    </row>
    <row r="177">
      <c r="A177" s="300"/>
      <c r="B177" s="282"/>
      <c r="C177" s="283"/>
      <c r="D177" s="282"/>
      <c r="E177" s="283"/>
      <c r="F177" s="283"/>
      <c r="G177" s="284"/>
      <c r="H177" s="284"/>
      <c r="I177" s="283"/>
      <c r="J177" s="283"/>
      <c r="K177" s="283"/>
      <c r="L177" s="283"/>
      <c r="M177" s="283"/>
      <c r="N177" s="283"/>
      <c r="O177" s="283"/>
      <c r="P177" s="283"/>
      <c r="Q177" s="283"/>
      <c r="R177" s="283"/>
      <c r="S177" s="283"/>
      <c r="T177" s="283"/>
    </row>
    <row r="178">
      <c r="A178" s="300"/>
      <c r="B178" s="282"/>
      <c r="C178" s="283"/>
      <c r="D178" s="282"/>
      <c r="E178" s="283"/>
      <c r="F178" s="283"/>
      <c r="G178" s="284"/>
      <c r="H178" s="284"/>
      <c r="I178" s="283"/>
      <c r="J178" s="283"/>
      <c r="K178" s="283"/>
      <c r="L178" s="283"/>
      <c r="M178" s="283"/>
      <c r="N178" s="283"/>
      <c r="O178" s="283"/>
      <c r="P178" s="283"/>
      <c r="Q178" s="283"/>
      <c r="R178" s="283"/>
      <c r="S178" s="283"/>
      <c r="T178" s="283"/>
    </row>
    <row r="179">
      <c r="A179" s="300"/>
      <c r="B179" s="282"/>
      <c r="C179" s="283"/>
      <c r="D179" s="282"/>
      <c r="E179" s="283"/>
      <c r="F179" s="283"/>
      <c r="G179" s="284"/>
      <c r="H179" s="284"/>
      <c r="I179" s="283"/>
      <c r="J179" s="283"/>
      <c r="K179" s="283"/>
      <c r="L179" s="283"/>
      <c r="M179" s="283"/>
      <c r="N179" s="283"/>
      <c r="O179" s="283"/>
      <c r="P179" s="283"/>
      <c r="Q179" s="283"/>
      <c r="R179" s="283"/>
      <c r="S179" s="283"/>
      <c r="T179" s="283"/>
    </row>
    <row r="180">
      <c r="A180" s="300"/>
      <c r="B180" s="282"/>
      <c r="C180" s="283"/>
      <c r="D180" s="282"/>
      <c r="E180" s="283"/>
      <c r="F180" s="283"/>
      <c r="G180" s="284"/>
      <c r="H180" s="284"/>
      <c r="I180" s="283"/>
      <c r="J180" s="283"/>
      <c r="K180" s="283"/>
      <c r="L180" s="283"/>
      <c r="M180" s="283"/>
      <c r="N180" s="283"/>
      <c r="O180" s="283"/>
      <c r="P180" s="283"/>
      <c r="Q180" s="283"/>
      <c r="R180" s="283"/>
      <c r="S180" s="283"/>
      <c r="T180" s="283"/>
    </row>
    <row r="181">
      <c r="A181" s="300"/>
      <c r="B181" s="282"/>
      <c r="C181" s="283"/>
      <c r="D181" s="282"/>
      <c r="E181" s="283"/>
      <c r="F181" s="283"/>
      <c r="G181" s="284"/>
      <c r="H181" s="284"/>
      <c r="I181" s="283"/>
      <c r="J181" s="283"/>
      <c r="K181" s="283"/>
      <c r="L181" s="283"/>
      <c r="M181" s="283"/>
      <c r="N181" s="283"/>
      <c r="O181" s="283"/>
      <c r="P181" s="283"/>
      <c r="Q181" s="283"/>
      <c r="R181" s="283"/>
      <c r="S181" s="283"/>
      <c r="T181" s="283"/>
    </row>
    <row r="182">
      <c r="A182" s="300"/>
      <c r="B182" s="282"/>
      <c r="C182" s="283"/>
      <c r="D182" s="282"/>
      <c r="E182" s="283"/>
      <c r="F182" s="283"/>
      <c r="G182" s="284"/>
      <c r="H182" s="284"/>
      <c r="I182" s="283"/>
      <c r="J182" s="283"/>
      <c r="K182" s="283"/>
      <c r="L182" s="283"/>
      <c r="M182" s="283"/>
      <c r="N182" s="283"/>
      <c r="O182" s="283"/>
      <c r="P182" s="283"/>
      <c r="Q182" s="283"/>
      <c r="R182" s="283"/>
      <c r="S182" s="283"/>
      <c r="T182" s="283"/>
    </row>
    <row r="183">
      <c r="A183" s="300"/>
      <c r="B183" s="282"/>
      <c r="C183" s="283"/>
      <c r="D183" s="282"/>
      <c r="E183" s="283"/>
      <c r="F183" s="283"/>
      <c r="G183" s="284"/>
      <c r="H183" s="284"/>
      <c r="I183" s="283"/>
      <c r="J183" s="283"/>
      <c r="K183" s="283"/>
      <c r="L183" s="283"/>
      <c r="M183" s="283"/>
      <c r="N183" s="283"/>
      <c r="O183" s="283"/>
      <c r="P183" s="283"/>
      <c r="Q183" s="283"/>
      <c r="R183" s="283"/>
      <c r="S183" s="283"/>
      <c r="T183" s="283"/>
    </row>
    <row r="184">
      <c r="A184" s="300"/>
      <c r="B184" s="282"/>
      <c r="C184" s="283"/>
      <c r="D184" s="282"/>
      <c r="E184" s="283"/>
      <c r="F184" s="283"/>
      <c r="G184" s="284"/>
      <c r="H184" s="284"/>
      <c r="I184" s="283"/>
      <c r="J184" s="283"/>
      <c r="K184" s="283"/>
      <c r="L184" s="283"/>
      <c r="M184" s="283"/>
      <c r="N184" s="283"/>
      <c r="O184" s="283"/>
      <c r="P184" s="283"/>
      <c r="Q184" s="283"/>
      <c r="R184" s="283"/>
      <c r="S184" s="283"/>
      <c r="T184" s="283"/>
    </row>
    <row r="185">
      <c r="A185" s="300"/>
      <c r="B185" s="282"/>
      <c r="C185" s="283"/>
      <c r="D185" s="282"/>
      <c r="E185" s="283"/>
      <c r="F185" s="283"/>
      <c r="G185" s="284"/>
      <c r="H185" s="284"/>
      <c r="I185" s="283"/>
      <c r="J185" s="283"/>
      <c r="K185" s="283"/>
      <c r="L185" s="283"/>
      <c r="M185" s="283"/>
      <c r="N185" s="283"/>
      <c r="O185" s="283"/>
      <c r="P185" s="283"/>
      <c r="Q185" s="283"/>
      <c r="R185" s="283"/>
      <c r="S185" s="283"/>
      <c r="T185" s="283"/>
    </row>
    <row r="186">
      <c r="A186" s="300"/>
      <c r="B186" s="282"/>
      <c r="C186" s="283"/>
      <c r="D186" s="282"/>
      <c r="E186" s="283"/>
      <c r="F186" s="283"/>
      <c r="G186" s="284"/>
      <c r="H186" s="284"/>
      <c r="I186" s="283"/>
      <c r="J186" s="283"/>
      <c r="K186" s="283"/>
      <c r="L186" s="283"/>
      <c r="M186" s="283"/>
      <c r="N186" s="283"/>
      <c r="O186" s="283"/>
      <c r="P186" s="283"/>
      <c r="Q186" s="283"/>
      <c r="R186" s="283"/>
      <c r="S186" s="283"/>
      <c r="T186" s="283"/>
    </row>
    <row r="187">
      <c r="A187" s="300"/>
      <c r="B187" s="282"/>
      <c r="C187" s="283"/>
      <c r="D187" s="282"/>
      <c r="E187" s="283"/>
      <c r="F187" s="283"/>
      <c r="G187" s="284"/>
      <c r="H187" s="284"/>
      <c r="I187" s="283"/>
      <c r="J187" s="283"/>
      <c r="K187" s="283"/>
      <c r="L187" s="283"/>
      <c r="M187" s="283"/>
      <c r="N187" s="283"/>
      <c r="O187" s="283"/>
      <c r="P187" s="283"/>
      <c r="Q187" s="283"/>
      <c r="R187" s="283"/>
      <c r="S187" s="283"/>
      <c r="T187" s="283"/>
    </row>
    <row r="188">
      <c r="A188" s="300"/>
      <c r="B188" s="282"/>
      <c r="C188" s="283"/>
      <c r="D188" s="282"/>
      <c r="E188" s="283"/>
      <c r="F188" s="283"/>
      <c r="G188" s="284"/>
      <c r="H188" s="284"/>
      <c r="I188" s="283"/>
      <c r="J188" s="283"/>
      <c r="K188" s="283"/>
      <c r="L188" s="283"/>
      <c r="M188" s="283"/>
      <c r="N188" s="283"/>
      <c r="O188" s="283"/>
      <c r="P188" s="283"/>
      <c r="Q188" s="283"/>
      <c r="R188" s="283"/>
      <c r="S188" s="283"/>
      <c r="T188" s="283"/>
    </row>
    <row r="189">
      <c r="A189" s="300"/>
      <c r="B189" s="282"/>
      <c r="C189" s="283"/>
      <c r="D189" s="282"/>
      <c r="E189" s="283"/>
      <c r="F189" s="283"/>
      <c r="G189" s="284"/>
      <c r="H189" s="284"/>
      <c r="I189" s="283"/>
      <c r="J189" s="283"/>
      <c r="K189" s="283"/>
      <c r="L189" s="283"/>
      <c r="M189" s="283"/>
      <c r="N189" s="283"/>
      <c r="O189" s="283"/>
      <c r="P189" s="283"/>
      <c r="Q189" s="283"/>
      <c r="R189" s="283"/>
      <c r="S189" s="283"/>
      <c r="T189" s="283"/>
    </row>
    <row r="190">
      <c r="A190" s="300"/>
      <c r="B190" s="282"/>
      <c r="C190" s="283"/>
      <c r="D190" s="282"/>
      <c r="E190" s="283"/>
      <c r="F190" s="283"/>
      <c r="G190" s="284"/>
      <c r="H190" s="284"/>
      <c r="I190" s="283"/>
      <c r="J190" s="283"/>
      <c r="K190" s="283"/>
      <c r="L190" s="283"/>
      <c r="M190" s="283"/>
      <c r="N190" s="283"/>
      <c r="O190" s="283"/>
      <c r="P190" s="283"/>
      <c r="Q190" s="283"/>
      <c r="R190" s="283"/>
      <c r="S190" s="283"/>
      <c r="T190" s="283"/>
    </row>
    <row r="191">
      <c r="A191" s="300"/>
      <c r="B191" s="282"/>
      <c r="C191" s="283"/>
      <c r="D191" s="282"/>
      <c r="E191" s="283"/>
      <c r="F191" s="283"/>
      <c r="G191" s="284"/>
      <c r="H191" s="284"/>
      <c r="I191" s="283"/>
      <c r="J191" s="283"/>
      <c r="K191" s="283"/>
      <c r="L191" s="283"/>
      <c r="M191" s="283"/>
      <c r="N191" s="283"/>
      <c r="O191" s="283"/>
      <c r="P191" s="283"/>
      <c r="Q191" s="283"/>
      <c r="R191" s="283"/>
      <c r="S191" s="283"/>
      <c r="T191" s="283"/>
    </row>
    <row r="192">
      <c r="A192" s="300"/>
      <c r="B192" s="282"/>
      <c r="C192" s="283"/>
      <c r="D192" s="282"/>
      <c r="E192" s="283"/>
      <c r="F192" s="283"/>
      <c r="G192" s="284"/>
      <c r="H192" s="284"/>
      <c r="I192" s="283"/>
      <c r="J192" s="283"/>
      <c r="K192" s="283"/>
      <c r="L192" s="283"/>
      <c r="M192" s="283"/>
      <c r="N192" s="283"/>
      <c r="O192" s="283"/>
      <c r="P192" s="283"/>
      <c r="Q192" s="283"/>
      <c r="R192" s="283"/>
      <c r="S192" s="283"/>
      <c r="T192" s="283"/>
    </row>
    <row r="193">
      <c r="A193" s="300"/>
      <c r="B193" s="282"/>
      <c r="C193" s="283"/>
      <c r="D193" s="282"/>
      <c r="E193" s="283"/>
      <c r="F193" s="283"/>
      <c r="G193" s="284"/>
      <c r="H193" s="284"/>
      <c r="I193" s="283"/>
      <c r="J193" s="283"/>
      <c r="K193" s="283"/>
      <c r="L193" s="283"/>
      <c r="M193" s="283"/>
      <c r="N193" s="283"/>
      <c r="O193" s="283"/>
      <c r="P193" s="283"/>
      <c r="Q193" s="283"/>
      <c r="R193" s="283"/>
      <c r="S193" s="283"/>
      <c r="T193" s="283"/>
    </row>
    <row r="194">
      <c r="A194" s="300"/>
      <c r="B194" s="282"/>
      <c r="C194" s="283"/>
      <c r="D194" s="282"/>
      <c r="E194" s="283"/>
      <c r="F194" s="283"/>
      <c r="G194" s="284"/>
      <c r="H194" s="284"/>
      <c r="I194" s="283"/>
      <c r="J194" s="283"/>
      <c r="K194" s="283"/>
      <c r="L194" s="283"/>
      <c r="M194" s="283"/>
      <c r="N194" s="283"/>
      <c r="O194" s="283"/>
      <c r="P194" s="283"/>
      <c r="Q194" s="283"/>
      <c r="R194" s="283"/>
      <c r="S194" s="283"/>
      <c r="T194" s="283"/>
    </row>
    <row r="195">
      <c r="A195" s="300"/>
      <c r="B195" s="282"/>
      <c r="C195" s="283"/>
      <c r="D195" s="282"/>
      <c r="E195" s="283"/>
      <c r="F195" s="283"/>
      <c r="G195" s="284"/>
      <c r="H195" s="284"/>
      <c r="I195" s="283"/>
      <c r="J195" s="283"/>
      <c r="K195" s="283"/>
      <c r="L195" s="283"/>
      <c r="M195" s="283"/>
      <c r="N195" s="283"/>
      <c r="O195" s="283"/>
      <c r="P195" s="283"/>
      <c r="Q195" s="283"/>
      <c r="R195" s="283"/>
      <c r="S195" s="283"/>
      <c r="T195" s="283"/>
    </row>
    <row r="196">
      <c r="A196" s="300"/>
      <c r="B196" s="282"/>
      <c r="C196" s="283"/>
      <c r="D196" s="282"/>
      <c r="E196" s="283"/>
      <c r="F196" s="283"/>
      <c r="G196" s="284"/>
      <c r="H196" s="284"/>
      <c r="I196" s="283"/>
      <c r="J196" s="283"/>
      <c r="K196" s="283"/>
      <c r="L196" s="283"/>
      <c r="M196" s="283"/>
      <c r="N196" s="283"/>
      <c r="O196" s="283"/>
      <c r="P196" s="283"/>
      <c r="Q196" s="283"/>
      <c r="R196" s="283"/>
      <c r="S196" s="283"/>
      <c r="T196" s="283"/>
    </row>
    <row r="197">
      <c r="A197" s="300"/>
      <c r="B197" s="282"/>
      <c r="C197" s="283"/>
      <c r="D197" s="282"/>
      <c r="E197" s="283"/>
      <c r="F197" s="283"/>
      <c r="G197" s="284"/>
      <c r="H197" s="284"/>
      <c r="I197" s="283"/>
      <c r="J197" s="283"/>
      <c r="K197" s="283"/>
      <c r="L197" s="283"/>
      <c r="M197" s="283"/>
      <c r="N197" s="283"/>
      <c r="O197" s="283"/>
      <c r="P197" s="283"/>
      <c r="Q197" s="283"/>
      <c r="R197" s="283"/>
      <c r="S197" s="283"/>
      <c r="T197" s="283"/>
    </row>
    <row r="198">
      <c r="A198" s="300"/>
      <c r="B198" s="282"/>
      <c r="C198" s="283"/>
      <c r="D198" s="282"/>
      <c r="E198" s="283"/>
      <c r="F198" s="283"/>
      <c r="G198" s="284"/>
      <c r="H198" s="284"/>
      <c r="I198" s="283"/>
      <c r="J198" s="283"/>
      <c r="K198" s="283"/>
      <c r="L198" s="283"/>
      <c r="M198" s="283"/>
      <c r="N198" s="283"/>
      <c r="O198" s="283"/>
      <c r="P198" s="283"/>
      <c r="Q198" s="283"/>
      <c r="R198" s="283"/>
      <c r="S198" s="283"/>
      <c r="T198" s="283"/>
    </row>
    <row r="199">
      <c r="A199" s="300"/>
      <c r="B199" s="282"/>
      <c r="C199" s="283"/>
      <c r="D199" s="282"/>
      <c r="E199" s="283"/>
      <c r="F199" s="283"/>
      <c r="G199" s="284"/>
      <c r="H199" s="284"/>
      <c r="I199" s="283"/>
      <c r="J199" s="283"/>
      <c r="K199" s="283"/>
      <c r="L199" s="283"/>
      <c r="M199" s="283"/>
      <c r="N199" s="283"/>
      <c r="O199" s="283"/>
      <c r="P199" s="283"/>
      <c r="Q199" s="283"/>
      <c r="R199" s="283"/>
      <c r="S199" s="283"/>
      <c r="T199" s="283"/>
    </row>
    <row r="200">
      <c r="A200" s="300"/>
      <c r="B200" s="282"/>
      <c r="C200" s="283"/>
      <c r="D200" s="282"/>
      <c r="E200" s="283"/>
      <c r="F200" s="283"/>
      <c r="G200" s="284"/>
      <c r="H200" s="284"/>
      <c r="I200" s="283"/>
      <c r="J200" s="283"/>
      <c r="K200" s="283"/>
      <c r="L200" s="283"/>
      <c r="M200" s="283"/>
      <c r="N200" s="283"/>
      <c r="O200" s="283"/>
      <c r="P200" s="283"/>
      <c r="Q200" s="283"/>
      <c r="R200" s="283"/>
      <c r="S200" s="283"/>
      <c r="T200" s="283"/>
    </row>
    <row r="201">
      <c r="A201" s="300"/>
      <c r="B201" s="282"/>
      <c r="C201" s="283"/>
      <c r="D201" s="282"/>
      <c r="E201" s="283"/>
      <c r="F201" s="283"/>
      <c r="G201" s="284"/>
      <c r="H201" s="284"/>
      <c r="I201" s="283"/>
      <c r="J201" s="283"/>
      <c r="K201" s="283"/>
      <c r="L201" s="283"/>
      <c r="M201" s="283"/>
      <c r="N201" s="283"/>
      <c r="O201" s="283"/>
      <c r="P201" s="283"/>
      <c r="Q201" s="283"/>
      <c r="R201" s="283"/>
      <c r="S201" s="283"/>
      <c r="T201" s="283"/>
    </row>
    <row r="202">
      <c r="A202" s="300"/>
      <c r="B202" s="282"/>
      <c r="C202" s="283"/>
      <c r="D202" s="282"/>
      <c r="E202" s="283"/>
      <c r="F202" s="283"/>
      <c r="G202" s="284"/>
      <c r="H202" s="284"/>
      <c r="I202" s="283"/>
      <c r="J202" s="283"/>
      <c r="K202" s="283"/>
      <c r="L202" s="283"/>
      <c r="M202" s="283"/>
      <c r="N202" s="283"/>
      <c r="O202" s="283"/>
      <c r="P202" s="283"/>
      <c r="Q202" s="283"/>
      <c r="R202" s="283"/>
      <c r="S202" s="283"/>
      <c r="T202" s="283"/>
    </row>
    <row r="203">
      <c r="A203" s="300"/>
      <c r="B203" s="282"/>
      <c r="C203" s="283"/>
      <c r="D203" s="282"/>
      <c r="E203" s="283"/>
      <c r="F203" s="283"/>
      <c r="G203" s="284"/>
      <c r="H203" s="284"/>
      <c r="I203" s="283"/>
      <c r="J203" s="283"/>
      <c r="K203" s="283"/>
      <c r="L203" s="283"/>
      <c r="M203" s="283"/>
      <c r="N203" s="283"/>
      <c r="O203" s="283"/>
      <c r="P203" s="283"/>
      <c r="Q203" s="283"/>
      <c r="R203" s="283"/>
      <c r="S203" s="283"/>
      <c r="T203" s="283"/>
    </row>
    <row r="204">
      <c r="A204" s="300"/>
      <c r="B204" s="282"/>
      <c r="C204" s="283"/>
      <c r="D204" s="282"/>
      <c r="E204" s="283"/>
      <c r="F204" s="283"/>
      <c r="G204" s="284"/>
      <c r="H204" s="284"/>
      <c r="I204" s="283"/>
      <c r="J204" s="283"/>
      <c r="K204" s="283"/>
      <c r="L204" s="283"/>
      <c r="M204" s="283"/>
      <c r="N204" s="283"/>
      <c r="O204" s="283"/>
      <c r="P204" s="283"/>
      <c r="Q204" s="283"/>
      <c r="R204" s="283"/>
      <c r="S204" s="283"/>
      <c r="T204" s="283"/>
    </row>
    <row r="205">
      <c r="A205" s="300"/>
      <c r="B205" s="282"/>
      <c r="C205" s="283"/>
      <c r="D205" s="282"/>
      <c r="E205" s="283"/>
      <c r="F205" s="283"/>
      <c r="G205" s="284"/>
      <c r="H205" s="284"/>
      <c r="I205" s="283"/>
      <c r="J205" s="283"/>
      <c r="K205" s="283"/>
      <c r="L205" s="283"/>
      <c r="M205" s="283"/>
      <c r="N205" s="283"/>
      <c r="O205" s="283"/>
      <c r="P205" s="283"/>
      <c r="Q205" s="283"/>
      <c r="R205" s="283"/>
      <c r="S205" s="283"/>
      <c r="T205" s="283"/>
    </row>
    <row r="206">
      <c r="A206" s="300"/>
      <c r="B206" s="282"/>
      <c r="C206" s="283"/>
      <c r="D206" s="282"/>
      <c r="E206" s="283"/>
      <c r="F206" s="283"/>
      <c r="G206" s="284"/>
      <c r="H206" s="284"/>
      <c r="I206" s="283"/>
      <c r="J206" s="283"/>
      <c r="K206" s="283"/>
      <c r="L206" s="283"/>
      <c r="M206" s="283"/>
      <c r="N206" s="283"/>
      <c r="O206" s="283"/>
      <c r="P206" s="283"/>
      <c r="Q206" s="283"/>
      <c r="R206" s="283"/>
      <c r="S206" s="283"/>
      <c r="T206" s="283"/>
    </row>
    <row r="207">
      <c r="A207" s="300"/>
      <c r="B207" s="282"/>
      <c r="C207" s="283"/>
      <c r="D207" s="282"/>
      <c r="E207" s="283"/>
      <c r="F207" s="283"/>
      <c r="G207" s="284"/>
      <c r="H207" s="284"/>
      <c r="I207" s="283"/>
      <c r="J207" s="283"/>
      <c r="K207" s="283"/>
      <c r="L207" s="283"/>
      <c r="M207" s="283"/>
      <c r="N207" s="283"/>
      <c r="O207" s="283"/>
      <c r="P207" s="283"/>
      <c r="Q207" s="283"/>
      <c r="R207" s="283"/>
      <c r="S207" s="283"/>
      <c r="T207" s="283"/>
    </row>
    <row r="208">
      <c r="A208" s="300"/>
      <c r="B208" s="282"/>
      <c r="C208" s="283"/>
      <c r="D208" s="282"/>
      <c r="E208" s="283"/>
      <c r="F208" s="283"/>
      <c r="G208" s="284"/>
      <c r="H208" s="284"/>
      <c r="I208" s="283"/>
      <c r="J208" s="283"/>
      <c r="K208" s="283"/>
      <c r="L208" s="283"/>
      <c r="M208" s="283"/>
      <c r="N208" s="283"/>
      <c r="O208" s="283"/>
      <c r="P208" s="283"/>
      <c r="Q208" s="283"/>
      <c r="R208" s="283"/>
      <c r="S208" s="283"/>
      <c r="T208" s="283"/>
    </row>
    <row r="209">
      <c r="A209" s="300"/>
      <c r="B209" s="282"/>
      <c r="C209" s="283"/>
      <c r="D209" s="282"/>
      <c r="E209" s="283"/>
      <c r="F209" s="283"/>
      <c r="G209" s="284"/>
      <c r="H209" s="284"/>
      <c r="I209" s="283"/>
      <c r="J209" s="283"/>
      <c r="K209" s="283"/>
      <c r="L209" s="283"/>
      <c r="M209" s="283"/>
      <c r="N209" s="283"/>
      <c r="O209" s="283"/>
      <c r="P209" s="283"/>
      <c r="Q209" s="283"/>
      <c r="R209" s="283"/>
      <c r="S209" s="283"/>
      <c r="T209" s="283"/>
    </row>
    <row r="210">
      <c r="A210" s="300"/>
      <c r="B210" s="282"/>
      <c r="C210" s="283"/>
      <c r="D210" s="282"/>
      <c r="E210" s="283"/>
      <c r="F210" s="283"/>
      <c r="G210" s="284"/>
      <c r="H210" s="284"/>
      <c r="I210" s="283"/>
      <c r="J210" s="283"/>
      <c r="K210" s="283"/>
      <c r="L210" s="283"/>
      <c r="M210" s="283"/>
      <c r="N210" s="283"/>
      <c r="O210" s="283"/>
      <c r="P210" s="283"/>
      <c r="Q210" s="283"/>
      <c r="R210" s="283"/>
      <c r="S210" s="283"/>
      <c r="T210" s="283"/>
    </row>
    <row r="211">
      <c r="A211" s="300"/>
      <c r="B211" s="282"/>
      <c r="C211" s="283"/>
      <c r="D211" s="282"/>
      <c r="E211" s="283"/>
      <c r="F211" s="283"/>
      <c r="G211" s="284"/>
      <c r="H211" s="284"/>
      <c r="I211" s="283"/>
      <c r="J211" s="283"/>
      <c r="K211" s="283"/>
      <c r="L211" s="283"/>
      <c r="M211" s="283"/>
      <c r="N211" s="283"/>
      <c r="O211" s="283"/>
      <c r="P211" s="283"/>
      <c r="Q211" s="283"/>
      <c r="R211" s="283"/>
      <c r="S211" s="283"/>
      <c r="T211" s="283"/>
    </row>
    <row r="212">
      <c r="A212" s="300"/>
      <c r="B212" s="282"/>
      <c r="C212" s="283"/>
      <c r="D212" s="282"/>
      <c r="E212" s="283"/>
      <c r="F212" s="283"/>
      <c r="G212" s="284"/>
      <c r="H212" s="284"/>
      <c r="I212" s="283"/>
      <c r="J212" s="283"/>
      <c r="K212" s="283"/>
      <c r="L212" s="283"/>
      <c r="M212" s="283"/>
      <c r="N212" s="283"/>
      <c r="O212" s="283"/>
      <c r="P212" s="283"/>
      <c r="Q212" s="283"/>
      <c r="R212" s="283"/>
      <c r="S212" s="283"/>
      <c r="T212" s="283"/>
    </row>
    <row r="213">
      <c r="A213" s="300"/>
      <c r="B213" s="282"/>
      <c r="C213" s="283"/>
      <c r="D213" s="282"/>
      <c r="E213" s="283"/>
      <c r="F213" s="283"/>
      <c r="G213" s="284"/>
      <c r="H213" s="284"/>
      <c r="I213" s="283"/>
      <c r="J213" s="283"/>
      <c r="K213" s="283"/>
      <c r="L213" s="283"/>
      <c r="M213" s="283"/>
      <c r="N213" s="283"/>
      <c r="O213" s="283"/>
      <c r="P213" s="283"/>
      <c r="Q213" s="283"/>
      <c r="R213" s="283"/>
      <c r="S213" s="283"/>
      <c r="T213" s="283"/>
    </row>
    <row r="214">
      <c r="A214" s="300"/>
      <c r="B214" s="282"/>
      <c r="C214" s="283"/>
      <c r="D214" s="282"/>
      <c r="E214" s="283"/>
      <c r="F214" s="283"/>
      <c r="G214" s="284"/>
      <c r="H214" s="284"/>
      <c r="I214" s="283"/>
      <c r="J214" s="283"/>
      <c r="K214" s="283"/>
      <c r="L214" s="283"/>
      <c r="M214" s="283"/>
      <c r="N214" s="283"/>
      <c r="O214" s="283"/>
      <c r="P214" s="283"/>
      <c r="Q214" s="283"/>
      <c r="R214" s="283"/>
      <c r="S214" s="283"/>
      <c r="T214" s="283"/>
    </row>
    <row r="215">
      <c r="A215" s="300"/>
      <c r="B215" s="282"/>
      <c r="C215" s="283"/>
      <c r="D215" s="282"/>
      <c r="E215" s="283"/>
      <c r="F215" s="283"/>
      <c r="G215" s="284"/>
      <c r="H215" s="284"/>
      <c r="I215" s="283"/>
      <c r="J215" s="283"/>
      <c r="K215" s="283"/>
      <c r="L215" s="283"/>
      <c r="M215" s="283"/>
      <c r="N215" s="283"/>
      <c r="O215" s="283"/>
      <c r="P215" s="283"/>
      <c r="Q215" s="283"/>
      <c r="R215" s="283"/>
      <c r="S215" s="283"/>
      <c r="T215" s="283"/>
    </row>
    <row r="216">
      <c r="A216" s="300"/>
      <c r="B216" s="282"/>
      <c r="C216" s="283"/>
      <c r="D216" s="282"/>
      <c r="E216" s="283"/>
      <c r="F216" s="283"/>
      <c r="G216" s="284"/>
      <c r="H216" s="284"/>
      <c r="I216" s="283"/>
      <c r="J216" s="283"/>
      <c r="K216" s="283"/>
      <c r="L216" s="283"/>
      <c r="M216" s="283"/>
      <c r="N216" s="283"/>
      <c r="O216" s="283"/>
      <c r="P216" s="283"/>
      <c r="Q216" s="283"/>
      <c r="R216" s="283"/>
      <c r="S216" s="283"/>
      <c r="T216" s="283"/>
    </row>
    <row r="217">
      <c r="A217" s="300"/>
      <c r="B217" s="282"/>
      <c r="C217" s="283"/>
      <c r="D217" s="282"/>
      <c r="E217" s="283"/>
      <c r="F217" s="283"/>
      <c r="G217" s="284"/>
      <c r="H217" s="284"/>
      <c r="I217" s="283"/>
      <c r="J217" s="283"/>
      <c r="K217" s="283"/>
      <c r="L217" s="283"/>
      <c r="M217" s="283"/>
      <c r="N217" s="283"/>
      <c r="O217" s="283"/>
      <c r="P217" s="283"/>
      <c r="Q217" s="283"/>
      <c r="R217" s="283"/>
      <c r="S217" s="283"/>
      <c r="T217" s="283"/>
    </row>
    <row r="218">
      <c r="A218" s="300"/>
      <c r="B218" s="282"/>
      <c r="C218" s="283"/>
      <c r="D218" s="282"/>
      <c r="E218" s="283"/>
      <c r="F218" s="283"/>
      <c r="G218" s="284"/>
      <c r="H218" s="284"/>
      <c r="I218" s="283"/>
      <c r="J218" s="283"/>
      <c r="K218" s="283"/>
      <c r="L218" s="283"/>
      <c r="M218" s="283"/>
      <c r="N218" s="283"/>
      <c r="O218" s="283"/>
      <c r="P218" s="283"/>
      <c r="Q218" s="283"/>
      <c r="R218" s="283"/>
      <c r="S218" s="283"/>
      <c r="T218" s="283"/>
    </row>
    <row r="219">
      <c r="A219" s="300"/>
      <c r="B219" s="282"/>
      <c r="C219" s="283"/>
      <c r="D219" s="282"/>
      <c r="E219" s="283"/>
      <c r="F219" s="283"/>
      <c r="G219" s="284"/>
      <c r="H219" s="284"/>
      <c r="I219" s="283"/>
      <c r="J219" s="283"/>
      <c r="K219" s="283"/>
      <c r="L219" s="283"/>
      <c r="M219" s="283"/>
      <c r="N219" s="283"/>
      <c r="O219" s="283"/>
      <c r="P219" s="283"/>
      <c r="Q219" s="283"/>
      <c r="R219" s="283"/>
      <c r="S219" s="283"/>
      <c r="T219" s="283"/>
    </row>
    <row r="220">
      <c r="A220" s="300"/>
      <c r="B220" s="282"/>
      <c r="C220" s="283"/>
      <c r="D220" s="282"/>
      <c r="E220" s="283"/>
      <c r="F220" s="283"/>
      <c r="G220" s="284"/>
      <c r="H220" s="284"/>
      <c r="I220" s="283"/>
      <c r="J220" s="283"/>
      <c r="K220" s="283"/>
      <c r="L220" s="283"/>
      <c r="M220" s="283"/>
      <c r="N220" s="283"/>
      <c r="O220" s="283"/>
      <c r="P220" s="283"/>
      <c r="Q220" s="283"/>
      <c r="R220" s="283"/>
      <c r="S220" s="283"/>
      <c r="T220" s="283"/>
    </row>
    <row r="221">
      <c r="A221" s="300"/>
      <c r="B221" s="282"/>
      <c r="C221" s="283"/>
      <c r="D221" s="282"/>
      <c r="E221" s="283"/>
      <c r="F221" s="283"/>
      <c r="G221" s="284"/>
      <c r="H221" s="284"/>
      <c r="I221" s="283"/>
      <c r="J221" s="283"/>
      <c r="K221" s="283"/>
      <c r="L221" s="283"/>
      <c r="M221" s="283"/>
      <c r="N221" s="283"/>
      <c r="O221" s="283"/>
      <c r="P221" s="283"/>
      <c r="Q221" s="283"/>
      <c r="R221" s="283"/>
      <c r="S221" s="283"/>
      <c r="T221" s="283"/>
    </row>
    <row r="222">
      <c r="A222" s="300"/>
      <c r="B222" s="282"/>
      <c r="C222" s="283"/>
      <c r="D222" s="282"/>
      <c r="E222" s="283"/>
      <c r="F222" s="283"/>
      <c r="G222" s="284"/>
      <c r="H222" s="284"/>
      <c r="I222" s="283"/>
      <c r="J222" s="283"/>
      <c r="K222" s="283"/>
      <c r="L222" s="283"/>
      <c r="M222" s="283"/>
      <c r="N222" s="283"/>
      <c r="O222" s="283"/>
      <c r="P222" s="283"/>
      <c r="Q222" s="283"/>
      <c r="R222" s="283"/>
      <c r="S222" s="283"/>
      <c r="T222" s="283"/>
    </row>
    <row r="223">
      <c r="A223" s="300"/>
      <c r="B223" s="282"/>
      <c r="C223" s="283"/>
      <c r="D223" s="282"/>
      <c r="E223" s="283"/>
      <c r="F223" s="283"/>
      <c r="G223" s="284"/>
      <c r="H223" s="284"/>
      <c r="I223" s="283"/>
      <c r="J223" s="283"/>
      <c r="K223" s="283"/>
      <c r="L223" s="283"/>
      <c r="M223" s="283"/>
      <c r="N223" s="283"/>
      <c r="O223" s="283"/>
      <c r="P223" s="283"/>
      <c r="Q223" s="283"/>
      <c r="R223" s="283"/>
      <c r="S223" s="283"/>
      <c r="T223" s="283"/>
    </row>
    <row r="224">
      <c r="A224" s="300"/>
      <c r="B224" s="282"/>
      <c r="C224" s="283"/>
      <c r="D224" s="282"/>
      <c r="E224" s="283"/>
      <c r="F224" s="283"/>
      <c r="G224" s="284"/>
      <c r="H224" s="284"/>
      <c r="I224" s="283"/>
      <c r="J224" s="283"/>
      <c r="K224" s="283"/>
      <c r="L224" s="283"/>
      <c r="M224" s="283"/>
      <c r="N224" s="283"/>
      <c r="O224" s="283"/>
      <c r="P224" s="283"/>
      <c r="Q224" s="283"/>
      <c r="R224" s="283"/>
      <c r="S224" s="283"/>
      <c r="T224" s="283"/>
    </row>
    <row r="225">
      <c r="A225" s="300"/>
      <c r="B225" s="282"/>
      <c r="C225" s="283"/>
      <c r="D225" s="282"/>
      <c r="E225" s="283"/>
      <c r="F225" s="283"/>
      <c r="G225" s="284"/>
      <c r="H225" s="284"/>
      <c r="I225" s="283"/>
      <c r="J225" s="283"/>
      <c r="K225" s="283"/>
      <c r="L225" s="283"/>
      <c r="M225" s="283"/>
      <c r="N225" s="283"/>
      <c r="O225" s="283"/>
      <c r="P225" s="283"/>
      <c r="Q225" s="283"/>
      <c r="R225" s="283"/>
      <c r="S225" s="283"/>
      <c r="T225" s="283"/>
    </row>
    <row r="226">
      <c r="A226" s="300"/>
      <c r="B226" s="282"/>
      <c r="C226" s="283"/>
      <c r="D226" s="282"/>
      <c r="E226" s="283"/>
      <c r="F226" s="283"/>
      <c r="G226" s="284"/>
      <c r="H226" s="284"/>
      <c r="I226" s="283"/>
      <c r="J226" s="283"/>
      <c r="K226" s="283"/>
      <c r="L226" s="283"/>
      <c r="M226" s="283"/>
      <c r="N226" s="283"/>
      <c r="O226" s="283"/>
      <c r="P226" s="283"/>
      <c r="Q226" s="283"/>
      <c r="R226" s="283"/>
      <c r="S226" s="283"/>
      <c r="T226" s="283"/>
    </row>
    <row r="227">
      <c r="A227" s="300"/>
      <c r="B227" s="282"/>
      <c r="C227" s="283"/>
      <c r="D227" s="282"/>
      <c r="E227" s="283"/>
      <c r="F227" s="283"/>
      <c r="G227" s="284"/>
      <c r="H227" s="284"/>
      <c r="I227" s="283"/>
      <c r="J227" s="283"/>
      <c r="K227" s="283"/>
      <c r="L227" s="283"/>
      <c r="M227" s="283"/>
      <c r="N227" s="283"/>
      <c r="O227" s="283"/>
      <c r="P227" s="283"/>
      <c r="Q227" s="283"/>
      <c r="R227" s="283"/>
      <c r="S227" s="283"/>
      <c r="T227" s="283"/>
    </row>
    <row r="228">
      <c r="A228" s="300"/>
      <c r="B228" s="282"/>
      <c r="C228" s="283"/>
      <c r="D228" s="282"/>
      <c r="E228" s="283"/>
      <c r="F228" s="283"/>
      <c r="G228" s="284"/>
      <c r="H228" s="284"/>
      <c r="I228" s="283"/>
      <c r="J228" s="283"/>
      <c r="K228" s="283"/>
      <c r="L228" s="283"/>
      <c r="M228" s="283"/>
      <c r="N228" s="283"/>
      <c r="O228" s="283"/>
      <c r="P228" s="283"/>
      <c r="Q228" s="283"/>
      <c r="R228" s="283"/>
      <c r="S228" s="283"/>
      <c r="T228" s="283"/>
    </row>
    <row r="229">
      <c r="A229" s="300"/>
      <c r="B229" s="282"/>
      <c r="C229" s="283"/>
      <c r="D229" s="282"/>
      <c r="E229" s="283"/>
      <c r="F229" s="283"/>
      <c r="G229" s="284"/>
      <c r="H229" s="284"/>
      <c r="I229" s="283"/>
      <c r="J229" s="283"/>
      <c r="K229" s="283"/>
      <c r="L229" s="283"/>
      <c r="M229" s="283"/>
      <c r="N229" s="283"/>
      <c r="O229" s="283"/>
      <c r="P229" s="283"/>
      <c r="Q229" s="283"/>
      <c r="R229" s="283"/>
      <c r="S229" s="283"/>
      <c r="T229" s="283"/>
    </row>
    <row r="230">
      <c r="A230" s="300"/>
      <c r="B230" s="282"/>
      <c r="C230" s="283"/>
      <c r="D230" s="282"/>
      <c r="E230" s="283"/>
      <c r="F230" s="283"/>
      <c r="G230" s="284"/>
      <c r="H230" s="284"/>
      <c r="I230" s="283"/>
      <c r="J230" s="283"/>
      <c r="K230" s="283"/>
      <c r="L230" s="283"/>
      <c r="M230" s="283"/>
      <c r="N230" s="283"/>
      <c r="O230" s="283"/>
      <c r="P230" s="283"/>
      <c r="Q230" s="283"/>
      <c r="R230" s="283"/>
      <c r="S230" s="283"/>
      <c r="T230" s="283"/>
    </row>
    <row r="231">
      <c r="A231" s="300"/>
      <c r="B231" s="282"/>
      <c r="C231" s="283"/>
      <c r="D231" s="282"/>
      <c r="E231" s="283"/>
      <c r="F231" s="283"/>
      <c r="G231" s="284"/>
      <c r="H231" s="284"/>
      <c r="I231" s="283"/>
      <c r="J231" s="283"/>
      <c r="K231" s="283"/>
      <c r="L231" s="283"/>
      <c r="M231" s="283"/>
      <c r="N231" s="283"/>
      <c r="O231" s="283"/>
      <c r="P231" s="283"/>
      <c r="Q231" s="283"/>
      <c r="R231" s="283"/>
      <c r="S231" s="283"/>
      <c r="T231" s="283"/>
    </row>
    <row r="232">
      <c r="A232" s="300"/>
      <c r="B232" s="282"/>
      <c r="C232" s="283"/>
      <c r="D232" s="282"/>
      <c r="E232" s="283"/>
      <c r="F232" s="283"/>
      <c r="G232" s="284"/>
      <c r="H232" s="284"/>
      <c r="I232" s="283"/>
      <c r="J232" s="283"/>
      <c r="K232" s="283"/>
      <c r="L232" s="283"/>
      <c r="M232" s="283"/>
      <c r="N232" s="283"/>
      <c r="O232" s="283"/>
      <c r="P232" s="283"/>
      <c r="Q232" s="283"/>
      <c r="R232" s="283"/>
      <c r="S232" s="283"/>
      <c r="T232" s="283"/>
    </row>
    <row r="233">
      <c r="A233" s="300"/>
      <c r="B233" s="282"/>
      <c r="C233" s="283"/>
      <c r="D233" s="282"/>
      <c r="E233" s="283"/>
      <c r="F233" s="283"/>
      <c r="G233" s="284"/>
      <c r="H233" s="284"/>
      <c r="I233" s="283"/>
      <c r="J233" s="283"/>
      <c r="K233" s="283"/>
      <c r="L233" s="283"/>
      <c r="M233" s="283"/>
      <c r="N233" s="283"/>
      <c r="O233" s="283"/>
      <c r="P233" s="283"/>
      <c r="Q233" s="283"/>
      <c r="R233" s="283"/>
      <c r="S233" s="283"/>
      <c r="T233" s="283"/>
    </row>
    <row r="234">
      <c r="A234" s="300"/>
      <c r="B234" s="282"/>
      <c r="C234" s="283"/>
      <c r="D234" s="282"/>
      <c r="E234" s="283"/>
      <c r="F234" s="283"/>
      <c r="G234" s="284"/>
      <c r="H234" s="284"/>
      <c r="I234" s="283"/>
      <c r="J234" s="283"/>
      <c r="K234" s="283"/>
      <c r="L234" s="283"/>
      <c r="M234" s="283"/>
      <c r="N234" s="283"/>
      <c r="O234" s="283"/>
      <c r="P234" s="283"/>
      <c r="Q234" s="283"/>
      <c r="R234" s="283"/>
      <c r="S234" s="283"/>
      <c r="T234" s="283"/>
    </row>
    <row r="235">
      <c r="A235" s="300"/>
      <c r="B235" s="282"/>
      <c r="C235" s="283"/>
      <c r="D235" s="282"/>
      <c r="E235" s="283"/>
      <c r="F235" s="283"/>
      <c r="G235" s="284"/>
      <c r="H235" s="284"/>
      <c r="I235" s="283"/>
      <c r="J235" s="283"/>
      <c r="K235" s="283"/>
      <c r="L235" s="283"/>
      <c r="M235" s="283"/>
      <c r="N235" s="283"/>
      <c r="O235" s="283"/>
      <c r="P235" s="283"/>
      <c r="Q235" s="283"/>
      <c r="R235" s="283"/>
      <c r="S235" s="283"/>
      <c r="T235" s="283"/>
    </row>
    <row r="236">
      <c r="A236" s="300"/>
      <c r="B236" s="282"/>
      <c r="C236" s="283"/>
      <c r="D236" s="282"/>
      <c r="E236" s="283"/>
      <c r="F236" s="283"/>
      <c r="G236" s="284"/>
      <c r="H236" s="284"/>
      <c r="I236" s="283"/>
      <c r="J236" s="283"/>
      <c r="K236" s="283"/>
      <c r="L236" s="283"/>
      <c r="M236" s="283"/>
      <c r="N236" s="283"/>
      <c r="O236" s="283"/>
      <c r="P236" s="283"/>
      <c r="Q236" s="283"/>
      <c r="R236" s="283"/>
      <c r="S236" s="283"/>
      <c r="T236" s="283"/>
    </row>
    <row r="237">
      <c r="A237" s="300"/>
      <c r="B237" s="282"/>
      <c r="C237" s="283"/>
      <c r="D237" s="282"/>
      <c r="E237" s="283"/>
      <c r="F237" s="283"/>
      <c r="G237" s="284"/>
      <c r="H237" s="284"/>
      <c r="I237" s="283"/>
      <c r="J237" s="283"/>
      <c r="K237" s="283"/>
      <c r="L237" s="283"/>
      <c r="M237" s="283"/>
      <c r="N237" s="283"/>
      <c r="O237" s="283"/>
      <c r="P237" s="283"/>
      <c r="Q237" s="283"/>
      <c r="R237" s="283"/>
      <c r="S237" s="283"/>
      <c r="T237" s="283"/>
    </row>
    <row r="238">
      <c r="A238" s="300"/>
      <c r="B238" s="282"/>
      <c r="C238" s="283"/>
      <c r="D238" s="282"/>
      <c r="E238" s="283"/>
      <c r="F238" s="283"/>
      <c r="G238" s="284"/>
      <c r="H238" s="284"/>
      <c r="I238" s="283"/>
      <c r="J238" s="283"/>
      <c r="K238" s="283"/>
      <c r="L238" s="283"/>
      <c r="M238" s="283"/>
      <c r="N238" s="283"/>
      <c r="O238" s="283"/>
      <c r="P238" s="283"/>
      <c r="Q238" s="283"/>
      <c r="R238" s="283"/>
      <c r="S238" s="283"/>
      <c r="T238" s="283"/>
    </row>
    <row r="239">
      <c r="A239" s="300"/>
      <c r="B239" s="282"/>
      <c r="C239" s="283"/>
      <c r="D239" s="282"/>
      <c r="E239" s="283"/>
      <c r="F239" s="283"/>
      <c r="G239" s="284"/>
      <c r="H239" s="284"/>
      <c r="I239" s="283"/>
      <c r="J239" s="283"/>
      <c r="K239" s="283"/>
      <c r="L239" s="283"/>
      <c r="M239" s="283"/>
      <c r="N239" s="283"/>
      <c r="O239" s="283"/>
      <c r="P239" s="283"/>
      <c r="Q239" s="283"/>
      <c r="R239" s="283"/>
      <c r="S239" s="283"/>
      <c r="T239" s="283"/>
    </row>
    <row r="240">
      <c r="A240" s="300"/>
      <c r="B240" s="282"/>
      <c r="C240" s="283"/>
      <c r="D240" s="282"/>
      <c r="E240" s="283"/>
      <c r="F240" s="283"/>
      <c r="G240" s="284"/>
      <c r="H240" s="284"/>
      <c r="I240" s="283"/>
      <c r="J240" s="283"/>
      <c r="K240" s="283"/>
      <c r="L240" s="283"/>
      <c r="M240" s="283"/>
      <c r="N240" s="283"/>
      <c r="O240" s="283"/>
      <c r="P240" s="283"/>
      <c r="Q240" s="283"/>
      <c r="R240" s="283"/>
      <c r="S240" s="283"/>
      <c r="T240" s="283"/>
    </row>
    <row r="241">
      <c r="A241" s="300"/>
      <c r="B241" s="282"/>
      <c r="C241" s="283"/>
      <c r="D241" s="282"/>
      <c r="E241" s="283"/>
      <c r="F241" s="283"/>
      <c r="G241" s="284"/>
      <c r="H241" s="284"/>
      <c r="I241" s="283"/>
      <c r="J241" s="283"/>
      <c r="K241" s="283"/>
      <c r="L241" s="283"/>
      <c r="M241" s="283"/>
      <c r="N241" s="283"/>
      <c r="O241" s="283"/>
      <c r="P241" s="283"/>
      <c r="Q241" s="283"/>
      <c r="R241" s="283"/>
      <c r="S241" s="283"/>
      <c r="T241" s="283"/>
    </row>
    <row r="242">
      <c r="A242" s="300"/>
      <c r="B242" s="282"/>
      <c r="C242" s="283"/>
      <c r="D242" s="282"/>
      <c r="E242" s="283"/>
      <c r="F242" s="283"/>
      <c r="G242" s="284"/>
      <c r="H242" s="284"/>
      <c r="I242" s="283"/>
      <c r="J242" s="283"/>
      <c r="K242" s="283"/>
      <c r="L242" s="283"/>
      <c r="M242" s="283"/>
      <c r="N242" s="283"/>
      <c r="O242" s="283"/>
      <c r="P242" s="283"/>
      <c r="Q242" s="283"/>
      <c r="R242" s="283"/>
      <c r="S242" s="283"/>
      <c r="T242" s="283"/>
    </row>
    <row r="243">
      <c r="A243" s="300"/>
      <c r="B243" s="282"/>
      <c r="C243" s="283"/>
      <c r="D243" s="282"/>
      <c r="E243" s="283"/>
      <c r="F243" s="283"/>
      <c r="G243" s="284"/>
      <c r="H243" s="284"/>
      <c r="I243" s="283"/>
      <c r="J243" s="283"/>
      <c r="K243" s="283"/>
      <c r="L243" s="283"/>
      <c r="M243" s="283"/>
      <c r="N243" s="283"/>
      <c r="O243" s="283"/>
      <c r="P243" s="283"/>
      <c r="Q243" s="283"/>
      <c r="R243" s="283"/>
      <c r="S243" s="283"/>
      <c r="T243" s="283"/>
    </row>
    <row r="244">
      <c r="A244" s="300"/>
      <c r="B244" s="282"/>
      <c r="C244" s="283"/>
      <c r="D244" s="282"/>
      <c r="E244" s="283"/>
      <c r="F244" s="283"/>
      <c r="G244" s="284"/>
      <c r="H244" s="284"/>
      <c r="I244" s="283"/>
      <c r="J244" s="283"/>
      <c r="K244" s="283"/>
      <c r="L244" s="283"/>
      <c r="M244" s="283"/>
      <c r="N244" s="283"/>
      <c r="O244" s="283"/>
      <c r="P244" s="283"/>
      <c r="Q244" s="283"/>
      <c r="R244" s="283"/>
      <c r="S244" s="283"/>
      <c r="T244" s="283"/>
    </row>
    <row r="245">
      <c r="A245" s="300"/>
      <c r="B245" s="282"/>
      <c r="C245" s="283"/>
      <c r="D245" s="282"/>
      <c r="E245" s="283"/>
      <c r="F245" s="283"/>
      <c r="G245" s="284"/>
      <c r="H245" s="284"/>
      <c r="I245" s="283"/>
      <c r="J245" s="283"/>
      <c r="K245" s="283"/>
      <c r="L245" s="283"/>
      <c r="M245" s="283"/>
      <c r="N245" s="283"/>
      <c r="O245" s="283"/>
      <c r="P245" s="283"/>
      <c r="Q245" s="283"/>
      <c r="R245" s="283"/>
      <c r="S245" s="283"/>
      <c r="T245" s="283"/>
    </row>
    <row r="246">
      <c r="A246" s="300"/>
      <c r="B246" s="282"/>
      <c r="C246" s="283"/>
      <c r="D246" s="282"/>
      <c r="E246" s="283"/>
      <c r="F246" s="283"/>
      <c r="G246" s="284"/>
      <c r="H246" s="284"/>
      <c r="I246" s="283"/>
      <c r="J246" s="283"/>
      <c r="K246" s="283"/>
      <c r="L246" s="283"/>
      <c r="M246" s="283"/>
      <c r="N246" s="283"/>
      <c r="O246" s="283"/>
      <c r="P246" s="283"/>
      <c r="Q246" s="283"/>
      <c r="R246" s="283"/>
      <c r="S246" s="283"/>
      <c r="T246" s="283"/>
    </row>
    <row r="247">
      <c r="A247" s="300"/>
      <c r="B247" s="282"/>
      <c r="C247" s="283"/>
      <c r="D247" s="282"/>
      <c r="E247" s="283"/>
      <c r="F247" s="283"/>
      <c r="G247" s="284"/>
      <c r="H247" s="284"/>
      <c r="I247" s="283"/>
      <c r="J247" s="283"/>
      <c r="K247" s="283"/>
      <c r="L247" s="283"/>
      <c r="M247" s="283"/>
      <c r="N247" s="283"/>
      <c r="O247" s="283"/>
      <c r="P247" s="283"/>
      <c r="Q247" s="283"/>
      <c r="R247" s="283"/>
      <c r="S247" s="283"/>
      <c r="T247" s="283"/>
    </row>
    <row r="248">
      <c r="A248" s="300"/>
      <c r="B248" s="282"/>
      <c r="C248" s="283"/>
      <c r="D248" s="282"/>
      <c r="E248" s="283"/>
      <c r="F248" s="283"/>
      <c r="G248" s="284"/>
      <c r="H248" s="284"/>
      <c r="I248" s="283"/>
      <c r="J248" s="283"/>
      <c r="K248" s="283"/>
      <c r="L248" s="283"/>
      <c r="M248" s="283"/>
      <c r="N248" s="283"/>
      <c r="O248" s="283"/>
      <c r="P248" s="283"/>
      <c r="Q248" s="283"/>
      <c r="R248" s="283"/>
      <c r="S248" s="283"/>
      <c r="T248" s="283"/>
    </row>
    <row r="249">
      <c r="A249" s="300"/>
      <c r="B249" s="282"/>
      <c r="C249" s="283"/>
      <c r="D249" s="282"/>
      <c r="E249" s="283"/>
      <c r="F249" s="283"/>
      <c r="G249" s="284"/>
      <c r="H249" s="284"/>
      <c r="I249" s="283"/>
      <c r="J249" s="283"/>
      <c r="K249" s="283"/>
      <c r="L249" s="283"/>
      <c r="M249" s="283"/>
      <c r="N249" s="283"/>
      <c r="O249" s="283"/>
      <c r="P249" s="283"/>
      <c r="Q249" s="283"/>
      <c r="R249" s="283"/>
      <c r="S249" s="283"/>
      <c r="T249" s="283"/>
    </row>
    <row r="250">
      <c r="A250" s="300"/>
      <c r="B250" s="282"/>
      <c r="C250" s="283"/>
      <c r="D250" s="282"/>
      <c r="E250" s="283"/>
      <c r="F250" s="283"/>
      <c r="G250" s="284"/>
      <c r="H250" s="284"/>
      <c r="I250" s="283"/>
      <c r="J250" s="283"/>
      <c r="K250" s="283"/>
      <c r="L250" s="283"/>
      <c r="M250" s="283"/>
      <c r="N250" s="283"/>
      <c r="O250" s="283"/>
      <c r="P250" s="283"/>
      <c r="Q250" s="283"/>
      <c r="R250" s="283"/>
      <c r="S250" s="283"/>
      <c r="T250" s="283"/>
    </row>
    <row r="251">
      <c r="A251" s="300"/>
      <c r="B251" s="282"/>
      <c r="C251" s="283"/>
      <c r="D251" s="282"/>
      <c r="E251" s="283"/>
      <c r="F251" s="283"/>
      <c r="G251" s="284"/>
      <c r="H251" s="284"/>
      <c r="I251" s="283"/>
      <c r="J251" s="283"/>
      <c r="K251" s="283"/>
      <c r="L251" s="283"/>
      <c r="M251" s="283"/>
      <c r="N251" s="283"/>
      <c r="O251" s="283"/>
      <c r="P251" s="283"/>
      <c r="Q251" s="283"/>
      <c r="R251" s="283"/>
      <c r="S251" s="283"/>
      <c r="T251" s="283"/>
    </row>
    <row r="252">
      <c r="A252" s="300"/>
      <c r="B252" s="282"/>
      <c r="C252" s="283"/>
      <c r="D252" s="282"/>
      <c r="E252" s="283"/>
      <c r="F252" s="283"/>
      <c r="G252" s="284"/>
      <c r="H252" s="284"/>
      <c r="I252" s="283"/>
      <c r="J252" s="283"/>
      <c r="K252" s="283"/>
      <c r="L252" s="283"/>
      <c r="M252" s="283"/>
      <c r="N252" s="283"/>
      <c r="O252" s="283"/>
      <c r="P252" s="283"/>
      <c r="Q252" s="283"/>
      <c r="R252" s="283"/>
      <c r="S252" s="283"/>
      <c r="T252" s="283"/>
    </row>
    <row r="253">
      <c r="A253" s="300"/>
      <c r="B253" s="282"/>
      <c r="C253" s="283"/>
      <c r="D253" s="282"/>
      <c r="E253" s="283"/>
      <c r="F253" s="283"/>
      <c r="G253" s="284"/>
      <c r="H253" s="284"/>
      <c r="I253" s="283"/>
      <c r="J253" s="283"/>
      <c r="K253" s="283"/>
      <c r="L253" s="283"/>
      <c r="M253" s="283"/>
      <c r="N253" s="283"/>
      <c r="O253" s="283"/>
      <c r="P253" s="283"/>
      <c r="Q253" s="283"/>
      <c r="R253" s="283"/>
      <c r="S253" s="283"/>
      <c r="T253" s="283"/>
    </row>
    <row r="254">
      <c r="A254" s="300"/>
      <c r="B254" s="282"/>
      <c r="C254" s="283"/>
      <c r="D254" s="282"/>
      <c r="E254" s="283"/>
      <c r="F254" s="283"/>
      <c r="G254" s="284"/>
      <c r="H254" s="284"/>
      <c r="I254" s="283"/>
      <c r="J254" s="283"/>
      <c r="K254" s="283"/>
      <c r="L254" s="283"/>
      <c r="M254" s="283"/>
      <c r="N254" s="283"/>
      <c r="O254" s="283"/>
      <c r="P254" s="283"/>
      <c r="Q254" s="283"/>
      <c r="R254" s="283"/>
      <c r="S254" s="283"/>
      <c r="T254" s="283"/>
    </row>
    <row r="255">
      <c r="A255" s="300"/>
      <c r="B255" s="282"/>
      <c r="C255" s="283"/>
      <c r="D255" s="282"/>
      <c r="E255" s="283"/>
      <c r="F255" s="283"/>
      <c r="G255" s="284"/>
      <c r="H255" s="284"/>
      <c r="I255" s="283"/>
      <c r="J255" s="283"/>
      <c r="K255" s="283"/>
      <c r="L255" s="283"/>
      <c r="M255" s="283"/>
      <c r="N255" s="283"/>
      <c r="O255" s="283"/>
      <c r="P255" s="283"/>
      <c r="Q255" s="283"/>
      <c r="R255" s="283"/>
      <c r="S255" s="283"/>
      <c r="T255" s="283"/>
    </row>
    <row r="256">
      <c r="A256" s="300"/>
      <c r="B256" s="282"/>
      <c r="C256" s="283"/>
      <c r="D256" s="282"/>
      <c r="E256" s="283"/>
      <c r="F256" s="283"/>
      <c r="G256" s="284"/>
      <c r="H256" s="284"/>
      <c r="I256" s="283"/>
      <c r="J256" s="283"/>
      <c r="K256" s="283"/>
      <c r="L256" s="283"/>
      <c r="M256" s="283"/>
      <c r="N256" s="283"/>
      <c r="O256" s="283"/>
      <c r="P256" s="283"/>
      <c r="Q256" s="283"/>
      <c r="R256" s="283"/>
      <c r="S256" s="283"/>
      <c r="T256" s="283"/>
    </row>
    <row r="257">
      <c r="A257" s="300"/>
      <c r="B257" s="282"/>
      <c r="C257" s="283"/>
      <c r="D257" s="282"/>
      <c r="E257" s="283"/>
      <c r="F257" s="283"/>
      <c r="G257" s="284"/>
      <c r="H257" s="284"/>
      <c r="I257" s="283"/>
      <c r="J257" s="283"/>
      <c r="K257" s="283"/>
      <c r="L257" s="283"/>
      <c r="M257" s="283"/>
      <c r="N257" s="283"/>
      <c r="O257" s="283"/>
      <c r="P257" s="283"/>
      <c r="Q257" s="283"/>
      <c r="R257" s="283"/>
      <c r="S257" s="283"/>
      <c r="T257" s="283"/>
    </row>
    <row r="258">
      <c r="A258" s="300"/>
      <c r="B258" s="282"/>
      <c r="C258" s="283"/>
      <c r="D258" s="282"/>
      <c r="E258" s="283"/>
      <c r="F258" s="283"/>
      <c r="G258" s="284"/>
      <c r="H258" s="284"/>
      <c r="I258" s="283"/>
      <c r="J258" s="283"/>
      <c r="K258" s="283"/>
      <c r="L258" s="283"/>
      <c r="M258" s="283"/>
      <c r="N258" s="283"/>
      <c r="O258" s="283"/>
      <c r="P258" s="283"/>
      <c r="Q258" s="283"/>
      <c r="R258" s="283"/>
      <c r="S258" s="283"/>
      <c r="T258" s="283"/>
    </row>
    <row r="259">
      <c r="A259" s="300"/>
      <c r="B259" s="282"/>
      <c r="C259" s="283"/>
      <c r="D259" s="282"/>
      <c r="E259" s="283"/>
      <c r="F259" s="283"/>
      <c r="G259" s="284"/>
      <c r="H259" s="284"/>
      <c r="I259" s="283"/>
      <c r="J259" s="283"/>
      <c r="K259" s="283"/>
      <c r="L259" s="283"/>
      <c r="M259" s="283"/>
      <c r="N259" s="283"/>
      <c r="O259" s="283"/>
      <c r="P259" s="283"/>
      <c r="Q259" s="283"/>
      <c r="R259" s="283"/>
      <c r="S259" s="283"/>
      <c r="T259" s="283"/>
    </row>
    <row r="260">
      <c r="A260" s="300"/>
      <c r="B260" s="282"/>
      <c r="C260" s="283"/>
      <c r="D260" s="282"/>
      <c r="E260" s="283"/>
      <c r="F260" s="283"/>
      <c r="G260" s="284"/>
      <c r="H260" s="284"/>
      <c r="I260" s="283"/>
      <c r="J260" s="283"/>
      <c r="K260" s="283"/>
      <c r="L260" s="283"/>
      <c r="M260" s="283"/>
      <c r="N260" s="283"/>
      <c r="O260" s="283"/>
      <c r="P260" s="283"/>
      <c r="Q260" s="283"/>
      <c r="R260" s="283"/>
      <c r="S260" s="283"/>
      <c r="T260" s="283"/>
    </row>
    <row r="261">
      <c r="A261" s="300"/>
      <c r="B261" s="282"/>
      <c r="C261" s="283"/>
      <c r="D261" s="282"/>
      <c r="E261" s="283"/>
      <c r="F261" s="283"/>
      <c r="G261" s="284"/>
      <c r="H261" s="284"/>
      <c r="I261" s="283"/>
      <c r="J261" s="283"/>
      <c r="K261" s="283"/>
      <c r="L261" s="283"/>
      <c r="M261" s="283"/>
      <c r="N261" s="283"/>
      <c r="O261" s="283"/>
      <c r="P261" s="283"/>
      <c r="Q261" s="283"/>
      <c r="R261" s="283"/>
      <c r="S261" s="283"/>
      <c r="T261" s="283"/>
    </row>
    <row r="262">
      <c r="A262" s="300"/>
      <c r="B262" s="282"/>
      <c r="C262" s="283"/>
      <c r="D262" s="282"/>
      <c r="E262" s="283"/>
      <c r="F262" s="283"/>
      <c r="G262" s="284"/>
      <c r="H262" s="284"/>
      <c r="I262" s="283"/>
      <c r="J262" s="283"/>
      <c r="K262" s="283"/>
      <c r="L262" s="283"/>
      <c r="M262" s="283"/>
      <c r="N262" s="283"/>
      <c r="O262" s="283"/>
      <c r="P262" s="283"/>
      <c r="Q262" s="283"/>
      <c r="R262" s="283"/>
      <c r="S262" s="283"/>
      <c r="T262" s="283"/>
    </row>
    <row r="263">
      <c r="A263" s="300"/>
      <c r="B263" s="282"/>
      <c r="C263" s="283"/>
      <c r="D263" s="282"/>
      <c r="E263" s="283"/>
      <c r="F263" s="283"/>
      <c r="G263" s="284"/>
      <c r="H263" s="284"/>
      <c r="I263" s="283"/>
      <c r="J263" s="283"/>
      <c r="K263" s="283"/>
      <c r="L263" s="283"/>
      <c r="M263" s="283"/>
      <c r="N263" s="283"/>
      <c r="O263" s="283"/>
      <c r="P263" s="283"/>
      <c r="Q263" s="283"/>
      <c r="R263" s="283"/>
      <c r="S263" s="283"/>
      <c r="T263" s="283"/>
    </row>
    <row r="264">
      <c r="A264" s="300"/>
      <c r="B264" s="282"/>
      <c r="C264" s="283"/>
      <c r="D264" s="282"/>
      <c r="E264" s="283"/>
      <c r="F264" s="283"/>
      <c r="G264" s="284"/>
      <c r="H264" s="284"/>
      <c r="I264" s="283"/>
      <c r="J264" s="283"/>
      <c r="K264" s="283"/>
      <c r="L264" s="283"/>
      <c r="M264" s="283"/>
      <c r="N264" s="283"/>
      <c r="O264" s="283"/>
      <c r="P264" s="283"/>
      <c r="Q264" s="283"/>
      <c r="R264" s="283"/>
      <c r="S264" s="283"/>
      <c r="T264" s="283"/>
    </row>
    <row r="265">
      <c r="A265" s="300"/>
      <c r="B265" s="282"/>
      <c r="C265" s="283"/>
      <c r="D265" s="282"/>
      <c r="E265" s="283"/>
      <c r="F265" s="283"/>
      <c r="G265" s="284"/>
      <c r="H265" s="284"/>
      <c r="I265" s="283"/>
      <c r="J265" s="283"/>
      <c r="K265" s="283"/>
      <c r="L265" s="283"/>
      <c r="M265" s="283"/>
      <c r="N265" s="283"/>
      <c r="O265" s="283"/>
      <c r="P265" s="283"/>
      <c r="Q265" s="283"/>
      <c r="R265" s="283"/>
      <c r="S265" s="283"/>
      <c r="T265" s="283"/>
    </row>
    <row r="266">
      <c r="A266" s="300"/>
      <c r="B266" s="282"/>
      <c r="C266" s="283"/>
      <c r="D266" s="282"/>
      <c r="E266" s="283"/>
      <c r="F266" s="283"/>
      <c r="G266" s="284"/>
      <c r="H266" s="284"/>
      <c r="I266" s="283"/>
      <c r="J266" s="283"/>
      <c r="K266" s="283"/>
      <c r="L266" s="283"/>
      <c r="M266" s="283"/>
      <c r="N266" s="283"/>
      <c r="O266" s="283"/>
      <c r="P266" s="283"/>
      <c r="Q266" s="283"/>
      <c r="R266" s="283"/>
      <c r="S266" s="283"/>
      <c r="T266" s="283"/>
    </row>
    <row r="267">
      <c r="A267" s="300"/>
      <c r="B267" s="282"/>
      <c r="C267" s="283"/>
      <c r="D267" s="282"/>
      <c r="E267" s="283"/>
      <c r="F267" s="283"/>
      <c r="G267" s="284"/>
      <c r="H267" s="284"/>
      <c r="I267" s="283"/>
      <c r="J267" s="283"/>
      <c r="K267" s="283"/>
      <c r="L267" s="283"/>
      <c r="M267" s="283"/>
      <c r="N267" s="283"/>
      <c r="O267" s="283"/>
      <c r="P267" s="283"/>
      <c r="Q267" s="283"/>
      <c r="R267" s="283"/>
      <c r="S267" s="283"/>
      <c r="T267" s="283"/>
    </row>
    <row r="268">
      <c r="A268" s="300"/>
      <c r="B268" s="282"/>
      <c r="C268" s="283"/>
      <c r="D268" s="282"/>
      <c r="E268" s="283"/>
      <c r="F268" s="283"/>
      <c r="G268" s="284"/>
      <c r="H268" s="284"/>
      <c r="I268" s="283"/>
      <c r="J268" s="283"/>
      <c r="K268" s="283"/>
      <c r="L268" s="283"/>
      <c r="M268" s="283"/>
      <c r="N268" s="283"/>
      <c r="O268" s="283"/>
      <c r="P268" s="283"/>
      <c r="Q268" s="283"/>
      <c r="R268" s="283"/>
      <c r="S268" s="283"/>
      <c r="T268" s="283"/>
    </row>
    <row r="269">
      <c r="A269" s="300"/>
      <c r="B269" s="282"/>
      <c r="C269" s="283"/>
      <c r="D269" s="282"/>
      <c r="E269" s="283"/>
      <c r="F269" s="283"/>
      <c r="G269" s="284"/>
      <c r="H269" s="284"/>
      <c r="I269" s="283"/>
      <c r="J269" s="283"/>
      <c r="K269" s="283"/>
      <c r="L269" s="283"/>
      <c r="M269" s="283"/>
      <c r="N269" s="283"/>
      <c r="O269" s="283"/>
      <c r="P269" s="283"/>
      <c r="Q269" s="283"/>
      <c r="R269" s="283"/>
      <c r="S269" s="283"/>
      <c r="T269" s="283"/>
    </row>
    <row r="270">
      <c r="A270" s="300"/>
      <c r="B270" s="282"/>
      <c r="C270" s="283"/>
      <c r="D270" s="282"/>
      <c r="E270" s="283"/>
      <c r="F270" s="283"/>
      <c r="G270" s="284"/>
      <c r="H270" s="284"/>
      <c r="I270" s="283"/>
      <c r="J270" s="283"/>
      <c r="K270" s="283"/>
      <c r="L270" s="283"/>
      <c r="M270" s="283"/>
      <c r="N270" s="283"/>
      <c r="O270" s="283"/>
      <c r="P270" s="283"/>
      <c r="Q270" s="283"/>
      <c r="R270" s="283"/>
      <c r="S270" s="283"/>
      <c r="T270" s="283"/>
    </row>
    <row r="271">
      <c r="A271" s="300"/>
      <c r="B271" s="282"/>
      <c r="C271" s="283"/>
      <c r="D271" s="282"/>
      <c r="E271" s="283"/>
      <c r="F271" s="283"/>
      <c r="G271" s="284"/>
      <c r="H271" s="284"/>
      <c r="I271" s="283"/>
      <c r="J271" s="283"/>
      <c r="K271" s="283"/>
      <c r="L271" s="283"/>
      <c r="M271" s="283"/>
      <c r="N271" s="283"/>
      <c r="O271" s="283"/>
      <c r="P271" s="283"/>
      <c r="Q271" s="283"/>
      <c r="R271" s="283"/>
      <c r="S271" s="283"/>
      <c r="T271" s="283"/>
    </row>
    <row r="272">
      <c r="A272" s="300"/>
      <c r="B272" s="282"/>
      <c r="C272" s="283"/>
      <c r="D272" s="282"/>
      <c r="E272" s="283"/>
      <c r="F272" s="283"/>
      <c r="G272" s="284"/>
      <c r="H272" s="284"/>
      <c r="I272" s="283"/>
      <c r="J272" s="283"/>
      <c r="K272" s="283"/>
      <c r="L272" s="283"/>
      <c r="M272" s="283"/>
      <c r="N272" s="283"/>
      <c r="O272" s="283"/>
      <c r="P272" s="283"/>
      <c r="Q272" s="283"/>
      <c r="R272" s="283"/>
      <c r="S272" s="283"/>
      <c r="T272" s="283"/>
    </row>
    <row r="273">
      <c r="A273" s="300"/>
      <c r="B273" s="282"/>
      <c r="C273" s="283"/>
      <c r="D273" s="282"/>
      <c r="E273" s="283"/>
      <c r="F273" s="283"/>
      <c r="G273" s="284"/>
      <c r="H273" s="284"/>
      <c r="I273" s="283"/>
      <c r="J273" s="283"/>
      <c r="K273" s="283"/>
      <c r="L273" s="283"/>
      <c r="M273" s="283"/>
      <c r="N273" s="283"/>
      <c r="O273" s="283"/>
      <c r="P273" s="283"/>
      <c r="Q273" s="283"/>
      <c r="R273" s="283"/>
      <c r="S273" s="283"/>
      <c r="T273" s="283"/>
    </row>
    <row r="274">
      <c r="A274" s="300"/>
      <c r="B274" s="282"/>
      <c r="C274" s="283"/>
      <c r="D274" s="282"/>
      <c r="E274" s="283"/>
      <c r="F274" s="283"/>
      <c r="G274" s="284"/>
      <c r="H274" s="284"/>
      <c r="I274" s="283"/>
      <c r="J274" s="283"/>
      <c r="K274" s="283"/>
      <c r="L274" s="283"/>
      <c r="M274" s="283"/>
      <c r="N274" s="283"/>
      <c r="O274" s="283"/>
      <c r="P274" s="283"/>
      <c r="Q274" s="283"/>
      <c r="R274" s="283"/>
      <c r="S274" s="283"/>
      <c r="T274" s="283"/>
    </row>
    <row r="275">
      <c r="A275" s="300"/>
      <c r="B275" s="282"/>
      <c r="C275" s="283"/>
      <c r="D275" s="282"/>
      <c r="E275" s="283"/>
      <c r="F275" s="283"/>
      <c r="G275" s="284"/>
      <c r="H275" s="284"/>
      <c r="I275" s="283"/>
      <c r="J275" s="283"/>
      <c r="K275" s="283"/>
      <c r="L275" s="283"/>
      <c r="M275" s="283"/>
      <c r="N275" s="283"/>
      <c r="O275" s="283"/>
      <c r="P275" s="283"/>
      <c r="Q275" s="283"/>
      <c r="R275" s="283"/>
      <c r="S275" s="283"/>
      <c r="T275" s="283"/>
    </row>
    <row r="276">
      <c r="A276" s="300"/>
      <c r="B276" s="282"/>
      <c r="C276" s="283"/>
      <c r="D276" s="282"/>
      <c r="E276" s="283"/>
      <c r="F276" s="283"/>
      <c r="G276" s="284"/>
      <c r="H276" s="284"/>
      <c r="I276" s="283"/>
      <c r="J276" s="283"/>
      <c r="K276" s="283"/>
      <c r="L276" s="283"/>
      <c r="M276" s="283"/>
      <c r="N276" s="283"/>
      <c r="O276" s="283"/>
      <c r="P276" s="283"/>
      <c r="Q276" s="283"/>
      <c r="R276" s="283"/>
      <c r="S276" s="283"/>
      <c r="T276" s="283"/>
    </row>
    <row r="277">
      <c r="A277" s="300"/>
      <c r="B277" s="282"/>
      <c r="C277" s="283"/>
      <c r="D277" s="282"/>
      <c r="E277" s="283"/>
      <c r="F277" s="283"/>
      <c r="G277" s="284"/>
      <c r="H277" s="284"/>
      <c r="I277" s="283"/>
      <c r="J277" s="283"/>
      <c r="K277" s="283"/>
      <c r="L277" s="283"/>
      <c r="M277" s="283"/>
      <c r="N277" s="283"/>
      <c r="O277" s="283"/>
      <c r="P277" s="283"/>
      <c r="Q277" s="283"/>
      <c r="R277" s="283"/>
      <c r="S277" s="283"/>
      <c r="T277" s="283"/>
    </row>
    <row r="278">
      <c r="A278" s="300"/>
      <c r="B278" s="282"/>
      <c r="C278" s="283"/>
      <c r="D278" s="282"/>
      <c r="E278" s="283"/>
      <c r="F278" s="283"/>
      <c r="G278" s="284"/>
      <c r="H278" s="284"/>
      <c r="I278" s="283"/>
      <c r="J278" s="283"/>
      <c r="K278" s="283"/>
      <c r="L278" s="283"/>
      <c r="M278" s="283"/>
      <c r="N278" s="283"/>
      <c r="O278" s="283"/>
      <c r="P278" s="283"/>
      <c r="Q278" s="283"/>
      <c r="R278" s="283"/>
      <c r="S278" s="283"/>
      <c r="T278" s="283"/>
    </row>
    <row r="279">
      <c r="A279" s="300"/>
      <c r="B279" s="282"/>
      <c r="C279" s="283"/>
      <c r="D279" s="282"/>
      <c r="E279" s="283"/>
      <c r="F279" s="283"/>
      <c r="G279" s="284"/>
      <c r="H279" s="284"/>
      <c r="I279" s="283"/>
      <c r="J279" s="283"/>
      <c r="K279" s="283"/>
      <c r="L279" s="283"/>
      <c r="M279" s="283"/>
      <c r="N279" s="283"/>
      <c r="O279" s="283"/>
      <c r="P279" s="283"/>
      <c r="Q279" s="283"/>
      <c r="R279" s="283"/>
      <c r="S279" s="283"/>
      <c r="T279" s="283"/>
    </row>
    <row r="280">
      <c r="A280" s="300"/>
      <c r="B280" s="282"/>
      <c r="C280" s="283"/>
      <c r="D280" s="282"/>
      <c r="E280" s="283"/>
      <c r="F280" s="283"/>
      <c r="G280" s="284"/>
      <c r="H280" s="284"/>
      <c r="I280" s="283"/>
      <c r="J280" s="283"/>
      <c r="K280" s="283"/>
      <c r="L280" s="283"/>
      <c r="M280" s="283"/>
      <c r="N280" s="283"/>
      <c r="O280" s="283"/>
      <c r="P280" s="283"/>
      <c r="Q280" s="283"/>
      <c r="R280" s="283"/>
      <c r="S280" s="283"/>
      <c r="T280" s="283"/>
    </row>
    <row r="281">
      <c r="A281" s="300"/>
      <c r="B281" s="282"/>
      <c r="C281" s="283"/>
      <c r="D281" s="282"/>
      <c r="E281" s="283"/>
      <c r="F281" s="283"/>
      <c r="G281" s="284"/>
      <c r="H281" s="284"/>
      <c r="I281" s="283"/>
      <c r="J281" s="283"/>
      <c r="K281" s="283"/>
      <c r="L281" s="283"/>
      <c r="M281" s="283"/>
      <c r="N281" s="283"/>
      <c r="O281" s="283"/>
      <c r="P281" s="283"/>
      <c r="Q281" s="283"/>
      <c r="R281" s="283"/>
      <c r="S281" s="283"/>
      <c r="T281" s="283"/>
    </row>
    <row r="282">
      <c r="A282" s="300"/>
      <c r="B282" s="282"/>
      <c r="C282" s="283"/>
      <c r="D282" s="282"/>
      <c r="E282" s="283"/>
      <c r="F282" s="283"/>
      <c r="G282" s="284"/>
      <c r="H282" s="284"/>
      <c r="I282" s="283"/>
      <c r="J282" s="283"/>
      <c r="K282" s="283"/>
      <c r="L282" s="283"/>
      <c r="M282" s="283"/>
      <c r="N282" s="283"/>
      <c r="O282" s="283"/>
      <c r="P282" s="283"/>
      <c r="Q282" s="283"/>
      <c r="R282" s="283"/>
      <c r="S282" s="283"/>
      <c r="T282" s="283"/>
    </row>
    <row r="283">
      <c r="A283" s="300"/>
      <c r="B283" s="282"/>
      <c r="C283" s="283"/>
      <c r="D283" s="282"/>
      <c r="E283" s="283"/>
      <c r="F283" s="283"/>
      <c r="G283" s="284"/>
      <c r="H283" s="284"/>
      <c r="I283" s="283"/>
      <c r="J283" s="283"/>
      <c r="K283" s="283"/>
      <c r="L283" s="283"/>
      <c r="M283" s="283"/>
      <c r="N283" s="283"/>
      <c r="O283" s="283"/>
      <c r="P283" s="283"/>
      <c r="Q283" s="283"/>
      <c r="R283" s="283"/>
      <c r="S283" s="283"/>
      <c r="T283" s="283"/>
    </row>
    <row r="284">
      <c r="A284" s="300"/>
      <c r="B284" s="282"/>
      <c r="C284" s="283"/>
      <c r="D284" s="282"/>
      <c r="E284" s="283"/>
      <c r="F284" s="283"/>
      <c r="G284" s="284"/>
      <c r="H284" s="284"/>
      <c r="I284" s="283"/>
      <c r="J284" s="283"/>
      <c r="K284" s="283"/>
      <c r="L284" s="283"/>
      <c r="M284" s="283"/>
      <c r="N284" s="283"/>
      <c r="O284" s="283"/>
      <c r="P284" s="283"/>
      <c r="Q284" s="283"/>
      <c r="R284" s="283"/>
      <c r="S284" s="283"/>
      <c r="T284" s="283"/>
    </row>
    <row r="285">
      <c r="A285" s="300"/>
      <c r="B285" s="282"/>
      <c r="C285" s="283"/>
      <c r="D285" s="282"/>
      <c r="E285" s="283"/>
      <c r="F285" s="283"/>
      <c r="G285" s="284"/>
      <c r="H285" s="284"/>
      <c r="I285" s="283"/>
      <c r="J285" s="283"/>
      <c r="K285" s="283"/>
      <c r="L285" s="283"/>
      <c r="M285" s="283"/>
      <c r="N285" s="283"/>
      <c r="O285" s="283"/>
      <c r="P285" s="283"/>
      <c r="Q285" s="283"/>
      <c r="R285" s="283"/>
      <c r="S285" s="283"/>
      <c r="T285" s="283"/>
    </row>
    <row r="286">
      <c r="A286" s="300"/>
      <c r="B286" s="282"/>
      <c r="C286" s="283"/>
      <c r="D286" s="282"/>
      <c r="E286" s="283"/>
      <c r="F286" s="283"/>
      <c r="G286" s="284"/>
      <c r="H286" s="284"/>
      <c r="I286" s="283"/>
      <c r="J286" s="283"/>
      <c r="K286" s="283"/>
      <c r="L286" s="283"/>
      <c r="M286" s="283"/>
      <c r="N286" s="283"/>
      <c r="O286" s="283"/>
      <c r="P286" s="283"/>
      <c r="Q286" s="283"/>
      <c r="R286" s="283"/>
      <c r="S286" s="283"/>
      <c r="T286" s="283"/>
    </row>
    <row r="287">
      <c r="A287" s="300"/>
      <c r="B287" s="282"/>
      <c r="C287" s="283"/>
      <c r="D287" s="282"/>
      <c r="E287" s="283"/>
      <c r="F287" s="283"/>
      <c r="G287" s="284"/>
      <c r="H287" s="284"/>
      <c r="I287" s="283"/>
      <c r="J287" s="283"/>
      <c r="K287" s="283"/>
      <c r="L287" s="283"/>
      <c r="M287" s="283"/>
      <c r="N287" s="283"/>
      <c r="O287" s="283"/>
      <c r="P287" s="283"/>
      <c r="Q287" s="283"/>
      <c r="R287" s="283"/>
      <c r="S287" s="283"/>
      <c r="T287" s="283"/>
    </row>
    <row r="288">
      <c r="A288" s="300"/>
      <c r="B288" s="282"/>
      <c r="C288" s="283"/>
      <c r="D288" s="282"/>
      <c r="E288" s="283"/>
      <c r="F288" s="283"/>
      <c r="G288" s="284"/>
      <c r="H288" s="284"/>
      <c r="I288" s="283"/>
      <c r="J288" s="283"/>
      <c r="K288" s="283"/>
      <c r="L288" s="283"/>
      <c r="M288" s="283"/>
      <c r="N288" s="283"/>
      <c r="O288" s="283"/>
      <c r="P288" s="283"/>
      <c r="Q288" s="283"/>
      <c r="R288" s="283"/>
      <c r="S288" s="283"/>
      <c r="T288" s="283"/>
    </row>
    <row r="289">
      <c r="A289" s="300"/>
      <c r="B289" s="282"/>
      <c r="C289" s="283"/>
      <c r="D289" s="282"/>
      <c r="E289" s="283"/>
      <c r="F289" s="283"/>
      <c r="G289" s="284"/>
      <c r="H289" s="284"/>
      <c r="I289" s="283"/>
      <c r="J289" s="283"/>
      <c r="K289" s="283"/>
      <c r="L289" s="283"/>
      <c r="M289" s="283"/>
      <c r="N289" s="283"/>
      <c r="O289" s="283"/>
      <c r="P289" s="283"/>
      <c r="Q289" s="283"/>
      <c r="R289" s="283"/>
      <c r="S289" s="283"/>
      <c r="T289" s="283"/>
    </row>
    <row r="290">
      <c r="A290" s="300"/>
      <c r="B290" s="282"/>
      <c r="C290" s="283"/>
      <c r="D290" s="282"/>
      <c r="E290" s="283"/>
      <c r="F290" s="283"/>
      <c r="G290" s="284"/>
      <c r="H290" s="284"/>
      <c r="I290" s="283"/>
      <c r="J290" s="283"/>
      <c r="K290" s="283"/>
      <c r="L290" s="283"/>
      <c r="M290" s="283"/>
      <c r="N290" s="283"/>
      <c r="O290" s="283"/>
      <c r="P290" s="283"/>
      <c r="Q290" s="283"/>
      <c r="R290" s="283"/>
      <c r="S290" s="283"/>
      <c r="T290" s="283"/>
    </row>
    <row r="291">
      <c r="A291" s="300"/>
      <c r="B291" s="282"/>
      <c r="C291" s="283"/>
      <c r="D291" s="282"/>
      <c r="E291" s="283"/>
      <c r="F291" s="283"/>
      <c r="G291" s="284"/>
      <c r="H291" s="284"/>
      <c r="I291" s="283"/>
      <c r="J291" s="283"/>
      <c r="K291" s="283"/>
      <c r="L291" s="283"/>
      <c r="M291" s="283"/>
      <c r="N291" s="283"/>
      <c r="O291" s="283"/>
      <c r="P291" s="283"/>
      <c r="Q291" s="283"/>
      <c r="R291" s="283"/>
      <c r="S291" s="283"/>
      <c r="T291" s="283"/>
    </row>
    <row r="292">
      <c r="A292" s="300"/>
      <c r="B292" s="282"/>
      <c r="C292" s="283"/>
      <c r="D292" s="282"/>
      <c r="E292" s="283"/>
      <c r="F292" s="283"/>
      <c r="G292" s="284"/>
      <c r="H292" s="284"/>
      <c r="I292" s="283"/>
      <c r="J292" s="283"/>
      <c r="K292" s="283"/>
      <c r="L292" s="283"/>
      <c r="M292" s="283"/>
      <c r="N292" s="283"/>
      <c r="O292" s="283"/>
      <c r="P292" s="283"/>
      <c r="Q292" s="283"/>
      <c r="R292" s="283"/>
      <c r="S292" s="283"/>
      <c r="T292" s="283"/>
    </row>
    <row r="293">
      <c r="A293" s="300"/>
      <c r="B293" s="282"/>
      <c r="C293" s="283"/>
      <c r="D293" s="282"/>
      <c r="E293" s="283"/>
      <c r="F293" s="283"/>
      <c r="G293" s="284"/>
      <c r="H293" s="284"/>
      <c r="I293" s="283"/>
      <c r="J293" s="283"/>
      <c r="K293" s="283"/>
      <c r="L293" s="283"/>
      <c r="M293" s="283"/>
      <c r="N293" s="283"/>
      <c r="O293" s="283"/>
      <c r="P293" s="283"/>
      <c r="Q293" s="283"/>
      <c r="R293" s="283"/>
      <c r="S293" s="283"/>
      <c r="T293" s="283"/>
    </row>
    <row r="294">
      <c r="A294" s="300"/>
      <c r="B294" s="282"/>
      <c r="C294" s="283"/>
      <c r="D294" s="282"/>
      <c r="E294" s="283"/>
      <c r="F294" s="283"/>
      <c r="G294" s="284"/>
      <c r="H294" s="284"/>
      <c r="I294" s="283"/>
      <c r="J294" s="283"/>
      <c r="K294" s="283"/>
      <c r="L294" s="283"/>
      <c r="M294" s="283"/>
      <c r="N294" s="283"/>
      <c r="O294" s="283"/>
      <c r="P294" s="283"/>
      <c r="Q294" s="283"/>
      <c r="R294" s="283"/>
      <c r="S294" s="283"/>
      <c r="T294" s="283"/>
    </row>
    <row r="295">
      <c r="A295" s="300"/>
      <c r="B295" s="282"/>
      <c r="C295" s="283"/>
      <c r="D295" s="282"/>
      <c r="E295" s="283"/>
      <c r="F295" s="283"/>
      <c r="G295" s="284"/>
      <c r="H295" s="284"/>
      <c r="I295" s="283"/>
      <c r="J295" s="283"/>
      <c r="K295" s="283"/>
      <c r="L295" s="283"/>
      <c r="M295" s="283"/>
      <c r="N295" s="283"/>
      <c r="O295" s="283"/>
      <c r="P295" s="283"/>
      <c r="Q295" s="283"/>
      <c r="R295" s="283"/>
      <c r="S295" s="283"/>
      <c r="T295" s="283"/>
    </row>
    <row r="296">
      <c r="A296" s="300"/>
      <c r="B296" s="282"/>
      <c r="C296" s="283"/>
      <c r="D296" s="282"/>
      <c r="E296" s="283"/>
      <c r="F296" s="283"/>
      <c r="G296" s="284"/>
      <c r="H296" s="284"/>
      <c r="I296" s="283"/>
      <c r="J296" s="283"/>
      <c r="K296" s="283"/>
      <c r="L296" s="283"/>
      <c r="M296" s="283"/>
      <c r="N296" s="283"/>
      <c r="O296" s="283"/>
      <c r="P296" s="283"/>
      <c r="Q296" s="283"/>
      <c r="R296" s="283"/>
      <c r="S296" s="283"/>
      <c r="T296" s="283"/>
    </row>
    <row r="297">
      <c r="A297" s="300"/>
      <c r="B297" s="282"/>
      <c r="C297" s="283"/>
      <c r="D297" s="282"/>
      <c r="E297" s="283"/>
      <c r="F297" s="283"/>
      <c r="G297" s="284"/>
      <c r="H297" s="284"/>
      <c r="I297" s="283"/>
      <c r="J297" s="283"/>
      <c r="K297" s="283"/>
      <c r="L297" s="283"/>
      <c r="M297" s="283"/>
      <c r="N297" s="283"/>
      <c r="O297" s="283"/>
      <c r="P297" s="283"/>
      <c r="Q297" s="283"/>
      <c r="R297" s="283"/>
      <c r="S297" s="283"/>
      <c r="T297" s="283"/>
    </row>
    <row r="298">
      <c r="A298" s="300"/>
      <c r="B298" s="282"/>
      <c r="C298" s="283"/>
      <c r="D298" s="282"/>
      <c r="E298" s="283"/>
      <c r="F298" s="283"/>
      <c r="G298" s="284"/>
      <c r="H298" s="284"/>
      <c r="I298" s="283"/>
      <c r="J298" s="283"/>
      <c r="K298" s="283"/>
      <c r="L298" s="283"/>
      <c r="M298" s="283"/>
      <c r="N298" s="283"/>
      <c r="O298" s="283"/>
      <c r="P298" s="283"/>
      <c r="Q298" s="283"/>
      <c r="R298" s="283"/>
      <c r="S298" s="283"/>
      <c r="T298" s="283"/>
    </row>
    <row r="299">
      <c r="A299" s="300"/>
      <c r="B299" s="282"/>
      <c r="C299" s="283"/>
      <c r="D299" s="282"/>
      <c r="E299" s="283"/>
      <c r="F299" s="283"/>
      <c r="G299" s="284"/>
      <c r="H299" s="284"/>
      <c r="I299" s="283"/>
      <c r="J299" s="283"/>
      <c r="K299" s="283"/>
      <c r="L299" s="283"/>
      <c r="M299" s="283"/>
      <c r="N299" s="283"/>
      <c r="O299" s="283"/>
      <c r="P299" s="283"/>
      <c r="Q299" s="283"/>
      <c r="R299" s="283"/>
      <c r="S299" s="283"/>
      <c r="T299" s="283"/>
    </row>
    <row r="300">
      <c r="A300" s="300"/>
      <c r="B300" s="282"/>
      <c r="C300" s="283"/>
      <c r="D300" s="282"/>
      <c r="E300" s="283"/>
      <c r="F300" s="283"/>
      <c r="G300" s="284"/>
      <c r="H300" s="284"/>
      <c r="I300" s="283"/>
      <c r="J300" s="283"/>
      <c r="K300" s="283"/>
      <c r="L300" s="283"/>
      <c r="M300" s="283"/>
      <c r="N300" s="283"/>
      <c r="O300" s="283"/>
      <c r="P300" s="283"/>
      <c r="Q300" s="283"/>
      <c r="R300" s="283"/>
      <c r="S300" s="283"/>
      <c r="T300" s="283"/>
    </row>
    <row r="301">
      <c r="A301" s="300"/>
      <c r="B301" s="282"/>
      <c r="C301" s="283"/>
      <c r="D301" s="282"/>
      <c r="E301" s="283"/>
      <c r="F301" s="283"/>
      <c r="G301" s="284"/>
      <c r="H301" s="284"/>
      <c r="I301" s="283"/>
      <c r="J301" s="283"/>
      <c r="K301" s="283"/>
      <c r="L301" s="283"/>
      <c r="M301" s="283"/>
      <c r="N301" s="283"/>
      <c r="O301" s="283"/>
      <c r="P301" s="283"/>
      <c r="Q301" s="283"/>
      <c r="R301" s="283"/>
      <c r="S301" s="283"/>
      <c r="T301" s="283"/>
    </row>
    <row r="302">
      <c r="A302" s="300"/>
      <c r="B302" s="282"/>
      <c r="C302" s="283"/>
      <c r="D302" s="282"/>
      <c r="E302" s="283"/>
      <c r="F302" s="283"/>
      <c r="G302" s="284"/>
      <c r="H302" s="284"/>
      <c r="I302" s="283"/>
      <c r="J302" s="283"/>
      <c r="K302" s="283"/>
      <c r="L302" s="283"/>
      <c r="M302" s="283"/>
      <c r="N302" s="283"/>
      <c r="O302" s="283"/>
      <c r="P302" s="283"/>
      <c r="Q302" s="283"/>
      <c r="R302" s="283"/>
      <c r="S302" s="283"/>
      <c r="T302" s="283"/>
    </row>
    <row r="303">
      <c r="A303" s="300"/>
      <c r="B303" s="282"/>
      <c r="C303" s="283"/>
      <c r="D303" s="282"/>
      <c r="E303" s="283"/>
      <c r="F303" s="283"/>
      <c r="G303" s="284"/>
      <c r="H303" s="284"/>
      <c r="I303" s="283"/>
      <c r="J303" s="283"/>
      <c r="K303" s="283"/>
      <c r="L303" s="283"/>
      <c r="M303" s="283"/>
      <c r="N303" s="283"/>
      <c r="O303" s="283"/>
      <c r="P303" s="283"/>
      <c r="Q303" s="283"/>
      <c r="R303" s="283"/>
      <c r="S303" s="283"/>
      <c r="T303" s="283"/>
    </row>
    <row r="304">
      <c r="A304" s="300"/>
      <c r="B304" s="282"/>
      <c r="C304" s="283"/>
      <c r="D304" s="282"/>
      <c r="E304" s="283"/>
      <c r="F304" s="283"/>
      <c r="G304" s="284"/>
      <c r="H304" s="284"/>
      <c r="I304" s="283"/>
      <c r="J304" s="283"/>
      <c r="K304" s="283"/>
      <c r="L304" s="283"/>
      <c r="M304" s="283"/>
      <c r="N304" s="283"/>
      <c r="O304" s="283"/>
      <c r="P304" s="283"/>
      <c r="Q304" s="283"/>
      <c r="R304" s="283"/>
      <c r="S304" s="283"/>
      <c r="T304" s="283"/>
    </row>
    <row r="305">
      <c r="A305" s="300"/>
      <c r="B305" s="282"/>
      <c r="C305" s="283"/>
      <c r="D305" s="282"/>
      <c r="E305" s="283"/>
      <c r="F305" s="283"/>
      <c r="G305" s="284"/>
      <c r="H305" s="284"/>
      <c r="I305" s="283"/>
      <c r="J305" s="283"/>
      <c r="K305" s="283"/>
      <c r="L305" s="283"/>
      <c r="M305" s="283"/>
      <c r="N305" s="283"/>
      <c r="O305" s="283"/>
      <c r="P305" s="283"/>
      <c r="Q305" s="283"/>
      <c r="R305" s="283"/>
      <c r="S305" s="283"/>
      <c r="T305" s="283"/>
    </row>
    <row r="306">
      <c r="A306" s="300"/>
      <c r="B306" s="282"/>
      <c r="C306" s="283"/>
      <c r="D306" s="282"/>
      <c r="E306" s="283"/>
      <c r="F306" s="283"/>
      <c r="G306" s="284"/>
      <c r="H306" s="284"/>
      <c r="I306" s="283"/>
      <c r="J306" s="283"/>
      <c r="K306" s="283"/>
      <c r="L306" s="283"/>
      <c r="M306" s="283"/>
      <c r="N306" s="283"/>
      <c r="O306" s="283"/>
      <c r="P306" s="283"/>
      <c r="Q306" s="283"/>
      <c r="R306" s="283"/>
      <c r="S306" s="283"/>
      <c r="T306" s="283"/>
    </row>
    <row r="307">
      <c r="A307" s="300"/>
      <c r="B307" s="282"/>
      <c r="C307" s="283"/>
      <c r="D307" s="282"/>
      <c r="E307" s="283"/>
      <c r="F307" s="283"/>
      <c r="G307" s="284"/>
      <c r="H307" s="284"/>
      <c r="I307" s="283"/>
      <c r="J307" s="283"/>
      <c r="K307" s="283"/>
      <c r="L307" s="283"/>
      <c r="M307" s="283"/>
      <c r="N307" s="283"/>
      <c r="O307" s="283"/>
      <c r="P307" s="283"/>
      <c r="Q307" s="283"/>
      <c r="R307" s="283"/>
      <c r="S307" s="283"/>
      <c r="T307" s="283"/>
    </row>
    <row r="308">
      <c r="A308" s="300"/>
      <c r="B308" s="282"/>
      <c r="C308" s="283"/>
      <c r="D308" s="282"/>
      <c r="E308" s="283"/>
      <c r="F308" s="283"/>
      <c r="G308" s="284"/>
      <c r="H308" s="284"/>
      <c r="I308" s="283"/>
      <c r="J308" s="283"/>
      <c r="K308" s="283"/>
      <c r="L308" s="283"/>
      <c r="M308" s="283"/>
      <c r="N308" s="283"/>
      <c r="O308" s="283"/>
      <c r="P308" s="283"/>
      <c r="Q308" s="283"/>
      <c r="R308" s="283"/>
      <c r="S308" s="283"/>
      <c r="T308" s="283"/>
    </row>
    <row r="309">
      <c r="A309" s="300"/>
      <c r="B309" s="282"/>
      <c r="C309" s="283"/>
      <c r="D309" s="282"/>
      <c r="E309" s="283"/>
      <c r="F309" s="283"/>
      <c r="G309" s="284"/>
      <c r="H309" s="284"/>
      <c r="I309" s="283"/>
      <c r="J309" s="283"/>
      <c r="K309" s="283"/>
      <c r="L309" s="283"/>
      <c r="M309" s="283"/>
      <c r="N309" s="283"/>
      <c r="O309" s="283"/>
      <c r="P309" s="283"/>
      <c r="Q309" s="283"/>
      <c r="R309" s="283"/>
      <c r="S309" s="283"/>
      <c r="T309" s="283"/>
    </row>
    <row r="310">
      <c r="A310" s="300"/>
      <c r="B310" s="282"/>
      <c r="C310" s="283"/>
      <c r="D310" s="282"/>
      <c r="E310" s="283"/>
      <c r="F310" s="283"/>
      <c r="G310" s="284"/>
      <c r="H310" s="284"/>
      <c r="I310" s="283"/>
      <c r="J310" s="283"/>
      <c r="K310" s="283"/>
      <c r="L310" s="283"/>
      <c r="M310" s="283"/>
      <c r="N310" s="283"/>
      <c r="O310" s="283"/>
      <c r="P310" s="283"/>
      <c r="Q310" s="283"/>
      <c r="R310" s="283"/>
      <c r="S310" s="283"/>
      <c r="T310" s="283"/>
    </row>
    <row r="311">
      <c r="A311" s="300"/>
      <c r="B311" s="282"/>
      <c r="C311" s="283"/>
      <c r="D311" s="282"/>
      <c r="E311" s="283"/>
      <c r="F311" s="283"/>
      <c r="G311" s="284"/>
      <c r="H311" s="284"/>
      <c r="I311" s="283"/>
      <c r="J311" s="283"/>
      <c r="K311" s="283"/>
      <c r="L311" s="283"/>
      <c r="M311" s="283"/>
      <c r="N311" s="283"/>
      <c r="O311" s="283"/>
      <c r="P311" s="283"/>
      <c r="Q311" s="283"/>
      <c r="R311" s="283"/>
      <c r="S311" s="283"/>
      <c r="T311" s="283"/>
    </row>
    <row r="312">
      <c r="A312" s="300"/>
      <c r="B312" s="282"/>
      <c r="C312" s="283"/>
      <c r="D312" s="282"/>
      <c r="E312" s="283"/>
      <c r="F312" s="283"/>
      <c r="G312" s="284"/>
      <c r="H312" s="284"/>
      <c r="I312" s="283"/>
      <c r="J312" s="283"/>
      <c r="K312" s="283"/>
      <c r="L312" s="283"/>
      <c r="M312" s="283"/>
      <c r="N312" s="283"/>
      <c r="O312" s="283"/>
      <c r="P312" s="283"/>
      <c r="Q312" s="283"/>
      <c r="R312" s="283"/>
      <c r="S312" s="283"/>
      <c r="T312" s="283"/>
    </row>
    <row r="313">
      <c r="A313" s="300"/>
      <c r="B313" s="282"/>
      <c r="C313" s="283"/>
      <c r="D313" s="282"/>
      <c r="E313" s="283"/>
      <c r="F313" s="283"/>
      <c r="G313" s="284"/>
      <c r="H313" s="284"/>
      <c r="I313" s="283"/>
      <c r="J313" s="283"/>
      <c r="K313" s="283"/>
      <c r="L313" s="283"/>
      <c r="M313" s="283"/>
      <c r="N313" s="283"/>
      <c r="O313" s="283"/>
      <c r="P313" s="283"/>
      <c r="Q313" s="283"/>
      <c r="R313" s="283"/>
      <c r="S313" s="283"/>
      <c r="T313" s="283"/>
    </row>
    <row r="314">
      <c r="A314" s="300"/>
      <c r="B314" s="282"/>
      <c r="C314" s="283"/>
      <c r="D314" s="282"/>
      <c r="E314" s="283"/>
      <c r="F314" s="283"/>
      <c r="G314" s="284"/>
      <c r="H314" s="284"/>
      <c r="I314" s="283"/>
      <c r="J314" s="283"/>
      <c r="K314" s="283"/>
      <c r="L314" s="283"/>
      <c r="M314" s="283"/>
      <c r="N314" s="283"/>
      <c r="O314" s="283"/>
      <c r="P314" s="283"/>
      <c r="Q314" s="283"/>
      <c r="R314" s="283"/>
      <c r="S314" s="283"/>
      <c r="T314" s="283"/>
    </row>
    <row r="315">
      <c r="A315" s="300"/>
      <c r="B315" s="282"/>
      <c r="C315" s="283"/>
      <c r="D315" s="282"/>
      <c r="E315" s="283"/>
      <c r="F315" s="283"/>
      <c r="G315" s="284"/>
      <c r="H315" s="284"/>
      <c r="I315" s="283"/>
      <c r="J315" s="283"/>
      <c r="K315" s="283"/>
      <c r="L315" s="283"/>
      <c r="M315" s="283"/>
      <c r="N315" s="283"/>
      <c r="O315" s="283"/>
      <c r="P315" s="283"/>
      <c r="Q315" s="283"/>
      <c r="R315" s="283"/>
      <c r="S315" s="283"/>
      <c r="T315" s="283"/>
    </row>
    <row r="316">
      <c r="A316" s="300"/>
      <c r="B316" s="282"/>
      <c r="C316" s="283"/>
      <c r="D316" s="282"/>
      <c r="E316" s="283"/>
      <c r="F316" s="283"/>
      <c r="G316" s="284"/>
      <c r="H316" s="284"/>
      <c r="I316" s="283"/>
      <c r="J316" s="283"/>
      <c r="K316" s="283"/>
      <c r="L316" s="283"/>
      <c r="M316" s="283"/>
      <c r="N316" s="283"/>
      <c r="O316" s="283"/>
      <c r="P316" s="283"/>
      <c r="Q316" s="283"/>
      <c r="R316" s="283"/>
      <c r="S316" s="283"/>
      <c r="T316" s="283"/>
    </row>
    <row r="317">
      <c r="A317" s="300"/>
      <c r="B317" s="282"/>
      <c r="C317" s="283"/>
      <c r="D317" s="282"/>
      <c r="E317" s="283"/>
      <c r="F317" s="283"/>
      <c r="G317" s="284"/>
      <c r="H317" s="284"/>
      <c r="I317" s="283"/>
      <c r="J317" s="283"/>
      <c r="K317" s="283"/>
      <c r="L317" s="283"/>
      <c r="M317" s="283"/>
      <c r="N317" s="283"/>
      <c r="O317" s="283"/>
      <c r="P317" s="283"/>
      <c r="Q317" s="283"/>
      <c r="R317" s="283"/>
      <c r="S317" s="283"/>
      <c r="T317" s="283"/>
    </row>
    <row r="318">
      <c r="A318" s="300"/>
      <c r="B318" s="282"/>
      <c r="C318" s="283"/>
      <c r="D318" s="282"/>
      <c r="E318" s="283"/>
      <c r="F318" s="283"/>
      <c r="G318" s="284"/>
      <c r="H318" s="284"/>
      <c r="I318" s="283"/>
      <c r="J318" s="283"/>
      <c r="K318" s="283"/>
      <c r="L318" s="283"/>
      <c r="M318" s="283"/>
      <c r="N318" s="283"/>
      <c r="O318" s="283"/>
      <c r="P318" s="283"/>
      <c r="Q318" s="283"/>
      <c r="R318" s="283"/>
      <c r="S318" s="283"/>
      <c r="T318" s="283"/>
    </row>
    <row r="319">
      <c r="A319" s="300"/>
      <c r="B319" s="282"/>
      <c r="C319" s="283"/>
      <c r="D319" s="282"/>
      <c r="E319" s="283"/>
      <c r="F319" s="283"/>
      <c r="G319" s="284"/>
      <c r="H319" s="284"/>
      <c r="I319" s="283"/>
      <c r="J319" s="283"/>
      <c r="K319" s="283"/>
      <c r="L319" s="283"/>
      <c r="M319" s="283"/>
      <c r="N319" s="283"/>
      <c r="O319" s="283"/>
      <c r="P319" s="283"/>
      <c r="Q319" s="283"/>
      <c r="R319" s="283"/>
      <c r="S319" s="283"/>
      <c r="T319" s="283"/>
    </row>
    <row r="320">
      <c r="A320" s="300"/>
      <c r="B320" s="282"/>
      <c r="C320" s="283"/>
      <c r="D320" s="282"/>
      <c r="E320" s="283"/>
      <c r="F320" s="283"/>
      <c r="G320" s="284"/>
      <c r="H320" s="284"/>
      <c r="I320" s="283"/>
      <c r="J320" s="283"/>
      <c r="K320" s="283"/>
      <c r="L320" s="283"/>
      <c r="M320" s="283"/>
      <c r="N320" s="283"/>
      <c r="O320" s="283"/>
      <c r="P320" s="283"/>
      <c r="Q320" s="283"/>
      <c r="R320" s="283"/>
      <c r="S320" s="283"/>
      <c r="T320" s="283"/>
    </row>
    <row r="321">
      <c r="A321" s="300"/>
      <c r="B321" s="282"/>
      <c r="C321" s="283"/>
      <c r="D321" s="282"/>
      <c r="E321" s="283"/>
      <c r="F321" s="283"/>
      <c r="G321" s="284"/>
      <c r="H321" s="284"/>
      <c r="I321" s="283"/>
      <c r="J321" s="283"/>
      <c r="K321" s="283"/>
      <c r="L321" s="283"/>
      <c r="M321" s="283"/>
      <c r="N321" s="283"/>
      <c r="O321" s="283"/>
      <c r="P321" s="283"/>
      <c r="Q321" s="283"/>
      <c r="R321" s="283"/>
      <c r="S321" s="283"/>
      <c r="T321" s="283"/>
    </row>
    <row r="322">
      <c r="A322" s="300"/>
      <c r="B322" s="282"/>
      <c r="C322" s="283"/>
      <c r="D322" s="282"/>
      <c r="E322" s="283"/>
      <c r="F322" s="283"/>
      <c r="G322" s="284"/>
      <c r="H322" s="284"/>
      <c r="I322" s="283"/>
      <c r="J322" s="283"/>
      <c r="K322" s="283"/>
      <c r="L322" s="283"/>
      <c r="M322" s="283"/>
      <c r="N322" s="283"/>
      <c r="O322" s="283"/>
      <c r="P322" s="283"/>
      <c r="Q322" s="283"/>
      <c r="R322" s="283"/>
      <c r="S322" s="283"/>
      <c r="T322" s="283"/>
    </row>
    <row r="323">
      <c r="A323" s="300"/>
      <c r="B323" s="282"/>
      <c r="C323" s="283"/>
      <c r="D323" s="282"/>
      <c r="E323" s="283"/>
      <c r="F323" s="283"/>
      <c r="G323" s="284"/>
      <c r="H323" s="284"/>
      <c r="I323" s="283"/>
      <c r="J323" s="283"/>
      <c r="K323" s="283"/>
      <c r="L323" s="283"/>
      <c r="M323" s="283"/>
      <c r="N323" s="283"/>
      <c r="O323" s="283"/>
      <c r="P323" s="283"/>
      <c r="Q323" s="283"/>
      <c r="R323" s="283"/>
      <c r="S323" s="283"/>
      <c r="T323" s="283"/>
    </row>
    <row r="324">
      <c r="A324" s="300"/>
      <c r="B324" s="282"/>
      <c r="C324" s="283"/>
      <c r="D324" s="282"/>
      <c r="E324" s="283"/>
      <c r="F324" s="283"/>
      <c r="G324" s="284"/>
      <c r="H324" s="284"/>
      <c r="I324" s="283"/>
      <c r="J324" s="283"/>
      <c r="K324" s="283"/>
      <c r="L324" s="283"/>
      <c r="M324" s="283"/>
      <c r="N324" s="283"/>
      <c r="O324" s="283"/>
      <c r="P324" s="283"/>
      <c r="Q324" s="283"/>
      <c r="R324" s="283"/>
      <c r="S324" s="283"/>
      <c r="T324" s="283"/>
    </row>
    <row r="325">
      <c r="A325" s="300"/>
      <c r="B325" s="282"/>
      <c r="C325" s="283"/>
      <c r="D325" s="282"/>
      <c r="E325" s="283"/>
      <c r="F325" s="283"/>
      <c r="G325" s="284"/>
      <c r="H325" s="284"/>
      <c r="I325" s="283"/>
      <c r="J325" s="283"/>
      <c r="K325" s="283"/>
      <c r="L325" s="283"/>
      <c r="M325" s="283"/>
      <c r="N325" s="283"/>
      <c r="O325" s="283"/>
      <c r="P325" s="283"/>
      <c r="Q325" s="283"/>
      <c r="R325" s="283"/>
      <c r="S325" s="283"/>
      <c r="T325" s="283"/>
    </row>
    <row r="326">
      <c r="A326" s="300"/>
      <c r="B326" s="282"/>
      <c r="C326" s="283"/>
      <c r="D326" s="282"/>
      <c r="E326" s="283"/>
      <c r="F326" s="283"/>
      <c r="G326" s="284"/>
      <c r="H326" s="284"/>
      <c r="I326" s="283"/>
      <c r="J326" s="283"/>
      <c r="K326" s="283"/>
      <c r="L326" s="283"/>
      <c r="M326" s="283"/>
      <c r="N326" s="283"/>
      <c r="O326" s="283"/>
      <c r="P326" s="283"/>
      <c r="Q326" s="283"/>
      <c r="R326" s="283"/>
      <c r="S326" s="283"/>
      <c r="T326" s="283"/>
    </row>
    <row r="327">
      <c r="A327" s="300"/>
      <c r="B327" s="282"/>
      <c r="C327" s="283"/>
      <c r="D327" s="282"/>
      <c r="E327" s="283"/>
      <c r="F327" s="283"/>
      <c r="G327" s="284"/>
      <c r="H327" s="284"/>
      <c r="I327" s="283"/>
      <c r="J327" s="283"/>
      <c r="K327" s="283"/>
      <c r="L327" s="283"/>
      <c r="M327" s="283"/>
      <c r="N327" s="283"/>
      <c r="O327" s="283"/>
      <c r="P327" s="283"/>
      <c r="Q327" s="283"/>
      <c r="R327" s="283"/>
      <c r="S327" s="283"/>
      <c r="T327" s="283"/>
    </row>
    <row r="328">
      <c r="A328" s="300"/>
      <c r="B328" s="282"/>
      <c r="C328" s="283"/>
      <c r="D328" s="282"/>
      <c r="E328" s="283"/>
      <c r="F328" s="283"/>
      <c r="G328" s="284"/>
      <c r="H328" s="284"/>
      <c r="I328" s="283"/>
      <c r="J328" s="283"/>
      <c r="K328" s="283"/>
      <c r="L328" s="283"/>
      <c r="M328" s="283"/>
      <c r="N328" s="283"/>
      <c r="O328" s="283"/>
      <c r="P328" s="283"/>
      <c r="Q328" s="283"/>
      <c r="R328" s="283"/>
      <c r="S328" s="283"/>
      <c r="T328" s="283"/>
    </row>
    <row r="329">
      <c r="A329" s="300"/>
      <c r="B329" s="282"/>
      <c r="C329" s="283"/>
      <c r="D329" s="282"/>
      <c r="E329" s="283"/>
      <c r="F329" s="283"/>
      <c r="G329" s="284"/>
      <c r="H329" s="284"/>
      <c r="I329" s="283"/>
      <c r="J329" s="283"/>
      <c r="K329" s="283"/>
      <c r="L329" s="283"/>
      <c r="M329" s="283"/>
      <c r="N329" s="283"/>
      <c r="O329" s="283"/>
      <c r="P329" s="283"/>
      <c r="Q329" s="283"/>
      <c r="R329" s="283"/>
      <c r="S329" s="283"/>
      <c r="T329" s="283"/>
    </row>
    <row r="330">
      <c r="A330" s="300"/>
      <c r="B330" s="282"/>
      <c r="C330" s="283"/>
      <c r="D330" s="282"/>
      <c r="E330" s="283"/>
      <c r="F330" s="283"/>
      <c r="G330" s="284"/>
      <c r="H330" s="284"/>
      <c r="I330" s="283"/>
      <c r="J330" s="283"/>
      <c r="K330" s="283"/>
      <c r="L330" s="283"/>
      <c r="M330" s="283"/>
      <c r="N330" s="283"/>
      <c r="O330" s="283"/>
      <c r="P330" s="283"/>
      <c r="Q330" s="283"/>
      <c r="R330" s="283"/>
      <c r="S330" s="283"/>
      <c r="T330" s="283"/>
    </row>
    <row r="331">
      <c r="A331" s="300"/>
      <c r="B331" s="282"/>
      <c r="C331" s="283"/>
      <c r="D331" s="282"/>
      <c r="E331" s="283"/>
      <c r="F331" s="283"/>
      <c r="G331" s="284"/>
      <c r="H331" s="284"/>
      <c r="I331" s="283"/>
      <c r="J331" s="283"/>
      <c r="K331" s="283"/>
      <c r="L331" s="283"/>
      <c r="M331" s="283"/>
      <c r="N331" s="283"/>
      <c r="O331" s="283"/>
      <c r="P331" s="283"/>
      <c r="Q331" s="283"/>
      <c r="R331" s="283"/>
      <c r="S331" s="283"/>
      <c r="T331" s="283"/>
    </row>
    <row r="332">
      <c r="A332" s="300"/>
      <c r="B332" s="282"/>
      <c r="C332" s="283"/>
      <c r="D332" s="282"/>
      <c r="E332" s="283"/>
      <c r="F332" s="283"/>
      <c r="G332" s="284"/>
      <c r="H332" s="284"/>
      <c r="I332" s="283"/>
      <c r="J332" s="283"/>
      <c r="K332" s="283"/>
      <c r="L332" s="283"/>
      <c r="M332" s="283"/>
      <c r="N332" s="283"/>
      <c r="O332" s="283"/>
      <c r="P332" s="283"/>
      <c r="Q332" s="283"/>
      <c r="R332" s="283"/>
      <c r="S332" s="283"/>
      <c r="T332" s="283"/>
    </row>
    <row r="333">
      <c r="A333" s="300"/>
      <c r="B333" s="282"/>
      <c r="C333" s="283"/>
      <c r="D333" s="282"/>
      <c r="E333" s="283"/>
      <c r="F333" s="283"/>
      <c r="G333" s="284"/>
      <c r="H333" s="284"/>
      <c r="I333" s="283"/>
      <c r="J333" s="283"/>
      <c r="K333" s="283"/>
      <c r="L333" s="283"/>
      <c r="M333" s="283"/>
      <c r="N333" s="283"/>
      <c r="O333" s="283"/>
      <c r="P333" s="283"/>
      <c r="Q333" s="283"/>
      <c r="R333" s="283"/>
      <c r="S333" s="283"/>
      <c r="T333" s="283"/>
    </row>
    <row r="334">
      <c r="A334" s="300"/>
      <c r="B334" s="282"/>
      <c r="C334" s="283"/>
      <c r="D334" s="282"/>
      <c r="E334" s="283"/>
      <c r="F334" s="283"/>
      <c r="G334" s="284"/>
      <c r="H334" s="284"/>
      <c r="I334" s="283"/>
      <c r="J334" s="283"/>
      <c r="K334" s="283"/>
      <c r="L334" s="283"/>
      <c r="M334" s="283"/>
      <c r="N334" s="283"/>
      <c r="O334" s="283"/>
      <c r="P334" s="283"/>
      <c r="Q334" s="283"/>
      <c r="R334" s="283"/>
      <c r="S334" s="283"/>
      <c r="T334" s="283"/>
    </row>
    <row r="335">
      <c r="A335" s="300"/>
      <c r="B335" s="282"/>
      <c r="C335" s="283"/>
      <c r="D335" s="282"/>
      <c r="E335" s="283"/>
      <c r="F335" s="283"/>
      <c r="G335" s="284"/>
      <c r="H335" s="284"/>
      <c r="I335" s="283"/>
      <c r="J335" s="283"/>
      <c r="K335" s="283"/>
      <c r="L335" s="283"/>
      <c r="M335" s="283"/>
      <c r="N335" s="283"/>
      <c r="O335" s="283"/>
      <c r="P335" s="283"/>
      <c r="Q335" s="283"/>
      <c r="R335" s="283"/>
      <c r="S335" s="283"/>
      <c r="T335" s="283"/>
    </row>
    <row r="336">
      <c r="A336" s="300"/>
      <c r="B336" s="282"/>
      <c r="C336" s="283"/>
      <c r="D336" s="282"/>
      <c r="E336" s="283"/>
      <c r="F336" s="283"/>
      <c r="G336" s="284"/>
      <c r="H336" s="284"/>
      <c r="I336" s="283"/>
      <c r="J336" s="283"/>
      <c r="K336" s="283"/>
      <c r="L336" s="283"/>
      <c r="M336" s="283"/>
      <c r="N336" s="283"/>
      <c r="O336" s="283"/>
      <c r="P336" s="283"/>
      <c r="Q336" s="283"/>
      <c r="R336" s="283"/>
      <c r="S336" s="283"/>
      <c r="T336" s="283"/>
    </row>
    <row r="337">
      <c r="A337" s="300"/>
      <c r="B337" s="282"/>
      <c r="C337" s="283"/>
      <c r="D337" s="282"/>
      <c r="E337" s="283"/>
      <c r="F337" s="283"/>
      <c r="G337" s="284"/>
      <c r="H337" s="284"/>
      <c r="I337" s="283"/>
      <c r="J337" s="283"/>
      <c r="K337" s="283"/>
      <c r="L337" s="283"/>
      <c r="M337" s="283"/>
      <c r="N337" s="283"/>
      <c r="O337" s="283"/>
      <c r="P337" s="283"/>
      <c r="Q337" s="283"/>
      <c r="R337" s="283"/>
      <c r="S337" s="283"/>
      <c r="T337" s="283"/>
    </row>
    <row r="338">
      <c r="A338" s="300"/>
      <c r="B338" s="282"/>
      <c r="C338" s="283"/>
      <c r="D338" s="282"/>
      <c r="E338" s="283"/>
      <c r="F338" s="283"/>
      <c r="G338" s="284"/>
      <c r="H338" s="284"/>
      <c r="I338" s="283"/>
      <c r="J338" s="283"/>
      <c r="K338" s="283"/>
      <c r="L338" s="283"/>
      <c r="M338" s="283"/>
      <c r="N338" s="283"/>
      <c r="O338" s="283"/>
      <c r="P338" s="283"/>
      <c r="Q338" s="283"/>
      <c r="R338" s="283"/>
      <c r="S338" s="283"/>
      <c r="T338" s="283"/>
    </row>
    <row r="339">
      <c r="A339" s="300"/>
      <c r="B339" s="282"/>
      <c r="C339" s="283"/>
      <c r="D339" s="282"/>
      <c r="E339" s="283"/>
      <c r="F339" s="283"/>
      <c r="G339" s="284"/>
      <c r="H339" s="284"/>
      <c r="I339" s="283"/>
      <c r="J339" s="283"/>
      <c r="K339" s="283"/>
      <c r="L339" s="283"/>
      <c r="M339" s="283"/>
      <c r="N339" s="283"/>
      <c r="O339" s="283"/>
      <c r="P339" s="283"/>
      <c r="Q339" s="283"/>
      <c r="R339" s="283"/>
      <c r="S339" s="283"/>
      <c r="T339" s="283"/>
    </row>
    <row r="340">
      <c r="A340" s="300"/>
      <c r="B340" s="282"/>
      <c r="C340" s="283"/>
      <c r="D340" s="282"/>
      <c r="E340" s="283"/>
      <c r="F340" s="283"/>
      <c r="G340" s="284"/>
      <c r="H340" s="284"/>
      <c r="I340" s="283"/>
      <c r="J340" s="283"/>
      <c r="K340" s="283"/>
      <c r="L340" s="283"/>
      <c r="M340" s="283"/>
      <c r="N340" s="283"/>
      <c r="O340" s="283"/>
      <c r="P340" s="283"/>
      <c r="Q340" s="283"/>
      <c r="R340" s="283"/>
      <c r="S340" s="283"/>
      <c r="T340" s="283"/>
    </row>
    <row r="341">
      <c r="A341" s="300"/>
      <c r="B341" s="282"/>
      <c r="C341" s="283"/>
      <c r="D341" s="282"/>
      <c r="E341" s="283"/>
      <c r="F341" s="283"/>
      <c r="G341" s="284"/>
      <c r="H341" s="284"/>
      <c r="I341" s="283"/>
      <c r="J341" s="283"/>
      <c r="K341" s="283"/>
      <c r="L341" s="283"/>
      <c r="M341" s="283"/>
      <c r="N341" s="283"/>
      <c r="O341" s="283"/>
      <c r="P341" s="283"/>
      <c r="Q341" s="283"/>
      <c r="R341" s="283"/>
      <c r="S341" s="283"/>
      <c r="T341" s="283"/>
    </row>
    <row r="342">
      <c r="A342" s="300"/>
      <c r="B342" s="282"/>
      <c r="C342" s="283"/>
      <c r="D342" s="282"/>
      <c r="E342" s="283"/>
      <c r="F342" s="283"/>
      <c r="G342" s="284"/>
      <c r="H342" s="284"/>
      <c r="I342" s="283"/>
      <c r="J342" s="283"/>
      <c r="K342" s="283"/>
      <c r="L342" s="283"/>
      <c r="M342" s="283"/>
      <c r="N342" s="283"/>
      <c r="O342" s="283"/>
      <c r="P342" s="283"/>
      <c r="Q342" s="283"/>
      <c r="R342" s="283"/>
      <c r="S342" s="283"/>
      <c r="T342" s="283"/>
    </row>
    <row r="343">
      <c r="A343" s="300"/>
      <c r="B343" s="282"/>
      <c r="C343" s="283"/>
      <c r="D343" s="282"/>
      <c r="E343" s="283"/>
      <c r="F343" s="283"/>
      <c r="G343" s="284"/>
      <c r="H343" s="284"/>
      <c r="I343" s="283"/>
      <c r="J343" s="283"/>
      <c r="K343" s="283"/>
      <c r="L343" s="283"/>
      <c r="M343" s="283"/>
      <c r="N343" s="283"/>
      <c r="O343" s="283"/>
      <c r="P343" s="283"/>
      <c r="Q343" s="283"/>
      <c r="R343" s="283"/>
      <c r="S343" s="283"/>
      <c r="T343" s="283"/>
    </row>
    <row r="344">
      <c r="A344" s="300"/>
      <c r="B344" s="282"/>
      <c r="C344" s="283"/>
      <c r="D344" s="282"/>
      <c r="E344" s="283"/>
      <c r="F344" s="283"/>
      <c r="G344" s="284"/>
      <c r="H344" s="284"/>
      <c r="I344" s="283"/>
      <c r="J344" s="283"/>
      <c r="K344" s="283"/>
      <c r="L344" s="283"/>
      <c r="M344" s="283"/>
      <c r="N344" s="283"/>
      <c r="O344" s="283"/>
      <c r="P344" s="283"/>
      <c r="Q344" s="283"/>
      <c r="R344" s="283"/>
      <c r="S344" s="283"/>
      <c r="T344" s="283"/>
    </row>
    <row r="345">
      <c r="A345" s="300"/>
      <c r="B345" s="282"/>
      <c r="C345" s="283"/>
      <c r="D345" s="282"/>
      <c r="E345" s="283"/>
      <c r="F345" s="283"/>
      <c r="G345" s="284"/>
      <c r="H345" s="284"/>
      <c r="I345" s="283"/>
      <c r="J345" s="283"/>
      <c r="K345" s="283"/>
      <c r="L345" s="283"/>
      <c r="M345" s="283"/>
      <c r="N345" s="283"/>
      <c r="O345" s="283"/>
      <c r="P345" s="283"/>
      <c r="Q345" s="283"/>
      <c r="R345" s="283"/>
      <c r="S345" s="283"/>
      <c r="T345" s="283"/>
    </row>
    <row r="346">
      <c r="A346" s="300"/>
      <c r="B346" s="282"/>
      <c r="C346" s="283"/>
      <c r="D346" s="282"/>
      <c r="E346" s="283"/>
      <c r="F346" s="283"/>
      <c r="G346" s="284"/>
      <c r="H346" s="284"/>
      <c r="I346" s="283"/>
      <c r="J346" s="283"/>
      <c r="K346" s="283"/>
      <c r="L346" s="283"/>
      <c r="M346" s="283"/>
      <c r="N346" s="283"/>
      <c r="O346" s="283"/>
      <c r="P346" s="283"/>
      <c r="Q346" s="283"/>
      <c r="R346" s="283"/>
      <c r="S346" s="283"/>
      <c r="T346" s="283"/>
    </row>
    <row r="347">
      <c r="A347" s="300"/>
      <c r="B347" s="282"/>
      <c r="C347" s="283"/>
      <c r="D347" s="282"/>
      <c r="E347" s="283"/>
      <c r="F347" s="283"/>
      <c r="G347" s="284"/>
      <c r="H347" s="284"/>
      <c r="I347" s="283"/>
      <c r="J347" s="283"/>
      <c r="K347" s="283"/>
      <c r="L347" s="283"/>
      <c r="M347" s="283"/>
      <c r="N347" s="283"/>
      <c r="O347" s="283"/>
      <c r="P347" s="283"/>
      <c r="Q347" s="283"/>
      <c r="R347" s="283"/>
      <c r="S347" s="283"/>
      <c r="T347" s="283"/>
    </row>
    <row r="348">
      <c r="A348" s="300"/>
      <c r="B348" s="282"/>
      <c r="C348" s="283"/>
      <c r="D348" s="282"/>
      <c r="E348" s="283"/>
      <c r="F348" s="283"/>
      <c r="G348" s="284"/>
      <c r="H348" s="284"/>
      <c r="I348" s="283"/>
      <c r="J348" s="283"/>
      <c r="K348" s="283"/>
      <c r="L348" s="283"/>
      <c r="M348" s="283"/>
      <c r="N348" s="283"/>
      <c r="O348" s="283"/>
      <c r="P348" s="283"/>
      <c r="Q348" s="283"/>
      <c r="R348" s="283"/>
      <c r="S348" s="283"/>
      <c r="T348" s="283"/>
    </row>
    <row r="349">
      <c r="A349" s="300"/>
      <c r="B349" s="282"/>
      <c r="C349" s="283"/>
      <c r="D349" s="282"/>
      <c r="E349" s="283"/>
      <c r="F349" s="283"/>
      <c r="G349" s="284"/>
      <c r="H349" s="284"/>
      <c r="I349" s="283"/>
      <c r="J349" s="283"/>
      <c r="K349" s="283"/>
      <c r="L349" s="283"/>
      <c r="M349" s="283"/>
      <c r="N349" s="283"/>
      <c r="O349" s="283"/>
      <c r="P349" s="283"/>
      <c r="Q349" s="283"/>
      <c r="R349" s="283"/>
      <c r="S349" s="283"/>
      <c r="T349" s="283"/>
    </row>
    <row r="350">
      <c r="A350" s="300"/>
      <c r="B350" s="282"/>
      <c r="C350" s="283"/>
      <c r="D350" s="282"/>
      <c r="E350" s="283"/>
      <c r="F350" s="283"/>
      <c r="G350" s="284"/>
      <c r="H350" s="284"/>
      <c r="I350" s="283"/>
      <c r="J350" s="283"/>
      <c r="K350" s="283"/>
      <c r="L350" s="283"/>
      <c r="M350" s="283"/>
      <c r="N350" s="283"/>
      <c r="O350" s="283"/>
      <c r="P350" s="283"/>
      <c r="Q350" s="283"/>
      <c r="R350" s="283"/>
      <c r="S350" s="283"/>
      <c r="T350" s="283"/>
    </row>
    <row r="351">
      <c r="A351" s="300"/>
      <c r="B351" s="282"/>
      <c r="C351" s="283"/>
      <c r="D351" s="282"/>
      <c r="E351" s="283"/>
      <c r="F351" s="283"/>
      <c r="G351" s="284"/>
      <c r="H351" s="284"/>
      <c r="I351" s="283"/>
      <c r="J351" s="283"/>
      <c r="K351" s="283"/>
      <c r="L351" s="283"/>
      <c r="M351" s="283"/>
      <c r="N351" s="283"/>
      <c r="O351" s="283"/>
      <c r="P351" s="283"/>
      <c r="Q351" s="283"/>
      <c r="R351" s="283"/>
      <c r="S351" s="283"/>
      <c r="T351" s="283"/>
    </row>
    <row r="352">
      <c r="A352" s="300"/>
      <c r="B352" s="282"/>
      <c r="C352" s="283"/>
      <c r="D352" s="282"/>
      <c r="E352" s="283"/>
      <c r="F352" s="283"/>
      <c r="G352" s="284"/>
      <c r="H352" s="284"/>
      <c r="I352" s="283"/>
      <c r="J352" s="283"/>
      <c r="K352" s="283"/>
      <c r="L352" s="283"/>
      <c r="M352" s="283"/>
      <c r="N352" s="283"/>
      <c r="O352" s="283"/>
      <c r="P352" s="283"/>
      <c r="Q352" s="283"/>
      <c r="R352" s="283"/>
      <c r="S352" s="283"/>
      <c r="T352" s="283"/>
    </row>
    <row r="353">
      <c r="A353" s="300"/>
      <c r="B353" s="282"/>
      <c r="C353" s="283"/>
      <c r="D353" s="282"/>
      <c r="E353" s="283"/>
      <c r="F353" s="283"/>
      <c r="G353" s="284"/>
      <c r="H353" s="284"/>
      <c r="I353" s="283"/>
      <c r="J353" s="283"/>
      <c r="K353" s="283"/>
      <c r="L353" s="283"/>
      <c r="M353" s="283"/>
      <c r="N353" s="283"/>
      <c r="O353" s="283"/>
      <c r="P353" s="283"/>
      <c r="Q353" s="283"/>
      <c r="R353" s="283"/>
      <c r="S353" s="283"/>
      <c r="T353" s="283"/>
    </row>
    <row r="354">
      <c r="A354" s="300"/>
      <c r="B354" s="282"/>
      <c r="C354" s="283"/>
      <c r="D354" s="282"/>
      <c r="E354" s="283"/>
      <c r="F354" s="283"/>
      <c r="G354" s="284"/>
      <c r="H354" s="284"/>
      <c r="I354" s="283"/>
      <c r="J354" s="283"/>
      <c r="K354" s="283"/>
      <c r="L354" s="283"/>
      <c r="M354" s="283"/>
      <c r="N354" s="283"/>
      <c r="O354" s="283"/>
      <c r="P354" s="283"/>
      <c r="Q354" s="283"/>
      <c r="R354" s="283"/>
      <c r="S354" s="283"/>
      <c r="T354" s="283"/>
    </row>
    <row r="355">
      <c r="A355" s="300"/>
      <c r="B355" s="282"/>
      <c r="C355" s="283"/>
      <c r="D355" s="282"/>
      <c r="E355" s="283"/>
      <c r="F355" s="283"/>
      <c r="G355" s="284"/>
      <c r="H355" s="284"/>
      <c r="I355" s="283"/>
      <c r="J355" s="283"/>
      <c r="K355" s="283"/>
      <c r="L355" s="283"/>
      <c r="M355" s="283"/>
      <c r="N355" s="283"/>
      <c r="O355" s="283"/>
      <c r="P355" s="283"/>
      <c r="Q355" s="283"/>
      <c r="R355" s="283"/>
      <c r="S355" s="283"/>
      <c r="T355" s="283"/>
    </row>
    <row r="356">
      <c r="A356" s="300"/>
      <c r="B356" s="282"/>
      <c r="C356" s="283"/>
      <c r="D356" s="282"/>
      <c r="E356" s="283"/>
      <c r="F356" s="283"/>
      <c r="G356" s="284"/>
      <c r="H356" s="284"/>
      <c r="I356" s="283"/>
      <c r="J356" s="283"/>
      <c r="K356" s="283"/>
      <c r="L356" s="283"/>
      <c r="M356" s="283"/>
      <c r="N356" s="283"/>
      <c r="O356" s="283"/>
      <c r="P356" s="283"/>
      <c r="Q356" s="283"/>
      <c r="R356" s="283"/>
      <c r="S356" s="283"/>
      <c r="T356" s="283"/>
    </row>
    <row r="357">
      <c r="A357" s="300"/>
      <c r="B357" s="282"/>
      <c r="C357" s="283"/>
      <c r="D357" s="282"/>
      <c r="E357" s="283"/>
      <c r="F357" s="283"/>
      <c r="G357" s="284"/>
      <c r="H357" s="284"/>
      <c r="I357" s="283"/>
      <c r="J357" s="283"/>
      <c r="K357" s="283"/>
      <c r="L357" s="283"/>
      <c r="M357" s="283"/>
      <c r="N357" s="283"/>
      <c r="O357" s="283"/>
      <c r="P357" s="283"/>
      <c r="Q357" s="283"/>
      <c r="R357" s="283"/>
      <c r="S357" s="283"/>
      <c r="T357" s="283"/>
    </row>
    <row r="358">
      <c r="A358" s="300"/>
      <c r="B358" s="282"/>
      <c r="C358" s="283"/>
      <c r="D358" s="282"/>
      <c r="E358" s="283"/>
      <c r="F358" s="283"/>
      <c r="G358" s="284"/>
      <c r="H358" s="284"/>
      <c r="I358" s="283"/>
      <c r="J358" s="283"/>
      <c r="K358" s="283"/>
      <c r="L358" s="283"/>
      <c r="M358" s="283"/>
      <c r="N358" s="283"/>
      <c r="O358" s="283"/>
      <c r="P358" s="283"/>
      <c r="Q358" s="283"/>
      <c r="R358" s="283"/>
      <c r="S358" s="283"/>
      <c r="T358" s="283"/>
    </row>
    <row r="359">
      <c r="A359" s="300"/>
      <c r="B359" s="282"/>
      <c r="C359" s="283"/>
      <c r="D359" s="282"/>
      <c r="E359" s="283"/>
      <c r="F359" s="283"/>
      <c r="G359" s="284"/>
      <c r="H359" s="284"/>
      <c r="I359" s="283"/>
      <c r="J359" s="283"/>
      <c r="K359" s="283"/>
      <c r="L359" s="283"/>
      <c r="M359" s="283"/>
      <c r="N359" s="283"/>
      <c r="O359" s="283"/>
      <c r="P359" s="283"/>
      <c r="Q359" s="283"/>
      <c r="R359" s="283"/>
      <c r="S359" s="283"/>
      <c r="T359" s="283"/>
    </row>
    <row r="360">
      <c r="A360" s="300"/>
      <c r="B360" s="282"/>
      <c r="C360" s="283"/>
      <c r="D360" s="282"/>
      <c r="E360" s="283"/>
      <c r="F360" s="283"/>
      <c r="G360" s="284"/>
      <c r="H360" s="284"/>
      <c r="I360" s="283"/>
      <c r="J360" s="283"/>
      <c r="K360" s="283"/>
      <c r="L360" s="283"/>
      <c r="M360" s="283"/>
      <c r="N360" s="283"/>
      <c r="O360" s="283"/>
      <c r="P360" s="283"/>
      <c r="Q360" s="283"/>
      <c r="R360" s="283"/>
      <c r="S360" s="283"/>
      <c r="T360" s="283"/>
    </row>
    <row r="361">
      <c r="A361" s="300"/>
      <c r="B361" s="282"/>
      <c r="C361" s="283"/>
      <c r="D361" s="282"/>
      <c r="E361" s="283"/>
      <c r="F361" s="283"/>
      <c r="G361" s="284"/>
      <c r="H361" s="284"/>
      <c r="I361" s="283"/>
      <c r="J361" s="283"/>
      <c r="K361" s="283"/>
      <c r="L361" s="283"/>
      <c r="M361" s="283"/>
      <c r="N361" s="283"/>
      <c r="O361" s="283"/>
      <c r="P361" s="283"/>
      <c r="Q361" s="283"/>
      <c r="R361" s="283"/>
      <c r="S361" s="283"/>
      <c r="T361" s="283"/>
    </row>
    <row r="362">
      <c r="A362" s="300"/>
      <c r="B362" s="282"/>
      <c r="C362" s="283"/>
      <c r="D362" s="282"/>
      <c r="E362" s="283"/>
      <c r="F362" s="283"/>
      <c r="G362" s="284"/>
      <c r="H362" s="284"/>
      <c r="I362" s="283"/>
      <c r="J362" s="283"/>
      <c r="K362" s="283"/>
      <c r="L362" s="283"/>
      <c r="M362" s="283"/>
      <c r="N362" s="283"/>
      <c r="O362" s="283"/>
      <c r="P362" s="283"/>
      <c r="Q362" s="283"/>
      <c r="R362" s="283"/>
      <c r="S362" s="283"/>
      <c r="T362" s="283"/>
    </row>
    <row r="363">
      <c r="A363" s="300"/>
      <c r="B363" s="282"/>
      <c r="C363" s="283"/>
      <c r="D363" s="282"/>
      <c r="E363" s="283"/>
      <c r="F363" s="283"/>
      <c r="G363" s="284"/>
      <c r="H363" s="284"/>
      <c r="I363" s="283"/>
      <c r="J363" s="283"/>
      <c r="K363" s="283"/>
      <c r="L363" s="283"/>
      <c r="M363" s="283"/>
      <c r="N363" s="283"/>
      <c r="O363" s="283"/>
      <c r="P363" s="283"/>
      <c r="Q363" s="283"/>
      <c r="R363" s="283"/>
      <c r="S363" s="283"/>
      <c r="T363" s="283"/>
    </row>
    <row r="364">
      <c r="A364" s="300"/>
      <c r="B364" s="282"/>
      <c r="C364" s="283"/>
      <c r="D364" s="282"/>
      <c r="E364" s="283"/>
      <c r="F364" s="283"/>
      <c r="G364" s="284"/>
      <c r="H364" s="284"/>
      <c r="I364" s="283"/>
      <c r="J364" s="283"/>
      <c r="K364" s="283"/>
      <c r="L364" s="283"/>
      <c r="M364" s="283"/>
      <c r="N364" s="283"/>
      <c r="O364" s="283"/>
      <c r="P364" s="283"/>
      <c r="Q364" s="283"/>
      <c r="R364" s="283"/>
      <c r="S364" s="283"/>
      <c r="T364" s="283"/>
    </row>
    <row r="365">
      <c r="A365" s="300"/>
      <c r="B365" s="282"/>
      <c r="C365" s="283"/>
      <c r="D365" s="282"/>
      <c r="E365" s="283"/>
      <c r="F365" s="283"/>
      <c r="G365" s="284"/>
      <c r="H365" s="284"/>
      <c r="I365" s="283"/>
      <c r="J365" s="283"/>
      <c r="K365" s="283"/>
      <c r="L365" s="283"/>
      <c r="M365" s="283"/>
      <c r="N365" s="283"/>
      <c r="O365" s="283"/>
      <c r="P365" s="283"/>
      <c r="Q365" s="283"/>
      <c r="R365" s="283"/>
      <c r="S365" s="283"/>
      <c r="T365" s="283"/>
    </row>
    <row r="366">
      <c r="A366" s="300"/>
      <c r="B366" s="282"/>
      <c r="C366" s="283"/>
      <c r="D366" s="282"/>
      <c r="E366" s="283"/>
      <c r="F366" s="283"/>
      <c r="G366" s="284"/>
      <c r="H366" s="284"/>
      <c r="I366" s="283"/>
      <c r="J366" s="283"/>
      <c r="K366" s="283"/>
      <c r="L366" s="283"/>
      <c r="M366" s="283"/>
      <c r="N366" s="283"/>
      <c r="O366" s="283"/>
      <c r="P366" s="283"/>
      <c r="Q366" s="283"/>
      <c r="R366" s="283"/>
      <c r="S366" s="283"/>
      <c r="T366" s="283"/>
    </row>
    <row r="367">
      <c r="A367" s="300"/>
      <c r="B367" s="282"/>
      <c r="C367" s="283"/>
      <c r="D367" s="282"/>
      <c r="E367" s="283"/>
      <c r="F367" s="283"/>
      <c r="G367" s="284"/>
      <c r="H367" s="284"/>
      <c r="I367" s="283"/>
      <c r="J367" s="283"/>
      <c r="K367" s="283"/>
      <c r="L367" s="283"/>
      <c r="M367" s="283"/>
      <c r="N367" s="283"/>
      <c r="O367" s="283"/>
      <c r="P367" s="283"/>
      <c r="Q367" s="283"/>
      <c r="R367" s="283"/>
      <c r="S367" s="283"/>
      <c r="T367" s="283"/>
    </row>
    <row r="368">
      <c r="A368" s="300"/>
      <c r="B368" s="282"/>
      <c r="C368" s="283"/>
      <c r="D368" s="282"/>
      <c r="E368" s="283"/>
      <c r="F368" s="283"/>
      <c r="G368" s="284"/>
      <c r="H368" s="284"/>
      <c r="I368" s="283"/>
      <c r="J368" s="283"/>
      <c r="K368" s="283"/>
      <c r="L368" s="283"/>
      <c r="M368" s="283"/>
      <c r="N368" s="283"/>
      <c r="O368" s="283"/>
      <c r="P368" s="283"/>
      <c r="Q368" s="283"/>
      <c r="R368" s="283"/>
      <c r="S368" s="283"/>
      <c r="T368" s="283"/>
    </row>
    <row r="369">
      <c r="A369" s="300"/>
      <c r="B369" s="282"/>
      <c r="C369" s="283"/>
      <c r="D369" s="282"/>
      <c r="E369" s="283"/>
      <c r="F369" s="283"/>
      <c r="G369" s="284"/>
      <c r="H369" s="284"/>
      <c r="I369" s="283"/>
      <c r="J369" s="283"/>
      <c r="K369" s="283"/>
      <c r="L369" s="283"/>
      <c r="M369" s="283"/>
      <c r="N369" s="283"/>
      <c r="O369" s="283"/>
      <c r="P369" s="283"/>
      <c r="Q369" s="283"/>
      <c r="R369" s="283"/>
      <c r="S369" s="283"/>
      <c r="T369" s="283"/>
    </row>
    <row r="370">
      <c r="A370" s="300"/>
      <c r="B370" s="282"/>
      <c r="C370" s="283"/>
      <c r="D370" s="282"/>
      <c r="E370" s="283"/>
      <c r="F370" s="283"/>
      <c r="G370" s="284"/>
      <c r="H370" s="284"/>
      <c r="I370" s="283"/>
      <c r="J370" s="283"/>
      <c r="K370" s="283"/>
      <c r="L370" s="283"/>
      <c r="M370" s="283"/>
      <c r="N370" s="283"/>
      <c r="O370" s="283"/>
      <c r="P370" s="283"/>
      <c r="Q370" s="283"/>
      <c r="R370" s="283"/>
      <c r="S370" s="283"/>
      <c r="T370" s="283"/>
    </row>
    <row r="371">
      <c r="A371" s="300"/>
      <c r="B371" s="282"/>
      <c r="C371" s="283"/>
      <c r="D371" s="282"/>
      <c r="E371" s="283"/>
      <c r="F371" s="283"/>
      <c r="G371" s="284"/>
      <c r="H371" s="284"/>
      <c r="I371" s="283"/>
      <c r="J371" s="283"/>
      <c r="K371" s="283"/>
      <c r="L371" s="283"/>
      <c r="M371" s="283"/>
      <c r="N371" s="283"/>
      <c r="O371" s="283"/>
      <c r="P371" s="283"/>
      <c r="Q371" s="283"/>
      <c r="R371" s="283"/>
      <c r="S371" s="283"/>
      <c r="T371" s="283"/>
    </row>
    <row r="372">
      <c r="A372" s="300"/>
      <c r="B372" s="282"/>
      <c r="C372" s="283"/>
      <c r="D372" s="282"/>
      <c r="E372" s="283"/>
      <c r="F372" s="283"/>
      <c r="G372" s="284"/>
      <c r="H372" s="284"/>
      <c r="I372" s="283"/>
      <c r="J372" s="283"/>
      <c r="K372" s="283"/>
      <c r="L372" s="283"/>
      <c r="M372" s="283"/>
      <c r="N372" s="283"/>
      <c r="O372" s="283"/>
      <c r="P372" s="283"/>
      <c r="Q372" s="283"/>
      <c r="R372" s="283"/>
      <c r="S372" s="283"/>
      <c r="T372" s="283"/>
    </row>
    <row r="373">
      <c r="A373" s="300"/>
      <c r="B373" s="282"/>
      <c r="C373" s="283"/>
      <c r="D373" s="282"/>
      <c r="E373" s="283"/>
      <c r="F373" s="283"/>
      <c r="G373" s="284"/>
      <c r="H373" s="284"/>
      <c r="I373" s="283"/>
      <c r="J373" s="283"/>
      <c r="K373" s="283"/>
      <c r="L373" s="283"/>
      <c r="M373" s="283"/>
      <c r="N373" s="283"/>
      <c r="O373" s="283"/>
      <c r="P373" s="283"/>
      <c r="Q373" s="283"/>
      <c r="R373" s="283"/>
      <c r="S373" s="283"/>
      <c r="T373" s="283"/>
    </row>
    <row r="374">
      <c r="A374" s="300"/>
      <c r="B374" s="282"/>
      <c r="C374" s="283"/>
      <c r="D374" s="282"/>
      <c r="E374" s="283"/>
      <c r="F374" s="283"/>
      <c r="G374" s="284"/>
      <c r="H374" s="284"/>
      <c r="I374" s="283"/>
      <c r="J374" s="283"/>
      <c r="K374" s="283"/>
      <c r="L374" s="283"/>
      <c r="M374" s="283"/>
      <c r="N374" s="283"/>
      <c r="O374" s="283"/>
      <c r="P374" s="283"/>
      <c r="Q374" s="283"/>
      <c r="R374" s="283"/>
      <c r="S374" s="283"/>
      <c r="T374" s="283"/>
    </row>
    <row r="375">
      <c r="A375" s="300"/>
      <c r="B375" s="282"/>
      <c r="C375" s="283"/>
      <c r="D375" s="282"/>
      <c r="E375" s="283"/>
      <c r="F375" s="283"/>
      <c r="G375" s="284"/>
      <c r="H375" s="284"/>
      <c r="I375" s="283"/>
      <c r="J375" s="283"/>
      <c r="K375" s="283"/>
      <c r="L375" s="283"/>
      <c r="M375" s="283"/>
      <c r="N375" s="283"/>
      <c r="O375" s="283"/>
      <c r="P375" s="283"/>
      <c r="Q375" s="283"/>
      <c r="R375" s="283"/>
      <c r="S375" s="283"/>
      <c r="T375" s="283"/>
    </row>
    <row r="376">
      <c r="A376" s="300"/>
      <c r="B376" s="282"/>
      <c r="C376" s="283"/>
      <c r="D376" s="282"/>
      <c r="E376" s="283"/>
      <c r="F376" s="283"/>
      <c r="G376" s="284"/>
      <c r="H376" s="284"/>
      <c r="I376" s="283"/>
      <c r="J376" s="283"/>
      <c r="K376" s="283"/>
      <c r="L376" s="283"/>
      <c r="M376" s="283"/>
      <c r="N376" s="283"/>
      <c r="O376" s="283"/>
      <c r="P376" s="283"/>
      <c r="Q376" s="283"/>
      <c r="R376" s="283"/>
      <c r="S376" s="283"/>
      <c r="T376" s="283"/>
    </row>
    <row r="377">
      <c r="A377" s="300"/>
      <c r="B377" s="282"/>
      <c r="C377" s="283"/>
      <c r="D377" s="282"/>
      <c r="E377" s="283"/>
      <c r="F377" s="283"/>
      <c r="G377" s="284"/>
      <c r="H377" s="284"/>
      <c r="I377" s="283"/>
      <c r="J377" s="283"/>
      <c r="K377" s="283"/>
      <c r="L377" s="283"/>
      <c r="M377" s="283"/>
      <c r="N377" s="283"/>
      <c r="O377" s="283"/>
      <c r="P377" s="283"/>
      <c r="Q377" s="283"/>
      <c r="R377" s="283"/>
      <c r="S377" s="283"/>
      <c r="T377" s="283"/>
    </row>
    <row r="378">
      <c r="A378" s="300"/>
      <c r="B378" s="282"/>
      <c r="C378" s="283"/>
      <c r="D378" s="282"/>
      <c r="E378" s="283"/>
      <c r="F378" s="283"/>
      <c r="G378" s="284"/>
      <c r="H378" s="284"/>
      <c r="I378" s="283"/>
      <c r="J378" s="283"/>
      <c r="K378" s="283"/>
      <c r="L378" s="283"/>
      <c r="M378" s="283"/>
      <c r="N378" s="283"/>
      <c r="O378" s="283"/>
      <c r="P378" s="283"/>
      <c r="Q378" s="283"/>
      <c r="R378" s="283"/>
      <c r="S378" s="283"/>
      <c r="T378" s="283"/>
    </row>
    <row r="379">
      <c r="A379" s="300"/>
      <c r="B379" s="282"/>
      <c r="C379" s="283"/>
      <c r="D379" s="282"/>
      <c r="E379" s="283"/>
      <c r="F379" s="283"/>
      <c r="G379" s="284"/>
      <c r="H379" s="284"/>
      <c r="I379" s="283"/>
      <c r="J379" s="283"/>
      <c r="K379" s="283"/>
      <c r="L379" s="283"/>
      <c r="M379" s="283"/>
      <c r="N379" s="283"/>
      <c r="O379" s="283"/>
      <c r="P379" s="283"/>
      <c r="Q379" s="283"/>
      <c r="R379" s="283"/>
      <c r="S379" s="283"/>
      <c r="T379" s="283"/>
    </row>
    <row r="380">
      <c r="A380" s="300"/>
      <c r="B380" s="282"/>
      <c r="C380" s="283"/>
      <c r="D380" s="282"/>
      <c r="E380" s="283"/>
      <c r="F380" s="283"/>
      <c r="G380" s="284"/>
      <c r="H380" s="284"/>
      <c r="I380" s="283"/>
      <c r="J380" s="283"/>
      <c r="K380" s="283"/>
      <c r="L380" s="283"/>
      <c r="M380" s="283"/>
      <c r="N380" s="283"/>
      <c r="O380" s="283"/>
      <c r="P380" s="283"/>
      <c r="Q380" s="283"/>
      <c r="R380" s="283"/>
      <c r="S380" s="283"/>
      <c r="T380" s="283"/>
    </row>
    <row r="381">
      <c r="A381" s="300"/>
      <c r="B381" s="282"/>
      <c r="C381" s="283"/>
      <c r="D381" s="282"/>
      <c r="E381" s="283"/>
      <c r="F381" s="283"/>
      <c r="G381" s="284"/>
      <c r="H381" s="284"/>
      <c r="I381" s="283"/>
      <c r="J381" s="283"/>
      <c r="K381" s="283"/>
      <c r="L381" s="283"/>
      <c r="M381" s="283"/>
      <c r="N381" s="283"/>
      <c r="O381" s="283"/>
      <c r="P381" s="283"/>
      <c r="Q381" s="283"/>
      <c r="R381" s="283"/>
      <c r="S381" s="283"/>
      <c r="T381" s="283"/>
    </row>
    <row r="382">
      <c r="A382" s="300"/>
      <c r="B382" s="282"/>
      <c r="C382" s="283"/>
      <c r="D382" s="282"/>
      <c r="E382" s="283"/>
      <c r="F382" s="283"/>
      <c r="G382" s="284"/>
      <c r="H382" s="284"/>
      <c r="I382" s="283"/>
      <c r="J382" s="283"/>
      <c r="K382" s="283"/>
      <c r="L382" s="283"/>
      <c r="M382" s="283"/>
      <c r="N382" s="283"/>
      <c r="O382" s="283"/>
      <c r="P382" s="283"/>
      <c r="Q382" s="283"/>
      <c r="R382" s="283"/>
      <c r="S382" s="283"/>
      <c r="T382" s="283"/>
    </row>
    <row r="383">
      <c r="A383" s="300"/>
      <c r="B383" s="282"/>
      <c r="C383" s="283"/>
      <c r="D383" s="282"/>
      <c r="E383" s="283"/>
      <c r="F383" s="283"/>
      <c r="G383" s="284"/>
      <c r="H383" s="284"/>
      <c r="I383" s="283"/>
      <c r="J383" s="283"/>
      <c r="K383" s="283"/>
      <c r="L383" s="283"/>
      <c r="M383" s="283"/>
      <c r="N383" s="283"/>
      <c r="O383" s="283"/>
      <c r="P383" s="283"/>
      <c r="Q383" s="283"/>
      <c r="R383" s="283"/>
      <c r="S383" s="283"/>
      <c r="T383" s="283"/>
    </row>
    <row r="384">
      <c r="A384" s="300"/>
      <c r="B384" s="282"/>
      <c r="C384" s="283"/>
      <c r="D384" s="282"/>
      <c r="E384" s="283"/>
      <c r="F384" s="283"/>
      <c r="G384" s="284"/>
      <c r="H384" s="284"/>
      <c r="I384" s="283"/>
      <c r="J384" s="283"/>
      <c r="K384" s="283"/>
      <c r="L384" s="283"/>
      <c r="M384" s="283"/>
      <c r="N384" s="283"/>
      <c r="O384" s="283"/>
      <c r="P384" s="283"/>
      <c r="Q384" s="283"/>
      <c r="R384" s="283"/>
      <c r="S384" s="283"/>
      <c r="T384" s="283"/>
    </row>
    <row r="385">
      <c r="A385" s="300"/>
      <c r="B385" s="282"/>
      <c r="C385" s="283"/>
      <c r="D385" s="282"/>
      <c r="E385" s="283"/>
      <c r="F385" s="283"/>
      <c r="G385" s="284"/>
      <c r="H385" s="284"/>
      <c r="I385" s="283"/>
      <c r="J385" s="283"/>
      <c r="K385" s="283"/>
      <c r="L385" s="283"/>
      <c r="M385" s="283"/>
      <c r="N385" s="283"/>
      <c r="O385" s="283"/>
      <c r="P385" s="283"/>
      <c r="Q385" s="283"/>
      <c r="R385" s="283"/>
      <c r="S385" s="283"/>
      <c r="T385" s="283"/>
    </row>
    <row r="386">
      <c r="A386" s="300"/>
      <c r="B386" s="282"/>
      <c r="C386" s="283"/>
      <c r="D386" s="282"/>
      <c r="E386" s="283"/>
      <c r="F386" s="283"/>
      <c r="G386" s="284"/>
      <c r="H386" s="284"/>
      <c r="I386" s="283"/>
      <c r="J386" s="283"/>
      <c r="K386" s="283"/>
      <c r="L386" s="283"/>
      <c r="M386" s="283"/>
      <c r="N386" s="283"/>
      <c r="O386" s="283"/>
      <c r="P386" s="283"/>
      <c r="Q386" s="283"/>
      <c r="R386" s="283"/>
      <c r="S386" s="283"/>
      <c r="T386" s="283"/>
    </row>
    <row r="387">
      <c r="A387" s="300"/>
      <c r="B387" s="282"/>
      <c r="C387" s="283"/>
      <c r="D387" s="282"/>
      <c r="E387" s="283"/>
      <c r="F387" s="283"/>
      <c r="G387" s="284"/>
      <c r="H387" s="284"/>
      <c r="I387" s="283"/>
      <c r="J387" s="283"/>
      <c r="K387" s="283"/>
      <c r="L387" s="283"/>
      <c r="M387" s="283"/>
      <c r="N387" s="283"/>
      <c r="O387" s="283"/>
      <c r="P387" s="283"/>
      <c r="Q387" s="283"/>
      <c r="R387" s="283"/>
      <c r="S387" s="283"/>
      <c r="T387" s="283"/>
    </row>
    <row r="388">
      <c r="A388" s="300"/>
      <c r="B388" s="282"/>
      <c r="C388" s="283"/>
      <c r="D388" s="282"/>
      <c r="E388" s="283"/>
      <c r="F388" s="283"/>
      <c r="G388" s="284"/>
      <c r="H388" s="284"/>
      <c r="I388" s="283"/>
      <c r="J388" s="283"/>
      <c r="K388" s="283"/>
      <c r="L388" s="283"/>
      <c r="M388" s="283"/>
      <c r="N388" s="283"/>
      <c r="O388" s="283"/>
      <c r="P388" s="283"/>
      <c r="Q388" s="283"/>
      <c r="R388" s="283"/>
      <c r="S388" s="283"/>
      <c r="T388" s="283"/>
    </row>
    <row r="389">
      <c r="A389" s="300"/>
      <c r="B389" s="282"/>
      <c r="C389" s="283"/>
      <c r="D389" s="282"/>
      <c r="E389" s="283"/>
      <c r="F389" s="283"/>
      <c r="G389" s="284"/>
      <c r="H389" s="284"/>
      <c r="I389" s="283"/>
      <c r="J389" s="283"/>
      <c r="K389" s="283"/>
      <c r="L389" s="283"/>
      <c r="M389" s="283"/>
      <c r="N389" s="283"/>
      <c r="O389" s="283"/>
      <c r="P389" s="283"/>
      <c r="Q389" s="283"/>
      <c r="R389" s="283"/>
      <c r="S389" s="283"/>
      <c r="T389" s="283"/>
    </row>
    <row r="390">
      <c r="A390" s="300"/>
      <c r="B390" s="282"/>
      <c r="C390" s="283"/>
      <c r="D390" s="282"/>
      <c r="E390" s="283"/>
      <c r="F390" s="283"/>
      <c r="G390" s="284"/>
      <c r="H390" s="284"/>
      <c r="I390" s="283"/>
      <c r="J390" s="283"/>
      <c r="K390" s="283"/>
      <c r="L390" s="283"/>
      <c r="M390" s="283"/>
      <c r="N390" s="283"/>
      <c r="O390" s="283"/>
      <c r="P390" s="283"/>
      <c r="Q390" s="283"/>
      <c r="R390" s="283"/>
      <c r="S390" s="283"/>
      <c r="T390" s="283"/>
    </row>
    <row r="391">
      <c r="A391" s="300"/>
      <c r="B391" s="282"/>
      <c r="C391" s="283"/>
      <c r="D391" s="282"/>
      <c r="E391" s="283"/>
      <c r="F391" s="283"/>
      <c r="G391" s="284"/>
      <c r="H391" s="284"/>
      <c r="I391" s="283"/>
      <c r="J391" s="283"/>
      <c r="K391" s="283"/>
      <c r="L391" s="283"/>
      <c r="M391" s="283"/>
      <c r="N391" s="283"/>
      <c r="O391" s="283"/>
      <c r="P391" s="283"/>
      <c r="Q391" s="283"/>
      <c r="R391" s="283"/>
      <c r="S391" s="283"/>
      <c r="T391" s="283"/>
    </row>
    <row r="392">
      <c r="A392" s="300"/>
      <c r="B392" s="282"/>
      <c r="C392" s="283"/>
      <c r="D392" s="282"/>
      <c r="E392" s="283"/>
      <c r="F392" s="283"/>
      <c r="G392" s="284"/>
      <c r="H392" s="284"/>
      <c r="I392" s="283"/>
      <c r="J392" s="283"/>
      <c r="K392" s="283"/>
      <c r="L392" s="283"/>
      <c r="M392" s="283"/>
      <c r="N392" s="283"/>
      <c r="O392" s="283"/>
      <c r="P392" s="283"/>
      <c r="Q392" s="283"/>
      <c r="R392" s="283"/>
      <c r="S392" s="283"/>
      <c r="T392" s="283"/>
    </row>
    <row r="393">
      <c r="A393" s="300"/>
      <c r="B393" s="282"/>
      <c r="C393" s="283"/>
      <c r="D393" s="282"/>
      <c r="E393" s="283"/>
      <c r="F393" s="283"/>
      <c r="G393" s="284"/>
      <c r="H393" s="284"/>
      <c r="I393" s="283"/>
      <c r="J393" s="283"/>
      <c r="K393" s="283"/>
      <c r="L393" s="283"/>
      <c r="M393" s="283"/>
      <c r="N393" s="283"/>
      <c r="O393" s="283"/>
      <c r="P393" s="283"/>
      <c r="Q393" s="283"/>
      <c r="R393" s="283"/>
      <c r="S393" s="283"/>
      <c r="T393" s="283"/>
    </row>
    <row r="394">
      <c r="A394" s="300"/>
      <c r="B394" s="282"/>
      <c r="C394" s="283"/>
      <c r="D394" s="282"/>
      <c r="E394" s="283"/>
      <c r="F394" s="283"/>
      <c r="G394" s="284"/>
      <c r="H394" s="284"/>
      <c r="I394" s="283"/>
      <c r="J394" s="283"/>
      <c r="K394" s="283"/>
      <c r="L394" s="283"/>
      <c r="M394" s="283"/>
      <c r="N394" s="283"/>
      <c r="O394" s="283"/>
      <c r="P394" s="283"/>
      <c r="Q394" s="283"/>
      <c r="R394" s="283"/>
      <c r="S394" s="283"/>
      <c r="T394" s="283"/>
    </row>
    <row r="395">
      <c r="A395" s="300"/>
      <c r="B395" s="282"/>
      <c r="C395" s="283"/>
      <c r="D395" s="282"/>
      <c r="E395" s="283"/>
      <c r="F395" s="283"/>
      <c r="G395" s="284"/>
      <c r="H395" s="284"/>
      <c r="I395" s="283"/>
      <c r="J395" s="283"/>
      <c r="K395" s="283"/>
      <c r="L395" s="283"/>
      <c r="M395" s="283"/>
      <c r="N395" s="283"/>
      <c r="O395" s="283"/>
      <c r="P395" s="283"/>
      <c r="Q395" s="283"/>
      <c r="R395" s="283"/>
      <c r="S395" s="283"/>
      <c r="T395" s="283"/>
    </row>
    <row r="396">
      <c r="A396" s="300"/>
      <c r="B396" s="282"/>
      <c r="C396" s="283"/>
      <c r="D396" s="282"/>
      <c r="E396" s="283"/>
      <c r="F396" s="283"/>
      <c r="G396" s="284"/>
      <c r="H396" s="284"/>
      <c r="I396" s="283"/>
      <c r="J396" s="283"/>
      <c r="K396" s="283"/>
      <c r="L396" s="283"/>
      <c r="M396" s="283"/>
      <c r="N396" s="283"/>
      <c r="O396" s="283"/>
      <c r="P396" s="283"/>
      <c r="Q396" s="283"/>
      <c r="R396" s="283"/>
      <c r="S396" s="283"/>
      <c r="T396" s="283"/>
    </row>
    <row r="397">
      <c r="A397" s="300"/>
      <c r="B397" s="282"/>
      <c r="C397" s="283"/>
      <c r="D397" s="282"/>
      <c r="E397" s="283"/>
      <c r="F397" s="283"/>
      <c r="G397" s="284"/>
      <c r="H397" s="284"/>
      <c r="I397" s="283"/>
      <c r="J397" s="283"/>
      <c r="K397" s="283"/>
      <c r="L397" s="283"/>
      <c r="M397" s="283"/>
      <c r="N397" s="283"/>
      <c r="O397" s="283"/>
      <c r="P397" s="283"/>
      <c r="Q397" s="283"/>
      <c r="R397" s="283"/>
      <c r="S397" s="283"/>
      <c r="T397" s="283"/>
    </row>
    <row r="398">
      <c r="A398" s="300"/>
      <c r="B398" s="282"/>
      <c r="C398" s="283"/>
      <c r="D398" s="282"/>
      <c r="E398" s="283"/>
      <c r="F398" s="283"/>
      <c r="G398" s="284"/>
      <c r="H398" s="284"/>
      <c r="I398" s="283"/>
      <c r="J398" s="283"/>
      <c r="K398" s="283"/>
      <c r="L398" s="283"/>
      <c r="M398" s="283"/>
      <c r="N398" s="283"/>
      <c r="O398" s="283"/>
      <c r="P398" s="283"/>
      <c r="Q398" s="283"/>
      <c r="R398" s="283"/>
      <c r="S398" s="283"/>
      <c r="T398" s="283"/>
    </row>
    <row r="399">
      <c r="A399" s="300"/>
      <c r="B399" s="282"/>
      <c r="C399" s="283"/>
      <c r="D399" s="282"/>
      <c r="E399" s="283"/>
      <c r="F399" s="283"/>
      <c r="G399" s="284"/>
      <c r="H399" s="284"/>
      <c r="I399" s="283"/>
      <c r="J399" s="283"/>
      <c r="K399" s="283"/>
      <c r="L399" s="283"/>
      <c r="M399" s="283"/>
      <c r="N399" s="283"/>
      <c r="O399" s="283"/>
      <c r="P399" s="283"/>
      <c r="Q399" s="283"/>
      <c r="R399" s="283"/>
      <c r="S399" s="283"/>
      <c r="T399" s="283"/>
    </row>
    <row r="400">
      <c r="A400" s="300"/>
      <c r="B400" s="282"/>
      <c r="C400" s="283"/>
      <c r="D400" s="282"/>
      <c r="E400" s="283"/>
      <c r="F400" s="283"/>
      <c r="G400" s="284"/>
      <c r="H400" s="284"/>
      <c r="I400" s="283"/>
      <c r="J400" s="283"/>
      <c r="K400" s="283"/>
      <c r="L400" s="283"/>
      <c r="M400" s="283"/>
      <c r="N400" s="283"/>
      <c r="O400" s="283"/>
      <c r="P400" s="283"/>
      <c r="Q400" s="283"/>
      <c r="R400" s="283"/>
      <c r="S400" s="283"/>
      <c r="T400" s="283"/>
    </row>
    <row r="401">
      <c r="A401" s="300"/>
      <c r="B401" s="282"/>
      <c r="C401" s="283"/>
      <c r="D401" s="282"/>
      <c r="E401" s="283"/>
      <c r="F401" s="283"/>
      <c r="G401" s="284"/>
      <c r="H401" s="284"/>
      <c r="I401" s="283"/>
      <c r="J401" s="283"/>
      <c r="K401" s="283"/>
      <c r="L401" s="283"/>
      <c r="M401" s="283"/>
      <c r="N401" s="283"/>
      <c r="O401" s="283"/>
      <c r="P401" s="283"/>
      <c r="Q401" s="283"/>
      <c r="R401" s="283"/>
      <c r="S401" s="283"/>
      <c r="T401" s="283"/>
    </row>
    <row r="402">
      <c r="A402" s="300"/>
      <c r="B402" s="282"/>
      <c r="C402" s="283"/>
      <c r="D402" s="282"/>
      <c r="E402" s="283"/>
      <c r="F402" s="283"/>
      <c r="G402" s="284"/>
      <c r="H402" s="284"/>
      <c r="I402" s="283"/>
      <c r="J402" s="283"/>
      <c r="K402" s="283"/>
      <c r="L402" s="283"/>
      <c r="M402" s="283"/>
      <c r="N402" s="283"/>
      <c r="O402" s="283"/>
      <c r="P402" s="283"/>
      <c r="Q402" s="283"/>
      <c r="R402" s="283"/>
      <c r="S402" s="283"/>
      <c r="T402" s="283"/>
    </row>
    <row r="403">
      <c r="A403" s="300"/>
      <c r="B403" s="282"/>
      <c r="C403" s="283"/>
      <c r="D403" s="282"/>
      <c r="E403" s="283"/>
      <c r="F403" s="283"/>
      <c r="G403" s="284"/>
      <c r="H403" s="284"/>
      <c r="I403" s="283"/>
      <c r="J403" s="283"/>
      <c r="K403" s="283"/>
      <c r="L403" s="283"/>
      <c r="M403" s="283"/>
      <c r="N403" s="283"/>
      <c r="O403" s="283"/>
      <c r="P403" s="283"/>
      <c r="Q403" s="283"/>
      <c r="R403" s="283"/>
      <c r="S403" s="283"/>
      <c r="T403" s="283"/>
    </row>
    <row r="404">
      <c r="A404" s="300"/>
      <c r="B404" s="282"/>
      <c r="C404" s="283"/>
      <c r="D404" s="282"/>
      <c r="E404" s="283"/>
      <c r="F404" s="283"/>
      <c r="G404" s="284"/>
      <c r="H404" s="284"/>
      <c r="I404" s="283"/>
      <c r="J404" s="283"/>
      <c r="K404" s="283"/>
      <c r="L404" s="283"/>
      <c r="M404" s="283"/>
      <c r="N404" s="283"/>
      <c r="O404" s="283"/>
      <c r="P404" s="283"/>
      <c r="Q404" s="283"/>
      <c r="R404" s="283"/>
      <c r="S404" s="283"/>
      <c r="T404" s="283"/>
    </row>
    <row r="405">
      <c r="A405" s="300"/>
      <c r="B405" s="282"/>
      <c r="C405" s="283"/>
      <c r="D405" s="282"/>
      <c r="E405" s="283"/>
      <c r="F405" s="283"/>
      <c r="G405" s="284"/>
      <c r="H405" s="284"/>
      <c r="I405" s="283"/>
      <c r="J405" s="283"/>
      <c r="K405" s="283"/>
      <c r="L405" s="283"/>
      <c r="M405" s="283"/>
      <c r="N405" s="283"/>
      <c r="O405" s="283"/>
      <c r="P405" s="283"/>
      <c r="Q405" s="283"/>
      <c r="R405" s="283"/>
      <c r="S405" s="283"/>
      <c r="T405" s="283"/>
    </row>
    <row r="406">
      <c r="A406" s="300"/>
      <c r="B406" s="282"/>
      <c r="C406" s="283"/>
      <c r="D406" s="282"/>
      <c r="E406" s="283"/>
      <c r="F406" s="283"/>
      <c r="G406" s="284"/>
      <c r="H406" s="284"/>
      <c r="I406" s="283"/>
      <c r="J406" s="283"/>
      <c r="K406" s="283"/>
      <c r="L406" s="283"/>
      <c r="M406" s="283"/>
      <c r="N406" s="283"/>
      <c r="O406" s="283"/>
      <c r="P406" s="283"/>
      <c r="Q406" s="283"/>
      <c r="R406" s="283"/>
      <c r="S406" s="283"/>
      <c r="T406" s="283"/>
    </row>
    <row r="407">
      <c r="A407" s="300"/>
      <c r="B407" s="282"/>
      <c r="C407" s="283"/>
      <c r="D407" s="282"/>
      <c r="E407" s="283"/>
      <c r="F407" s="283"/>
      <c r="G407" s="284"/>
      <c r="H407" s="284"/>
      <c r="I407" s="283"/>
      <c r="J407" s="283"/>
      <c r="K407" s="283"/>
      <c r="L407" s="283"/>
      <c r="M407" s="283"/>
      <c r="N407" s="283"/>
      <c r="O407" s="283"/>
      <c r="P407" s="283"/>
      <c r="Q407" s="283"/>
      <c r="R407" s="283"/>
      <c r="S407" s="283"/>
      <c r="T407" s="283"/>
    </row>
    <row r="408">
      <c r="A408" s="300"/>
      <c r="B408" s="282"/>
      <c r="C408" s="283"/>
      <c r="D408" s="282"/>
      <c r="E408" s="283"/>
      <c r="F408" s="283"/>
      <c r="G408" s="284"/>
      <c r="H408" s="284"/>
      <c r="I408" s="283"/>
      <c r="J408" s="283"/>
      <c r="K408" s="283"/>
      <c r="L408" s="283"/>
      <c r="M408" s="283"/>
      <c r="N408" s="283"/>
      <c r="O408" s="283"/>
      <c r="P408" s="283"/>
      <c r="Q408" s="283"/>
      <c r="R408" s="283"/>
      <c r="S408" s="283"/>
      <c r="T408" s="283"/>
    </row>
    <row r="409">
      <c r="A409" s="300"/>
      <c r="B409" s="282"/>
      <c r="C409" s="283"/>
      <c r="D409" s="282"/>
      <c r="E409" s="283"/>
      <c r="F409" s="283"/>
      <c r="G409" s="284"/>
      <c r="H409" s="284"/>
      <c r="I409" s="283"/>
      <c r="J409" s="283"/>
      <c r="K409" s="283"/>
      <c r="L409" s="283"/>
      <c r="M409" s="283"/>
      <c r="N409" s="283"/>
      <c r="O409" s="283"/>
      <c r="P409" s="283"/>
      <c r="Q409" s="283"/>
      <c r="R409" s="283"/>
      <c r="S409" s="283"/>
      <c r="T409" s="283"/>
    </row>
    <row r="410">
      <c r="A410" s="300"/>
      <c r="B410" s="282"/>
      <c r="C410" s="283"/>
      <c r="D410" s="282"/>
      <c r="E410" s="283"/>
      <c r="F410" s="283"/>
      <c r="G410" s="284"/>
      <c r="H410" s="284"/>
      <c r="I410" s="283"/>
      <c r="J410" s="283"/>
      <c r="K410" s="283"/>
      <c r="L410" s="283"/>
      <c r="M410" s="283"/>
      <c r="N410" s="283"/>
      <c r="O410" s="283"/>
      <c r="P410" s="283"/>
      <c r="Q410" s="283"/>
      <c r="R410" s="283"/>
      <c r="S410" s="283"/>
      <c r="T410" s="283"/>
    </row>
    <row r="411">
      <c r="A411" s="300"/>
      <c r="B411" s="282"/>
      <c r="C411" s="283"/>
      <c r="D411" s="282"/>
      <c r="E411" s="283"/>
      <c r="F411" s="283"/>
      <c r="G411" s="284"/>
      <c r="H411" s="284"/>
      <c r="I411" s="283"/>
      <c r="J411" s="283"/>
      <c r="K411" s="283"/>
      <c r="L411" s="283"/>
      <c r="M411" s="283"/>
      <c r="N411" s="283"/>
      <c r="O411" s="283"/>
      <c r="P411" s="283"/>
      <c r="Q411" s="283"/>
      <c r="R411" s="283"/>
      <c r="S411" s="283"/>
      <c r="T411" s="283"/>
    </row>
    <row r="412">
      <c r="A412" s="300"/>
      <c r="B412" s="282"/>
      <c r="C412" s="283"/>
      <c r="D412" s="282"/>
      <c r="E412" s="283"/>
      <c r="F412" s="283"/>
      <c r="G412" s="284"/>
      <c r="H412" s="284"/>
      <c r="I412" s="283"/>
      <c r="J412" s="283"/>
      <c r="K412" s="283"/>
      <c r="L412" s="283"/>
      <c r="M412" s="283"/>
      <c r="N412" s="283"/>
      <c r="O412" s="283"/>
      <c r="P412" s="283"/>
      <c r="Q412" s="283"/>
      <c r="R412" s="283"/>
      <c r="S412" s="283"/>
      <c r="T412" s="283"/>
    </row>
    <row r="413">
      <c r="A413" s="300"/>
      <c r="B413" s="282"/>
      <c r="C413" s="283"/>
      <c r="D413" s="282"/>
      <c r="E413" s="283"/>
      <c r="F413" s="283"/>
      <c r="G413" s="284"/>
      <c r="H413" s="284"/>
      <c r="I413" s="283"/>
      <c r="J413" s="283"/>
      <c r="K413" s="283"/>
      <c r="L413" s="283"/>
      <c r="M413" s="283"/>
      <c r="N413" s="283"/>
      <c r="O413" s="283"/>
      <c r="P413" s="283"/>
      <c r="Q413" s="283"/>
      <c r="R413" s="283"/>
      <c r="S413" s="283"/>
      <c r="T413" s="283"/>
    </row>
    <row r="414">
      <c r="A414" s="300"/>
      <c r="B414" s="282"/>
      <c r="C414" s="283"/>
      <c r="D414" s="282"/>
      <c r="E414" s="283"/>
      <c r="F414" s="283"/>
      <c r="G414" s="284"/>
      <c r="H414" s="284"/>
      <c r="I414" s="283"/>
      <c r="J414" s="283"/>
      <c r="K414" s="283"/>
      <c r="L414" s="283"/>
      <c r="M414" s="283"/>
      <c r="N414" s="283"/>
      <c r="O414" s="283"/>
      <c r="P414" s="283"/>
      <c r="Q414" s="283"/>
      <c r="R414" s="283"/>
      <c r="S414" s="283"/>
      <c r="T414" s="283"/>
    </row>
    <row r="415">
      <c r="A415" s="300"/>
      <c r="B415" s="282"/>
      <c r="C415" s="283"/>
      <c r="D415" s="282"/>
      <c r="E415" s="283"/>
      <c r="F415" s="283"/>
      <c r="G415" s="284"/>
      <c r="H415" s="284"/>
      <c r="I415" s="283"/>
      <c r="J415" s="283"/>
      <c r="K415" s="283"/>
      <c r="L415" s="283"/>
      <c r="M415" s="283"/>
      <c r="N415" s="283"/>
      <c r="O415" s="283"/>
      <c r="P415" s="283"/>
      <c r="Q415" s="283"/>
      <c r="R415" s="283"/>
      <c r="S415" s="283"/>
      <c r="T415" s="283"/>
    </row>
    <row r="416">
      <c r="A416" s="300"/>
      <c r="B416" s="282"/>
      <c r="C416" s="283"/>
      <c r="D416" s="282"/>
      <c r="E416" s="283"/>
      <c r="F416" s="283"/>
      <c r="G416" s="284"/>
      <c r="H416" s="284"/>
      <c r="I416" s="283"/>
      <c r="J416" s="283"/>
      <c r="K416" s="283"/>
      <c r="L416" s="283"/>
      <c r="M416" s="283"/>
      <c r="N416" s="283"/>
      <c r="O416" s="283"/>
      <c r="P416" s="283"/>
      <c r="Q416" s="283"/>
      <c r="R416" s="283"/>
      <c r="S416" s="283"/>
      <c r="T416" s="283"/>
    </row>
    <row r="417">
      <c r="A417" s="300"/>
      <c r="B417" s="282"/>
      <c r="C417" s="283"/>
      <c r="D417" s="282"/>
      <c r="E417" s="283"/>
      <c r="F417" s="283"/>
      <c r="G417" s="284"/>
      <c r="H417" s="284"/>
      <c r="I417" s="283"/>
      <c r="J417" s="283"/>
      <c r="K417" s="283"/>
      <c r="L417" s="283"/>
      <c r="M417" s="283"/>
      <c r="N417" s="283"/>
      <c r="O417" s="283"/>
      <c r="P417" s="283"/>
      <c r="Q417" s="283"/>
      <c r="R417" s="283"/>
      <c r="S417" s="283"/>
      <c r="T417" s="283"/>
    </row>
    <row r="418">
      <c r="A418" s="300"/>
      <c r="B418" s="282"/>
      <c r="C418" s="283"/>
      <c r="D418" s="282"/>
      <c r="E418" s="283"/>
      <c r="F418" s="283"/>
      <c r="G418" s="284"/>
      <c r="H418" s="284"/>
      <c r="I418" s="283"/>
      <c r="J418" s="283"/>
      <c r="K418" s="283"/>
      <c r="L418" s="283"/>
      <c r="M418" s="283"/>
      <c r="N418" s="283"/>
      <c r="O418" s="283"/>
      <c r="P418" s="283"/>
      <c r="Q418" s="283"/>
      <c r="R418" s="283"/>
      <c r="S418" s="283"/>
      <c r="T418" s="283"/>
    </row>
    <row r="419">
      <c r="A419" s="300"/>
      <c r="B419" s="282"/>
      <c r="C419" s="283"/>
      <c r="D419" s="282"/>
      <c r="E419" s="283"/>
      <c r="F419" s="283"/>
      <c r="G419" s="284"/>
      <c r="H419" s="284"/>
      <c r="I419" s="283"/>
      <c r="J419" s="283"/>
      <c r="K419" s="283"/>
      <c r="L419" s="283"/>
      <c r="M419" s="283"/>
      <c r="N419" s="283"/>
      <c r="O419" s="283"/>
      <c r="P419" s="283"/>
      <c r="Q419" s="283"/>
      <c r="R419" s="283"/>
      <c r="S419" s="283"/>
      <c r="T419" s="283"/>
    </row>
    <row r="420">
      <c r="A420" s="300"/>
      <c r="B420" s="282"/>
      <c r="C420" s="283"/>
      <c r="D420" s="282"/>
      <c r="E420" s="283"/>
      <c r="F420" s="283"/>
      <c r="G420" s="284"/>
      <c r="H420" s="284"/>
      <c r="I420" s="283"/>
      <c r="J420" s="283"/>
      <c r="K420" s="283"/>
      <c r="L420" s="283"/>
      <c r="M420" s="283"/>
      <c r="N420" s="283"/>
      <c r="O420" s="283"/>
      <c r="P420" s="283"/>
      <c r="Q420" s="283"/>
      <c r="R420" s="283"/>
      <c r="S420" s="283"/>
      <c r="T420" s="283"/>
    </row>
    <row r="421">
      <c r="A421" s="300"/>
      <c r="B421" s="282"/>
      <c r="C421" s="283"/>
      <c r="D421" s="282"/>
      <c r="E421" s="283"/>
      <c r="F421" s="283"/>
      <c r="G421" s="284"/>
      <c r="H421" s="284"/>
      <c r="I421" s="283"/>
      <c r="J421" s="283"/>
      <c r="K421" s="283"/>
      <c r="L421" s="283"/>
      <c r="M421" s="283"/>
      <c r="N421" s="283"/>
      <c r="O421" s="283"/>
      <c r="P421" s="283"/>
      <c r="Q421" s="283"/>
      <c r="R421" s="283"/>
      <c r="S421" s="283"/>
      <c r="T421" s="283"/>
    </row>
    <row r="422">
      <c r="A422" s="300"/>
      <c r="B422" s="282"/>
      <c r="C422" s="283"/>
      <c r="D422" s="282"/>
      <c r="E422" s="283"/>
      <c r="F422" s="283"/>
      <c r="G422" s="284"/>
      <c r="H422" s="284"/>
      <c r="I422" s="283"/>
      <c r="J422" s="283"/>
      <c r="K422" s="283"/>
      <c r="L422" s="283"/>
      <c r="M422" s="283"/>
      <c r="N422" s="283"/>
      <c r="O422" s="283"/>
      <c r="P422" s="283"/>
      <c r="Q422" s="283"/>
      <c r="R422" s="283"/>
      <c r="S422" s="283"/>
      <c r="T422" s="283"/>
    </row>
    <row r="423">
      <c r="A423" s="300"/>
      <c r="B423" s="282"/>
      <c r="C423" s="283"/>
      <c r="D423" s="282"/>
      <c r="E423" s="283"/>
      <c r="F423" s="283"/>
      <c r="G423" s="284"/>
      <c r="H423" s="284"/>
      <c r="I423" s="283"/>
      <c r="J423" s="283"/>
      <c r="K423" s="283"/>
      <c r="L423" s="283"/>
      <c r="M423" s="283"/>
      <c r="N423" s="283"/>
      <c r="O423" s="283"/>
      <c r="P423" s="283"/>
      <c r="Q423" s="283"/>
      <c r="R423" s="283"/>
      <c r="S423" s="283"/>
      <c r="T423" s="283"/>
    </row>
    <row r="424">
      <c r="A424" s="300"/>
      <c r="B424" s="282"/>
      <c r="C424" s="283"/>
      <c r="D424" s="282"/>
      <c r="E424" s="283"/>
      <c r="F424" s="283"/>
      <c r="G424" s="284"/>
      <c r="H424" s="284"/>
      <c r="I424" s="283"/>
      <c r="J424" s="283"/>
      <c r="K424" s="283"/>
      <c r="L424" s="283"/>
      <c r="M424" s="283"/>
      <c r="N424" s="283"/>
      <c r="O424" s="283"/>
      <c r="P424" s="283"/>
      <c r="Q424" s="283"/>
      <c r="R424" s="283"/>
      <c r="S424" s="283"/>
      <c r="T424" s="283"/>
    </row>
    <row r="425">
      <c r="A425" s="300"/>
      <c r="B425" s="282"/>
      <c r="C425" s="283"/>
      <c r="D425" s="282"/>
      <c r="E425" s="283"/>
      <c r="F425" s="283"/>
      <c r="G425" s="284"/>
      <c r="H425" s="284"/>
      <c r="I425" s="283"/>
      <c r="J425" s="283"/>
      <c r="K425" s="283"/>
      <c r="L425" s="283"/>
      <c r="M425" s="283"/>
      <c r="N425" s="283"/>
      <c r="O425" s="283"/>
      <c r="P425" s="283"/>
      <c r="Q425" s="283"/>
      <c r="R425" s="283"/>
      <c r="S425" s="283"/>
      <c r="T425" s="283"/>
    </row>
    <row r="426">
      <c r="A426" s="300"/>
      <c r="B426" s="282"/>
      <c r="C426" s="283"/>
      <c r="D426" s="282"/>
      <c r="E426" s="283"/>
      <c r="F426" s="283"/>
      <c r="G426" s="284"/>
      <c r="H426" s="284"/>
      <c r="I426" s="283"/>
      <c r="J426" s="283"/>
      <c r="K426" s="283"/>
      <c r="L426" s="283"/>
      <c r="M426" s="283"/>
      <c r="N426" s="283"/>
      <c r="O426" s="283"/>
      <c r="P426" s="283"/>
      <c r="Q426" s="283"/>
      <c r="R426" s="283"/>
      <c r="S426" s="283"/>
      <c r="T426" s="283"/>
    </row>
    <row r="427">
      <c r="A427" s="300"/>
      <c r="B427" s="282"/>
      <c r="C427" s="283"/>
      <c r="D427" s="282"/>
      <c r="E427" s="283"/>
      <c r="F427" s="283"/>
      <c r="G427" s="284"/>
      <c r="H427" s="284"/>
      <c r="I427" s="283"/>
      <c r="J427" s="283"/>
      <c r="K427" s="283"/>
      <c r="L427" s="283"/>
      <c r="M427" s="283"/>
      <c r="N427" s="283"/>
      <c r="O427" s="283"/>
      <c r="P427" s="283"/>
      <c r="Q427" s="283"/>
      <c r="R427" s="283"/>
      <c r="S427" s="283"/>
      <c r="T427" s="283"/>
    </row>
    <row r="428">
      <c r="A428" s="300"/>
      <c r="B428" s="282"/>
      <c r="C428" s="283"/>
      <c r="D428" s="282"/>
      <c r="E428" s="283"/>
      <c r="F428" s="283"/>
      <c r="G428" s="284"/>
      <c r="H428" s="284"/>
      <c r="I428" s="283"/>
      <c r="J428" s="283"/>
      <c r="K428" s="283"/>
      <c r="L428" s="283"/>
      <c r="M428" s="283"/>
      <c r="N428" s="283"/>
      <c r="O428" s="283"/>
      <c r="P428" s="283"/>
      <c r="Q428" s="283"/>
      <c r="R428" s="283"/>
      <c r="S428" s="283"/>
      <c r="T428" s="283"/>
    </row>
    <row r="429">
      <c r="A429" s="300"/>
      <c r="B429" s="282"/>
      <c r="C429" s="283"/>
      <c r="D429" s="282"/>
      <c r="E429" s="283"/>
      <c r="F429" s="283"/>
      <c r="G429" s="284"/>
      <c r="H429" s="284"/>
      <c r="I429" s="283"/>
      <c r="J429" s="283"/>
      <c r="K429" s="283"/>
      <c r="L429" s="283"/>
      <c r="M429" s="283"/>
      <c r="N429" s="283"/>
      <c r="O429" s="283"/>
      <c r="P429" s="283"/>
      <c r="Q429" s="283"/>
      <c r="R429" s="283"/>
      <c r="S429" s="283"/>
      <c r="T429" s="283"/>
    </row>
    <row r="430">
      <c r="A430" s="300"/>
      <c r="B430" s="282"/>
      <c r="C430" s="283"/>
      <c r="D430" s="282"/>
      <c r="E430" s="283"/>
      <c r="F430" s="283"/>
      <c r="G430" s="284"/>
      <c r="H430" s="284"/>
      <c r="I430" s="283"/>
      <c r="J430" s="283"/>
      <c r="K430" s="283"/>
      <c r="L430" s="283"/>
      <c r="M430" s="283"/>
      <c r="N430" s="283"/>
      <c r="O430" s="283"/>
      <c r="P430" s="283"/>
      <c r="Q430" s="283"/>
      <c r="R430" s="283"/>
      <c r="S430" s="283"/>
      <c r="T430" s="283"/>
    </row>
    <row r="431">
      <c r="A431" s="300"/>
      <c r="B431" s="282"/>
      <c r="C431" s="283"/>
      <c r="D431" s="282"/>
      <c r="E431" s="283"/>
      <c r="F431" s="283"/>
      <c r="G431" s="284"/>
      <c r="H431" s="284"/>
      <c r="I431" s="283"/>
      <c r="J431" s="283"/>
      <c r="K431" s="283"/>
      <c r="L431" s="283"/>
      <c r="M431" s="283"/>
      <c r="N431" s="283"/>
      <c r="O431" s="283"/>
      <c r="P431" s="283"/>
      <c r="Q431" s="283"/>
      <c r="R431" s="283"/>
      <c r="S431" s="283"/>
      <c r="T431" s="283"/>
    </row>
    <row r="432">
      <c r="A432" s="300"/>
      <c r="B432" s="282"/>
      <c r="C432" s="283"/>
      <c r="D432" s="282"/>
      <c r="E432" s="283"/>
      <c r="F432" s="283"/>
      <c r="G432" s="284"/>
      <c r="H432" s="284"/>
      <c r="I432" s="283"/>
      <c r="J432" s="283"/>
      <c r="K432" s="283"/>
      <c r="L432" s="283"/>
      <c r="M432" s="283"/>
      <c r="N432" s="283"/>
      <c r="O432" s="283"/>
      <c r="P432" s="283"/>
      <c r="Q432" s="283"/>
      <c r="R432" s="283"/>
      <c r="S432" s="283"/>
      <c r="T432" s="283"/>
    </row>
    <row r="433">
      <c r="A433" s="300"/>
      <c r="B433" s="282"/>
      <c r="C433" s="283"/>
      <c r="D433" s="282"/>
      <c r="E433" s="283"/>
      <c r="F433" s="283"/>
      <c r="G433" s="284"/>
      <c r="H433" s="284"/>
      <c r="I433" s="283"/>
      <c r="J433" s="283"/>
      <c r="K433" s="283"/>
      <c r="L433" s="283"/>
      <c r="M433" s="283"/>
      <c r="N433" s="283"/>
      <c r="O433" s="283"/>
      <c r="P433" s="283"/>
      <c r="Q433" s="283"/>
      <c r="R433" s="283"/>
      <c r="S433" s="283"/>
      <c r="T433" s="283"/>
    </row>
    <row r="434">
      <c r="A434" s="300"/>
      <c r="B434" s="282"/>
      <c r="C434" s="283"/>
      <c r="D434" s="282"/>
      <c r="E434" s="283"/>
      <c r="F434" s="283"/>
      <c r="G434" s="284"/>
      <c r="H434" s="284"/>
      <c r="I434" s="283"/>
      <c r="J434" s="283"/>
      <c r="K434" s="283"/>
      <c r="L434" s="283"/>
      <c r="M434" s="283"/>
      <c r="N434" s="283"/>
      <c r="O434" s="283"/>
      <c r="P434" s="283"/>
      <c r="Q434" s="283"/>
      <c r="R434" s="283"/>
      <c r="S434" s="283"/>
      <c r="T434" s="283"/>
    </row>
    <row r="435">
      <c r="A435" s="300"/>
      <c r="B435" s="282"/>
      <c r="C435" s="283"/>
      <c r="D435" s="282"/>
      <c r="E435" s="283"/>
      <c r="F435" s="283"/>
      <c r="G435" s="284"/>
      <c r="H435" s="284"/>
      <c r="I435" s="283"/>
      <c r="J435" s="283"/>
      <c r="K435" s="283"/>
      <c r="L435" s="283"/>
      <c r="M435" s="283"/>
      <c r="N435" s="283"/>
      <c r="O435" s="283"/>
      <c r="P435" s="283"/>
      <c r="Q435" s="283"/>
      <c r="R435" s="283"/>
      <c r="S435" s="283"/>
      <c r="T435" s="283"/>
    </row>
    <row r="436">
      <c r="A436" s="300"/>
      <c r="B436" s="282"/>
      <c r="C436" s="283"/>
      <c r="D436" s="282"/>
      <c r="E436" s="283"/>
      <c r="F436" s="283"/>
      <c r="G436" s="284"/>
      <c r="H436" s="284"/>
      <c r="I436" s="283"/>
      <c r="J436" s="283"/>
      <c r="K436" s="283"/>
      <c r="L436" s="283"/>
      <c r="M436" s="283"/>
      <c r="N436" s="283"/>
      <c r="O436" s="283"/>
      <c r="P436" s="283"/>
      <c r="Q436" s="283"/>
      <c r="R436" s="283"/>
      <c r="S436" s="283"/>
      <c r="T436" s="283"/>
    </row>
    <row r="437">
      <c r="A437" s="300"/>
      <c r="B437" s="282"/>
      <c r="C437" s="283"/>
      <c r="D437" s="282"/>
      <c r="E437" s="283"/>
      <c r="F437" s="283"/>
      <c r="G437" s="284"/>
      <c r="H437" s="284"/>
      <c r="I437" s="283"/>
      <c r="J437" s="283"/>
      <c r="K437" s="283"/>
      <c r="L437" s="283"/>
      <c r="M437" s="283"/>
      <c r="N437" s="283"/>
      <c r="O437" s="283"/>
      <c r="P437" s="283"/>
      <c r="Q437" s="283"/>
      <c r="R437" s="283"/>
      <c r="S437" s="283"/>
      <c r="T437" s="283"/>
    </row>
    <row r="438">
      <c r="A438" s="300"/>
      <c r="B438" s="282"/>
      <c r="C438" s="283"/>
      <c r="D438" s="282"/>
      <c r="E438" s="283"/>
      <c r="F438" s="283"/>
      <c r="G438" s="284"/>
      <c r="H438" s="284"/>
      <c r="I438" s="283"/>
      <c r="J438" s="283"/>
      <c r="K438" s="283"/>
      <c r="L438" s="283"/>
      <c r="M438" s="283"/>
      <c r="N438" s="283"/>
      <c r="O438" s="283"/>
      <c r="P438" s="283"/>
      <c r="Q438" s="283"/>
      <c r="R438" s="283"/>
      <c r="S438" s="283"/>
      <c r="T438" s="283"/>
    </row>
    <row r="439">
      <c r="A439" s="300"/>
      <c r="B439" s="282"/>
      <c r="C439" s="283"/>
      <c r="D439" s="282"/>
      <c r="E439" s="283"/>
      <c r="F439" s="283"/>
      <c r="G439" s="284"/>
      <c r="H439" s="284"/>
      <c r="I439" s="283"/>
      <c r="J439" s="283"/>
      <c r="K439" s="283"/>
      <c r="L439" s="283"/>
      <c r="M439" s="283"/>
      <c r="N439" s="283"/>
      <c r="O439" s="283"/>
      <c r="P439" s="283"/>
      <c r="Q439" s="283"/>
      <c r="R439" s="283"/>
      <c r="S439" s="283"/>
      <c r="T439" s="283"/>
    </row>
    <row r="440">
      <c r="A440" s="300"/>
      <c r="B440" s="282"/>
      <c r="C440" s="283"/>
      <c r="D440" s="282"/>
      <c r="E440" s="283"/>
      <c r="F440" s="283"/>
      <c r="G440" s="284"/>
      <c r="H440" s="284"/>
      <c r="I440" s="283"/>
      <c r="J440" s="283"/>
      <c r="K440" s="283"/>
      <c r="L440" s="283"/>
      <c r="M440" s="283"/>
      <c r="N440" s="283"/>
      <c r="O440" s="283"/>
      <c r="P440" s="283"/>
      <c r="Q440" s="283"/>
      <c r="R440" s="283"/>
      <c r="S440" s="283"/>
      <c r="T440" s="283"/>
    </row>
    <row r="441">
      <c r="A441" s="300"/>
      <c r="B441" s="282"/>
      <c r="C441" s="283"/>
      <c r="D441" s="282"/>
      <c r="E441" s="283"/>
      <c r="F441" s="283"/>
      <c r="G441" s="284"/>
      <c r="H441" s="284"/>
      <c r="I441" s="283"/>
      <c r="J441" s="283"/>
      <c r="K441" s="283"/>
      <c r="L441" s="283"/>
      <c r="M441" s="283"/>
      <c r="N441" s="283"/>
      <c r="O441" s="283"/>
      <c r="P441" s="283"/>
      <c r="Q441" s="283"/>
      <c r="R441" s="283"/>
      <c r="S441" s="283"/>
      <c r="T441" s="283"/>
    </row>
    <row r="442">
      <c r="A442" s="300"/>
      <c r="B442" s="282"/>
      <c r="C442" s="283"/>
      <c r="D442" s="282"/>
      <c r="E442" s="283"/>
      <c r="F442" s="283"/>
      <c r="G442" s="284"/>
      <c r="H442" s="284"/>
      <c r="I442" s="283"/>
      <c r="J442" s="283"/>
      <c r="K442" s="283"/>
      <c r="L442" s="283"/>
      <c r="M442" s="283"/>
      <c r="N442" s="283"/>
      <c r="O442" s="283"/>
      <c r="P442" s="283"/>
      <c r="Q442" s="283"/>
      <c r="R442" s="283"/>
      <c r="S442" s="283"/>
      <c r="T442" s="283"/>
    </row>
    <row r="443">
      <c r="A443" s="300"/>
      <c r="B443" s="282"/>
      <c r="C443" s="283"/>
      <c r="D443" s="282"/>
      <c r="E443" s="283"/>
      <c r="F443" s="283"/>
      <c r="G443" s="284"/>
      <c r="H443" s="284"/>
      <c r="I443" s="283"/>
      <c r="J443" s="283"/>
      <c r="K443" s="283"/>
      <c r="L443" s="283"/>
      <c r="M443" s="283"/>
      <c r="N443" s="283"/>
      <c r="O443" s="283"/>
      <c r="P443" s="283"/>
      <c r="Q443" s="283"/>
      <c r="R443" s="283"/>
      <c r="S443" s="283"/>
      <c r="T443" s="283"/>
    </row>
    <row r="444">
      <c r="A444" s="300"/>
      <c r="B444" s="282"/>
      <c r="C444" s="283"/>
      <c r="D444" s="282"/>
      <c r="E444" s="283"/>
      <c r="F444" s="283"/>
      <c r="G444" s="284"/>
      <c r="H444" s="284"/>
      <c r="I444" s="283"/>
      <c r="J444" s="283"/>
      <c r="K444" s="283"/>
      <c r="L444" s="283"/>
      <c r="M444" s="283"/>
      <c r="N444" s="283"/>
      <c r="O444" s="283"/>
      <c r="P444" s="283"/>
      <c r="Q444" s="283"/>
      <c r="R444" s="283"/>
      <c r="S444" s="283"/>
      <c r="T444" s="283"/>
    </row>
    <row r="445">
      <c r="A445" s="300"/>
      <c r="B445" s="282"/>
      <c r="C445" s="283"/>
      <c r="D445" s="282"/>
      <c r="E445" s="283"/>
      <c r="F445" s="283"/>
      <c r="G445" s="284"/>
      <c r="H445" s="284"/>
      <c r="I445" s="283"/>
      <c r="J445" s="283"/>
      <c r="K445" s="283"/>
      <c r="L445" s="283"/>
      <c r="M445" s="283"/>
      <c r="N445" s="283"/>
      <c r="O445" s="283"/>
      <c r="P445" s="283"/>
      <c r="Q445" s="283"/>
      <c r="R445" s="283"/>
      <c r="S445" s="283"/>
      <c r="T445" s="283"/>
    </row>
    <row r="446">
      <c r="A446" s="300"/>
      <c r="B446" s="282"/>
      <c r="C446" s="283"/>
      <c r="D446" s="282"/>
      <c r="E446" s="283"/>
      <c r="F446" s="283"/>
      <c r="G446" s="284"/>
      <c r="H446" s="284"/>
      <c r="I446" s="283"/>
      <c r="J446" s="283"/>
      <c r="K446" s="283"/>
      <c r="L446" s="283"/>
      <c r="M446" s="283"/>
      <c r="N446" s="283"/>
      <c r="O446" s="283"/>
      <c r="P446" s="283"/>
      <c r="Q446" s="283"/>
      <c r="R446" s="283"/>
      <c r="S446" s="283"/>
      <c r="T446" s="283"/>
    </row>
    <row r="447">
      <c r="A447" s="300"/>
      <c r="B447" s="282"/>
      <c r="C447" s="283"/>
      <c r="D447" s="282"/>
      <c r="E447" s="283"/>
      <c r="F447" s="283"/>
      <c r="G447" s="284"/>
      <c r="H447" s="284"/>
      <c r="I447" s="283"/>
      <c r="J447" s="283"/>
      <c r="K447" s="283"/>
      <c r="L447" s="283"/>
      <c r="M447" s="283"/>
      <c r="N447" s="283"/>
      <c r="O447" s="283"/>
      <c r="P447" s="283"/>
      <c r="Q447" s="283"/>
      <c r="R447" s="283"/>
      <c r="S447" s="283"/>
      <c r="T447" s="283"/>
    </row>
    <row r="448">
      <c r="A448" s="300"/>
      <c r="B448" s="282"/>
      <c r="C448" s="283"/>
      <c r="D448" s="282"/>
      <c r="E448" s="283"/>
      <c r="F448" s="283"/>
      <c r="G448" s="284"/>
      <c r="H448" s="284"/>
      <c r="I448" s="283"/>
      <c r="J448" s="283"/>
      <c r="K448" s="283"/>
      <c r="L448" s="283"/>
      <c r="M448" s="283"/>
      <c r="N448" s="283"/>
      <c r="O448" s="283"/>
      <c r="P448" s="283"/>
      <c r="Q448" s="283"/>
      <c r="R448" s="283"/>
      <c r="S448" s="283"/>
      <c r="T448" s="283"/>
    </row>
    <row r="449">
      <c r="A449" s="300"/>
      <c r="B449" s="282"/>
      <c r="C449" s="283"/>
      <c r="D449" s="282"/>
      <c r="E449" s="283"/>
      <c r="F449" s="283"/>
      <c r="G449" s="284"/>
      <c r="H449" s="284"/>
      <c r="I449" s="283"/>
      <c r="J449" s="283"/>
      <c r="K449" s="283"/>
      <c r="L449" s="283"/>
      <c r="M449" s="283"/>
      <c r="N449" s="283"/>
      <c r="O449" s="283"/>
      <c r="P449" s="283"/>
      <c r="Q449" s="283"/>
      <c r="R449" s="283"/>
      <c r="S449" s="283"/>
      <c r="T449" s="283"/>
    </row>
    <row r="450">
      <c r="A450" s="300"/>
      <c r="B450" s="282"/>
      <c r="C450" s="283"/>
      <c r="D450" s="282"/>
      <c r="E450" s="283"/>
      <c r="F450" s="283"/>
      <c r="G450" s="284"/>
      <c r="H450" s="284"/>
      <c r="I450" s="283"/>
      <c r="J450" s="283"/>
      <c r="K450" s="283"/>
      <c r="L450" s="283"/>
      <c r="M450" s="283"/>
      <c r="N450" s="283"/>
      <c r="O450" s="283"/>
      <c r="P450" s="283"/>
      <c r="Q450" s="283"/>
      <c r="R450" s="283"/>
      <c r="S450" s="283"/>
      <c r="T450" s="283"/>
    </row>
    <row r="451">
      <c r="A451" s="300"/>
      <c r="B451" s="282"/>
      <c r="C451" s="283"/>
      <c r="D451" s="282"/>
      <c r="E451" s="283"/>
      <c r="F451" s="283"/>
      <c r="G451" s="284"/>
      <c r="H451" s="284"/>
      <c r="I451" s="283"/>
      <c r="J451" s="283"/>
      <c r="K451" s="283"/>
      <c r="L451" s="283"/>
      <c r="M451" s="283"/>
      <c r="N451" s="283"/>
      <c r="O451" s="283"/>
      <c r="P451" s="283"/>
      <c r="Q451" s="283"/>
      <c r="R451" s="283"/>
      <c r="S451" s="283"/>
      <c r="T451" s="283"/>
    </row>
    <row r="452">
      <c r="A452" s="300"/>
      <c r="B452" s="282"/>
      <c r="C452" s="283"/>
      <c r="D452" s="282"/>
      <c r="E452" s="283"/>
      <c r="F452" s="283"/>
      <c r="G452" s="284"/>
      <c r="H452" s="284"/>
      <c r="I452" s="283"/>
      <c r="J452" s="283"/>
      <c r="K452" s="283"/>
      <c r="L452" s="283"/>
      <c r="M452" s="283"/>
      <c r="N452" s="283"/>
      <c r="O452" s="283"/>
      <c r="P452" s="283"/>
      <c r="Q452" s="283"/>
      <c r="R452" s="283"/>
      <c r="S452" s="283"/>
      <c r="T452" s="283"/>
    </row>
    <row r="453">
      <c r="A453" s="300"/>
      <c r="B453" s="282"/>
      <c r="C453" s="283"/>
      <c r="D453" s="282"/>
      <c r="E453" s="283"/>
      <c r="F453" s="283"/>
      <c r="G453" s="284"/>
      <c r="H453" s="284"/>
      <c r="I453" s="283"/>
      <c r="J453" s="283"/>
      <c r="K453" s="283"/>
      <c r="L453" s="283"/>
      <c r="M453" s="283"/>
      <c r="N453" s="283"/>
      <c r="O453" s="283"/>
      <c r="P453" s="283"/>
      <c r="Q453" s="283"/>
      <c r="R453" s="283"/>
      <c r="S453" s="283"/>
      <c r="T453" s="283"/>
    </row>
    <row r="454">
      <c r="A454" s="300"/>
      <c r="B454" s="282"/>
      <c r="C454" s="283"/>
      <c r="D454" s="282"/>
      <c r="E454" s="283"/>
      <c r="F454" s="283"/>
      <c r="G454" s="284"/>
      <c r="H454" s="284"/>
      <c r="I454" s="283"/>
      <c r="J454" s="283"/>
      <c r="K454" s="283"/>
      <c r="L454" s="283"/>
      <c r="M454" s="283"/>
      <c r="N454" s="283"/>
      <c r="O454" s="283"/>
      <c r="P454" s="283"/>
      <c r="Q454" s="283"/>
      <c r="R454" s="283"/>
      <c r="S454" s="283"/>
      <c r="T454" s="283"/>
    </row>
    <row r="455">
      <c r="A455" s="300"/>
      <c r="B455" s="282"/>
      <c r="C455" s="283"/>
      <c r="D455" s="282"/>
      <c r="E455" s="283"/>
      <c r="F455" s="283"/>
      <c r="G455" s="284"/>
      <c r="H455" s="284"/>
      <c r="I455" s="283"/>
      <c r="J455" s="283"/>
      <c r="K455" s="283"/>
      <c r="L455" s="283"/>
      <c r="M455" s="283"/>
      <c r="N455" s="283"/>
      <c r="O455" s="283"/>
      <c r="P455" s="283"/>
      <c r="Q455" s="283"/>
      <c r="R455" s="283"/>
      <c r="S455" s="283"/>
      <c r="T455" s="283"/>
    </row>
    <row r="456">
      <c r="A456" s="300"/>
      <c r="B456" s="282"/>
      <c r="C456" s="283"/>
      <c r="D456" s="282"/>
      <c r="E456" s="283"/>
      <c r="F456" s="283"/>
      <c r="G456" s="284"/>
      <c r="H456" s="284"/>
      <c r="I456" s="283"/>
      <c r="J456" s="283"/>
      <c r="K456" s="283"/>
      <c r="L456" s="283"/>
      <c r="M456" s="283"/>
      <c r="N456" s="283"/>
      <c r="O456" s="283"/>
      <c r="P456" s="283"/>
      <c r="Q456" s="283"/>
      <c r="R456" s="283"/>
      <c r="S456" s="283"/>
      <c r="T456" s="283"/>
    </row>
    <row r="457">
      <c r="A457" s="300"/>
      <c r="B457" s="282"/>
      <c r="C457" s="283"/>
      <c r="D457" s="282"/>
      <c r="E457" s="283"/>
      <c r="F457" s="283"/>
      <c r="G457" s="284"/>
      <c r="H457" s="284"/>
      <c r="I457" s="283"/>
      <c r="J457" s="283"/>
      <c r="K457" s="283"/>
      <c r="L457" s="283"/>
      <c r="M457" s="283"/>
      <c r="N457" s="283"/>
      <c r="O457" s="283"/>
      <c r="P457" s="283"/>
      <c r="Q457" s="283"/>
      <c r="R457" s="283"/>
      <c r="S457" s="283"/>
      <c r="T457" s="283"/>
    </row>
    <row r="458">
      <c r="A458" s="300"/>
      <c r="B458" s="282"/>
      <c r="C458" s="283"/>
      <c r="D458" s="282"/>
      <c r="E458" s="283"/>
      <c r="F458" s="283"/>
      <c r="G458" s="284"/>
      <c r="H458" s="284"/>
      <c r="I458" s="283"/>
      <c r="J458" s="283"/>
      <c r="K458" s="283"/>
      <c r="L458" s="283"/>
      <c r="M458" s="283"/>
      <c r="N458" s="283"/>
      <c r="O458" s="283"/>
      <c r="P458" s="283"/>
      <c r="Q458" s="283"/>
      <c r="R458" s="283"/>
      <c r="S458" s="283"/>
      <c r="T458" s="283"/>
    </row>
    <row r="459">
      <c r="A459" s="300"/>
      <c r="B459" s="282"/>
      <c r="C459" s="283"/>
      <c r="D459" s="282"/>
      <c r="E459" s="283"/>
      <c r="F459" s="283"/>
      <c r="G459" s="284"/>
      <c r="H459" s="284"/>
      <c r="I459" s="283"/>
      <c r="J459" s="283"/>
      <c r="K459" s="283"/>
      <c r="L459" s="283"/>
      <c r="M459" s="283"/>
      <c r="N459" s="283"/>
      <c r="O459" s="283"/>
      <c r="P459" s="283"/>
      <c r="Q459" s="283"/>
      <c r="R459" s="283"/>
      <c r="S459" s="283"/>
      <c r="T459" s="283"/>
    </row>
    <row r="460">
      <c r="A460" s="300"/>
      <c r="B460" s="282"/>
      <c r="C460" s="283"/>
      <c r="D460" s="282"/>
      <c r="E460" s="283"/>
      <c r="F460" s="283"/>
      <c r="G460" s="284"/>
      <c r="H460" s="284"/>
      <c r="I460" s="283"/>
      <c r="J460" s="283"/>
      <c r="K460" s="283"/>
      <c r="L460" s="283"/>
      <c r="M460" s="283"/>
      <c r="N460" s="283"/>
      <c r="O460" s="283"/>
      <c r="P460" s="283"/>
      <c r="Q460" s="283"/>
      <c r="R460" s="283"/>
      <c r="S460" s="283"/>
      <c r="T460" s="283"/>
    </row>
    <row r="461">
      <c r="A461" s="300"/>
      <c r="B461" s="282"/>
      <c r="C461" s="283"/>
      <c r="D461" s="282"/>
      <c r="E461" s="283"/>
      <c r="F461" s="283"/>
      <c r="G461" s="284"/>
      <c r="H461" s="284"/>
      <c r="I461" s="283"/>
      <c r="J461" s="283"/>
      <c r="K461" s="283"/>
      <c r="L461" s="283"/>
      <c r="M461" s="283"/>
      <c r="N461" s="283"/>
      <c r="O461" s="283"/>
      <c r="P461" s="283"/>
      <c r="Q461" s="283"/>
      <c r="R461" s="283"/>
      <c r="S461" s="283"/>
      <c r="T461" s="283"/>
    </row>
    <row r="462">
      <c r="A462" s="300"/>
      <c r="B462" s="282"/>
      <c r="C462" s="283"/>
      <c r="D462" s="282"/>
      <c r="E462" s="283"/>
      <c r="F462" s="283"/>
      <c r="G462" s="284"/>
      <c r="H462" s="284"/>
      <c r="I462" s="283"/>
      <c r="J462" s="283"/>
      <c r="K462" s="283"/>
      <c r="L462" s="283"/>
      <c r="M462" s="283"/>
      <c r="N462" s="283"/>
      <c r="O462" s="283"/>
      <c r="P462" s="283"/>
      <c r="Q462" s="283"/>
      <c r="R462" s="283"/>
      <c r="S462" s="283"/>
      <c r="T462" s="283"/>
    </row>
    <row r="463">
      <c r="A463" s="300"/>
      <c r="B463" s="282"/>
      <c r="C463" s="283"/>
      <c r="D463" s="282"/>
      <c r="E463" s="283"/>
      <c r="F463" s="283"/>
      <c r="G463" s="284"/>
      <c r="H463" s="284"/>
      <c r="I463" s="283"/>
      <c r="J463" s="283"/>
      <c r="K463" s="283"/>
      <c r="L463" s="283"/>
      <c r="M463" s="283"/>
      <c r="N463" s="283"/>
      <c r="O463" s="283"/>
      <c r="P463" s="283"/>
      <c r="Q463" s="283"/>
      <c r="R463" s="283"/>
      <c r="S463" s="283"/>
      <c r="T463" s="283"/>
    </row>
    <row r="464">
      <c r="A464" s="300"/>
      <c r="B464" s="282"/>
      <c r="C464" s="283"/>
      <c r="D464" s="282"/>
      <c r="E464" s="283"/>
      <c r="F464" s="283"/>
      <c r="G464" s="284"/>
      <c r="H464" s="284"/>
      <c r="I464" s="283"/>
      <c r="J464" s="283"/>
      <c r="K464" s="283"/>
      <c r="L464" s="283"/>
      <c r="M464" s="283"/>
      <c r="N464" s="283"/>
      <c r="O464" s="283"/>
      <c r="P464" s="283"/>
      <c r="Q464" s="283"/>
      <c r="R464" s="283"/>
      <c r="S464" s="283"/>
      <c r="T464" s="283"/>
    </row>
    <row r="465">
      <c r="A465" s="300"/>
      <c r="B465" s="282"/>
      <c r="C465" s="283"/>
      <c r="D465" s="282"/>
      <c r="E465" s="283"/>
      <c r="F465" s="283"/>
      <c r="G465" s="284"/>
      <c r="H465" s="284"/>
      <c r="I465" s="283"/>
      <c r="J465" s="283"/>
      <c r="K465" s="283"/>
      <c r="L465" s="283"/>
      <c r="M465" s="283"/>
      <c r="N465" s="283"/>
      <c r="O465" s="283"/>
      <c r="P465" s="283"/>
      <c r="Q465" s="283"/>
      <c r="R465" s="283"/>
      <c r="S465" s="283"/>
      <c r="T465" s="283"/>
    </row>
    <row r="466">
      <c r="A466" s="300"/>
      <c r="B466" s="282"/>
      <c r="C466" s="283"/>
      <c r="D466" s="282"/>
      <c r="E466" s="283"/>
      <c r="F466" s="283"/>
      <c r="G466" s="284"/>
      <c r="H466" s="284"/>
      <c r="I466" s="283"/>
      <c r="J466" s="283"/>
      <c r="K466" s="283"/>
      <c r="L466" s="283"/>
      <c r="M466" s="283"/>
      <c r="N466" s="283"/>
      <c r="O466" s="283"/>
      <c r="P466" s="283"/>
      <c r="Q466" s="283"/>
      <c r="R466" s="283"/>
      <c r="S466" s="283"/>
      <c r="T466" s="283"/>
    </row>
    <row r="467">
      <c r="A467" s="300"/>
      <c r="B467" s="282"/>
      <c r="C467" s="283"/>
      <c r="D467" s="282"/>
      <c r="E467" s="283"/>
      <c r="F467" s="283"/>
      <c r="G467" s="284"/>
      <c r="H467" s="284"/>
      <c r="I467" s="283"/>
      <c r="J467" s="283"/>
      <c r="K467" s="283"/>
      <c r="L467" s="283"/>
      <c r="M467" s="283"/>
      <c r="N467" s="283"/>
      <c r="O467" s="283"/>
      <c r="P467" s="283"/>
      <c r="Q467" s="283"/>
      <c r="R467" s="283"/>
      <c r="S467" s="283"/>
      <c r="T467" s="283"/>
    </row>
    <row r="468">
      <c r="A468" s="300"/>
      <c r="B468" s="282"/>
      <c r="C468" s="283"/>
      <c r="D468" s="282"/>
      <c r="E468" s="283"/>
      <c r="F468" s="283"/>
      <c r="G468" s="284"/>
      <c r="H468" s="284"/>
      <c r="I468" s="283"/>
      <c r="J468" s="283"/>
      <c r="K468" s="283"/>
      <c r="L468" s="283"/>
      <c r="M468" s="283"/>
      <c r="N468" s="283"/>
      <c r="O468" s="283"/>
      <c r="P468" s="283"/>
      <c r="Q468" s="283"/>
      <c r="R468" s="283"/>
      <c r="S468" s="283"/>
      <c r="T468" s="283"/>
    </row>
    <row r="469">
      <c r="A469" s="300"/>
      <c r="B469" s="282"/>
      <c r="C469" s="283"/>
      <c r="D469" s="282"/>
      <c r="E469" s="283"/>
      <c r="F469" s="283"/>
      <c r="G469" s="284"/>
      <c r="H469" s="284"/>
      <c r="I469" s="283"/>
      <c r="J469" s="283"/>
      <c r="K469" s="283"/>
      <c r="L469" s="283"/>
      <c r="M469" s="283"/>
      <c r="N469" s="283"/>
      <c r="O469" s="283"/>
      <c r="P469" s="283"/>
      <c r="Q469" s="283"/>
      <c r="R469" s="283"/>
      <c r="S469" s="283"/>
      <c r="T469" s="283"/>
    </row>
    <row r="470">
      <c r="A470" s="300"/>
      <c r="B470" s="282"/>
      <c r="C470" s="283"/>
      <c r="D470" s="282"/>
      <c r="E470" s="283"/>
      <c r="F470" s="283"/>
      <c r="G470" s="284"/>
      <c r="H470" s="284"/>
      <c r="I470" s="283"/>
      <c r="J470" s="283"/>
      <c r="K470" s="283"/>
      <c r="L470" s="283"/>
      <c r="M470" s="283"/>
      <c r="N470" s="283"/>
      <c r="O470" s="283"/>
      <c r="P470" s="283"/>
      <c r="Q470" s="283"/>
      <c r="R470" s="283"/>
      <c r="S470" s="283"/>
      <c r="T470" s="283"/>
    </row>
    <row r="471">
      <c r="A471" s="300"/>
      <c r="B471" s="282"/>
      <c r="C471" s="283"/>
      <c r="D471" s="282"/>
      <c r="E471" s="283"/>
      <c r="F471" s="283"/>
      <c r="G471" s="284"/>
      <c r="H471" s="284"/>
      <c r="I471" s="283"/>
      <c r="J471" s="283"/>
      <c r="K471" s="283"/>
      <c r="L471" s="283"/>
      <c r="M471" s="283"/>
      <c r="N471" s="283"/>
      <c r="O471" s="283"/>
      <c r="P471" s="283"/>
      <c r="Q471" s="283"/>
      <c r="R471" s="283"/>
      <c r="S471" s="283"/>
      <c r="T471" s="283"/>
    </row>
    <row r="472">
      <c r="A472" s="300"/>
      <c r="B472" s="282"/>
      <c r="C472" s="283"/>
      <c r="D472" s="282"/>
      <c r="E472" s="283"/>
      <c r="F472" s="283"/>
      <c r="G472" s="284"/>
      <c r="H472" s="284"/>
      <c r="I472" s="283"/>
      <c r="J472" s="283"/>
      <c r="K472" s="283"/>
      <c r="L472" s="283"/>
      <c r="M472" s="283"/>
      <c r="N472" s="283"/>
      <c r="O472" s="283"/>
      <c r="P472" s="283"/>
      <c r="Q472" s="283"/>
      <c r="R472" s="283"/>
      <c r="S472" s="283"/>
      <c r="T472" s="283"/>
    </row>
    <row r="473">
      <c r="A473" s="300"/>
      <c r="B473" s="282"/>
      <c r="C473" s="283"/>
      <c r="D473" s="282"/>
      <c r="E473" s="283"/>
      <c r="F473" s="283"/>
      <c r="G473" s="284"/>
      <c r="H473" s="284"/>
      <c r="I473" s="283"/>
      <c r="J473" s="283"/>
      <c r="K473" s="283"/>
      <c r="L473" s="283"/>
      <c r="M473" s="283"/>
      <c r="N473" s="283"/>
      <c r="O473" s="283"/>
      <c r="P473" s="283"/>
      <c r="Q473" s="283"/>
      <c r="R473" s="283"/>
      <c r="S473" s="283"/>
      <c r="T473" s="283"/>
    </row>
    <row r="474">
      <c r="A474" s="300"/>
      <c r="B474" s="282"/>
      <c r="C474" s="283"/>
      <c r="D474" s="282"/>
      <c r="E474" s="283"/>
      <c r="F474" s="283"/>
      <c r="G474" s="284"/>
      <c r="H474" s="284"/>
      <c r="I474" s="283"/>
      <c r="J474" s="283"/>
      <c r="K474" s="283"/>
      <c r="L474" s="283"/>
      <c r="M474" s="283"/>
      <c r="N474" s="283"/>
      <c r="O474" s="283"/>
      <c r="P474" s="283"/>
      <c r="Q474" s="283"/>
      <c r="R474" s="283"/>
      <c r="S474" s="283"/>
      <c r="T474" s="283"/>
    </row>
    <row r="475">
      <c r="A475" s="300"/>
      <c r="B475" s="282"/>
      <c r="C475" s="283"/>
      <c r="D475" s="282"/>
      <c r="E475" s="283"/>
      <c r="F475" s="283"/>
      <c r="G475" s="284"/>
      <c r="H475" s="284"/>
      <c r="I475" s="283"/>
      <c r="J475" s="283"/>
      <c r="K475" s="283"/>
      <c r="L475" s="283"/>
      <c r="M475" s="283"/>
      <c r="N475" s="283"/>
      <c r="O475" s="283"/>
      <c r="P475" s="283"/>
      <c r="Q475" s="283"/>
      <c r="R475" s="283"/>
      <c r="S475" s="283"/>
      <c r="T475" s="283"/>
    </row>
    <row r="476">
      <c r="A476" s="300"/>
      <c r="B476" s="282"/>
      <c r="C476" s="283"/>
      <c r="D476" s="282"/>
      <c r="E476" s="283"/>
      <c r="F476" s="283"/>
      <c r="G476" s="284"/>
      <c r="H476" s="284"/>
      <c r="I476" s="283"/>
      <c r="J476" s="283"/>
      <c r="K476" s="283"/>
      <c r="L476" s="283"/>
      <c r="M476" s="283"/>
      <c r="N476" s="283"/>
      <c r="O476" s="283"/>
      <c r="P476" s="283"/>
      <c r="Q476" s="283"/>
      <c r="R476" s="283"/>
      <c r="S476" s="283"/>
      <c r="T476" s="283"/>
    </row>
    <row r="477">
      <c r="A477" s="300"/>
      <c r="B477" s="282"/>
      <c r="C477" s="283"/>
      <c r="D477" s="282"/>
      <c r="E477" s="283"/>
      <c r="F477" s="283"/>
      <c r="G477" s="284"/>
      <c r="H477" s="284"/>
      <c r="I477" s="283"/>
      <c r="J477" s="283"/>
      <c r="K477" s="283"/>
      <c r="L477" s="283"/>
      <c r="M477" s="283"/>
      <c r="N477" s="283"/>
      <c r="O477" s="283"/>
      <c r="P477" s="283"/>
      <c r="Q477" s="283"/>
      <c r="R477" s="283"/>
      <c r="S477" s="283"/>
      <c r="T477" s="283"/>
    </row>
    <row r="478">
      <c r="A478" s="300"/>
      <c r="B478" s="282"/>
      <c r="C478" s="283"/>
      <c r="D478" s="282"/>
      <c r="E478" s="283"/>
      <c r="F478" s="283"/>
      <c r="G478" s="284"/>
      <c r="H478" s="284"/>
      <c r="I478" s="283"/>
      <c r="J478" s="283"/>
      <c r="K478" s="283"/>
      <c r="L478" s="283"/>
      <c r="M478" s="283"/>
      <c r="N478" s="283"/>
      <c r="O478" s="283"/>
      <c r="P478" s="283"/>
      <c r="Q478" s="283"/>
      <c r="R478" s="283"/>
      <c r="S478" s="283"/>
      <c r="T478" s="283"/>
    </row>
    <row r="479">
      <c r="A479" s="300"/>
      <c r="B479" s="282"/>
      <c r="C479" s="283"/>
      <c r="D479" s="282"/>
      <c r="E479" s="283"/>
      <c r="F479" s="283"/>
      <c r="G479" s="284"/>
      <c r="H479" s="284"/>
      <c r="I479" s="283"/>
      <c r="J479" s="283"/>
      <c r="K479" s="283"/>
      <c r="L479" s="283"/>
      <c r="M479" s="283"/>
      <c r="N479" s="283"/>
      <c r="O479" s="283"/>
      <c r="P479" s="283"/>
      <c r="Q479" s="283"/>
      <c r="R479" s="283"/>
      <c r="S479" s="283"/>
      <c r="T479" s="283"/>
    </row>
    <row r="480">
      <c r="A480" s="300"/>
      <c r="B480" s="282"/>
      <c r="C480" s="283"/>
      <c r="D480" s="282"/>
      <c r="E480" s="283"/>
      <c r="F480" s="283"/>
      <c r="G480" s="284"/>
      <c r="H480" s="284"/>
      <c r="I480" s="283"/>
      <c r="J480" s="283"/>
      <c r="K480" s="283"/>
      <c r="L480" s="283"/>
      <c r="M480" s="283"/>
      <c r="N480" s="283"/>
      <c r="O480" s="283"/>
      <c r="P480" s="283"/>
      <c r="Q480" s="283"/>
      <c r="R480" s="283"/>
      <c r="S480" s="283"/>
      <c r="T480" s="283"/>
    </row>
    <row r="481">
      <c r="A481" s="300"/>
      <c r="B481" s="282"/>
      <c r="C481" s="283"/>
      <c r="D481" s="282"/>
      <c r="E481" s="283"/>
      <c r="F481" s="283"/>
      <c r="G481" s="284"/>
      <c r="H481" s="284"/>
      <c r="I481" s="283"/>
      <c r="J481" s="283"/>
      <c r="K481" s="283"/>
      <c r="L481" s="283"/>
      <c r="M481" s="283"/>
      <c r="N481" s="283"/>
      <c r="O481" s="283"/>
      <c r="P481" s="283"/>
      <c r="Q481" s="283"/>
      <c r="R481" s="283"/>
      <c r="S481" s="283"/>
      <c r="T481" s="283"/>
    </row>
    <row r="482">
      <c r="A482" s="300"/>
      <c r="B482" s="282"/>
      <c r="C482" s="283"/>
      <c r="D482" s="282"/>
      <c r="E482" s="283"/>
      <c r="F482" s="283"/>
      <c r="G482" s="284"/>
      <c r="H482" s="284"/>
      <c r="I482" s="283"/>
      <c r="J482" s="283"/>
      <c r="K482" s="283"/>
      <c r="L482" s="283"/>
      <c r="M482" s="283"/>
      <c r="N482" s="283"/>
      <c r="O482" s="283"/>
      <c r="P482" s="283"/>
      <c r="Q482" s="283"/>
      <c r="R482" s="283"/>
      <c r="S482" s="283"/>
      <c r="T482" s="283"/>
    </row>
    <row r="483">
      <c r="A483" s="300"/>
      <c r="B483" s="282"/>
      <c r="C483" s="283"/>
      <c r="D483" s="282"/>
      <c r="E483" s="283"/>
      <c r="F483" s="283"/>
      <c r="G483" s="284"/>
      <c r="H483" s="284"/>
      <c r="I483" s="283"/>
      <c r="J483" s="283"/>
      <c r="K483" s="283"/>
      <c r="L483" s="283"/>
      <c r="M483" s="283"/>
      <c r="N483" s="283"/>
      <c r="O483" s="283"/>
      <c r="P483" s="283"/>
      <c r="Q483" s="283"/>
      <c r="R483" s="283"/>
      <c r="S483" s="283"/>
      <c r="T483" s="283"/>
    </row>
    <row r="484">
      <c r="A484" s="300"/>
      <c r="B484" s="282"/>
      <c r="C484" s="283"/>
      <c r="D484" s="282"/>
      <c r="E484" s="283"/>
      <c r="F484" s="283"/>
      <c r="G484" s="284"/>
      <c r="H484" s="284"/>
      <c r="I484" s="283"/>
      <c r="J484" s="283"/>
      <c r="K484" s="283"/>
      <c r="L484" s="283"/>
      <c r="M484" s="283"/>
      <c r="N484" s="283"/>
      <c r="O484" s="283"/>
      <c r="P484" s="283"/>
      <c r="Q484" s="283"/>
      <c r="R484" s="283"/>
      <c r="S484" s="283"/>
      <c r="T484" s="283"/>
    </row>
    <row r="485">
      <c r="A485" s="300"/>
      <c r="B485" s="282"/>
      <c r="C485" s="283"/>
      <c r="D485" s="282"/>
      <c r="E485" s="283"/>
      <c r="F485" s="283"/>
      <c r="G485" s="284"/>
      <c r="H485" s="284"/>
      <c r="I485" s="283"/>
      <c r="J485" s="283"/>
      <c r="K485" s="283"/>
      <c r="L485" s="283"/>
      <c r="M485" s="283"/>
      <c r="N485" s="283"/>
      <c r="O485" s="283"/>
      <c r="P485" s="283"/>
      <c r="Q485" s="283"/>
      <c r="R485" s="283"/>
      <c r="S485" s="283"/>
      <c r="T485" s="283"/>
    </row>
    <row r="486">
      <c r="A486" s="300"/>
      <c r="B486" s="282"/>
      <c r="C486" s="283"/>
      <c r="D486" s="282"/>
      <c r="E486" s="283"/>
      <c r="F486" s="283"/>
      <c r="G486" s="284"/>
      <c r="H486" s="284"/>
      <c r="I486" s="283"/>
      <c r="J486" s="283"/>
      <c r="K486" s="283"/>
      <c r="L486" s="283"/>
      <c r="M486" s="283"/>
      <c r="N486" s="283"/>
      <c r="O486" s="283"/>
      <c r="P486" s="283"/>
      <c r="Q486" s="283"/>
      <c r="R486" s="283"/>
      <c r="S486" s="283"/>
      <c r="T486" s="283"/>
    </row>
    <row r="487">
      <c r="A487" s="300"/>
      <c r="B487" s="282"/>
      <c r="C487" s="283"/>
      <c r="D487" s="282"/>
      <c r="E487" s="283"/>
      <c r="F487" s="283"/>
      <c r="G487" s="284"/>
      <c r="H487" s="284"/>
      <c r="I487" s="283"/>
      <c r="J487" s="283"/>
      <c r="K487" s="283"/>
      <c r="L487" s="283"/>
      <c r="M487" s="283"/>
      <c r="N487" s="283"/>
      <c r="O487" s="283"/>
      <c r="P487" s="283"/>
      <c r="Q487" s="283"/>
      <c r="R487" s="283"/>
      <c r="S487" s="283"/>
      <c r="T487" s="283"/>
    </row>
    <row r="488">
      <c r="A488" s="300"/>
      <c r="B488" s="282"/>
      <c r="C488" s="283"/>
      <c r="D488" s="282"/>
      <c r="E488" s="283"/>
      <c r="F488" s="283"/>
      <c r="G488" s="284"/>
      <c r="H488" s="284"/>
      <c r="I488" s="283"/>
      <c r="J488" s="283"/>
      <c r="K488" s="283"/>
      <c r="L488" s="283"/>
      <c r="M488" s="283"/>
      <c r="N488" s="283"/>
      <c r="O488" s="283"/>
      <c r="P488" s="283"/>
      <c r="Q488" s="283"/>
      <c r="R488" s="283"/>
      <c r="S488" s="283"/>
      <c r="T488" s="283"/>
    </row>
    <row r="489">
      <c r="A489" s="300"/>
      <c r="B489" s="282"/>
      <c r="C489" s="283"/>
      <c r="D489" s="282"/>
      <c r="E489" s="283"/>
      <c r="F489" s="283"/>
      <c r="G489" s="284"/>
      <c r="H489" s="284"/>
      <c r="I489" s="283"/>
      <c r="J489" s="283"/>
      <c r="K489" s="283"/>
      <c r="L489" s="283"/>
      <c r="M489" s="283"/>
      <c r="N489" s="283"/>
      <c r="O489" s="283"/>
      <c r="P489" s="283"/>
      <c r="Q489" s="283"/>
      <c r="R489" s="283"/>
      <c r="S489" s="283"/>
      <c r="T489" s="283"/>
    </row>
    <row r="490">
      <c r="A490" s="300"/>
      <c r="B490" s="282"/>
      <c r="C490" s="283"/>
      <c r="D490" s="282"/>
      <c r="E490" s="283"/>
      <c r="F490" s="283"/>
      <c r="G490" s="284"/>
      <c r="H490" s="284"/>
      <c r="I490" s="283"/>
      <c r="J490" s="283"/>
      <c r="K490" s="283"/>
      <c r="L490" s="283"/>
      <c r="M490" s="283"/>
      <c r="N490" s="283"/>
      <c r="O490" s="283"/>
      <c r="P490" s="283"/>
      <c r="Q490" s="283"/>
      <c r="R490" s="283"/>
      <c r="S490" s="283"/>
      <c r="T490" s="283"/>
    </row>
    <row r="491">
      <c r="A491" s="300"/>
      <c r="B491" s="282"/>
      <c r="C491" s="283"/>
      <c r="D491" s="282"/>
      <c r="E491" s="283"/>
      <c r="F491" s="283"/>
      <c r="G491" s="284"/>
      <c r="H491" s="284"/>
      <c r="I491" s="283"/>
      <c r="J491" s="283"/>
      <c r="K491" s="283"/>
      <c r="L491" s="283"/>
      <c r="M491" s="283"/>
      <c r="N491" s="283"/>
      <c r="O491" s="283"/>
      <c r="P491" s="283"/>
      <c r="Q491" s="283"/>
      <c r="R491" s="283"/>
      <c r="S491" s="283"/>
      <c r="T491" s="283"/>
    </row>
    <row r="492">
      <c r="A492" s="300"/>
      <c r="B492" s="282"/>
      <c r="C492" s="283"/>
      <c r="D492" s="282"/>
      <c r="E492" s="283"/>
      <c r="F492" s="283"/>
      <c r="G492" s="284"/>
      <c r="H492" s="284"/>
      <c r="I492" s="283"/>
      <c r="J492" s="283"/>
      <c r="K492" s="283"/>
      <c r="L492" s="283"/>
      <c r="M492" s="283"/>
      <c r="N492" s="283"/>
      <c r="O492" s="283"/>
      <c r="P492" s="283"/>
      <c r="Q492" s="283"/>
      <c r="R492" s="283"/>
      <c r="S492" s="283"/>
      <c r="T492" s="283"/>
    </row>
    <row r="493">
      <c r="A493" s="300"/>
      <c r="B493" s="282"/>
      <c r="C493" s="283"/>
      <c r="D493" s="282"/>
      <c r="E493" s="283"/>
      <c r="F493" s="283"/>
      <c r="G493" s="284"/>
      <c r="H493" s="284"/>
      <c r="I493" s="283"/>
      <c r="J493" s="283"/>
      <c r="K493" s="283"/>
      <c r="L493" s="283"/>
      <c r="M493" s="283"/>
      <c r="N493" s="283"/>
      <c r="O493" s="283"/>
      <c r="P493" s="283"/>
      <c r="Q493" s="283"/>
      <c r="R493" s="283"/>
      <c r="S493" s="283"/>
      <c r="T493" s="283"/>
    </row>
    <row r="494">
      <c r="A494" s="300"/>
      <c r="B494" s="282"/>
      <c r="C494" s="283"/>
      <c r="D494" s="282"/>
      <c r="E494" s="283"/>
      <c r="F494" s="283"/>
      <c r="G494" s="284"/>
      <c r="H494" s="284"/>
      <c r="I494" s="283"/>
      <c r="J494" s="283"/>
      <c r="K494" s="283"/>
      <c r="L494" s="283"/>
      <c r="M494" s="283"/>
      <c r="N494" s="283"/>
      <c r="O494" s="283"/>
      <c r="P494" s="283"/>
      <c r="Q494" s="283"/>
      <c r="R494" s="283"/>
      <c r="S494" s="283"/>
      <c r="T494" s="283"/>
    </row>
    <row r="495">
      <c r="A495" s="300"/>
      <c r="B495" s="282"/>
      <c r="C495" s="283"/>
      <c r="D495" s="282"/>
      <c r="E495" s="283"/>
      <c r="F495" s="283"/>
      <c r="G495" s="284"/>
      <c r="H495" s="284"/>
      <c r="I495" s="283"/>
      <c r="J495" s="283"/>
      <c r="K495" s="283"/>
      <c r="L495" s="283"/>
      <c r="M495" s="283"/>
      <c r="N495" s="283"/>
      <c r="O495" s="283"/>
      <c r="P495" s="283"/>
      <c r="Q495" s="283"/>
      <c r="R495" s="283"/>
      <c r="S495" s="283"/>
      <c r="T495" s="283"/>
    </row>
    <row r="496">
      <c r="A496" s="300"/>
      <c r="B496" s="282"/>
      <c r="C496" s="283"/>
      <c r="D496" s="282"/>
      <c r="E496" s="283"/>
      <c r="F496" s="283"/>
      <c r="G496" s="284"/>
      <c r="H496" s="284"/>
      <c r="I496" s="283"/>
      <c r="J496" s="283"/>
      <c r="K496" s="283"/>
      <c r="L496" s="283"/>
      <c r="M496" s="283"/>
      <c r="N496" s="283"/>
      <c r="O496" s="283"/>
      <c r="P496" s="283"/>
      <c r="Q496" s="283"/>
      <c r="R496" s="283"/>
      <c r="S496" s="283"/>
      <c r="T496" s="283"/>
    </row>
    <row r="497">
      <c r="A497" s="300"/>
      <c r="B497" s="282"/>
      <c r="C497" s="283"/>
      <c r="D497" s="282"/>
      <c r="E497" s="283"/>
      <c r="F497" s="283"/>
      <c r="G497" s="284"/>
      <c r="H497" s="284"/>
      <c r="I497" s="283"/>
      <c r="J497" s="283"/>
      <c r="K497" s="283"/>
      <c r="L497" s="283"/>
      <c r="M497" s="283"/>
      <c r="N497" s="283"/>
      <c r="O497" s="283"/>
      <c r="P497" s="283"/>
      <c r="Q497" s="283"/>
      <c r="R497" s="283"/>
      <c r="S497" s="283"/>
      <c r="T497" s="283"/>
    </row>
    <row r="498">
      <c r="A498" s="300"/>
      <c r="B498" s="282"/>
      <c r="C498" s="283"/>
      <c r="D498" s="282"/>
      <c r="E498" s="283"/>
      <c r="F498" s="283"/>
      <c r="G498" s="284"/>
      <c r="H498" s="284"/>
      <c r="I498" s="283"/>
      <c r="J498" s="283"/>
      <c r="K498" s="283"/>
      <c r="L498" s="283"/>
      <c r="M498" s="283"/>
      <c r="N498" s="283"/>
      <c r="O498" s="283"/>
      <c r="P498" s="283"/>
      <c r="Q498" s="283"/>
      <c r="R498" s="283"/>
      <c r="S498" s="283"/>
      <c r="T498" s="283"/>
    </row>
    <row r="499">
      <c r="A499" s="300"/>
      <c r="B499" s="282"/>
      <c r="C499" s="283"/>
      <c r="D499" s="282"/>
      <c r="E499" s="283"/>
      <c r="F499" s="283"/>
      <c r="G499" s="284"/>
      <c r="H499" s="284"/>
      <c r="I499" s="283"/>
      <c r="J499" s="283"/>
      <c r="K499" s="283"/>
      <c r="L499" s="283"/>
      <c r="M499" s="283"/>
      <c r="N499" s="283"/>
      <c r="O499" s="283"/>
      <c r="P499" s="283"/>
      <c r="Q499" s="283"/>
      <c r="R499" s="283"/>
      <c r="S499" s="283"/>
      <c r="T499" s="283"/>
    </row>
    <row r="500">
      <c r="A500" s="300"/>
      <c r="B500" s="282"/>
      <c r="C500" s="283"/>
      <c r="D500" s="282"/>
      <c r="E500" s="283"/>
      <c r="F500" s="283"/>
      <c r="G500" s="284"/>
      <c r="H500" s="284"/>
      <c r="I500" s="283"/>
      <c r="J500" s="283"/>
      <c r="K500" s="283"/>
      <c r="L500" s="283"/>
      <c r="M500" s="283"/>
      <c r="N500" s="283"/>
      <c r="O500" s="283"/>
      <c r="P500" s="283"/>
      <c r="Q500" s="283"/>
      <c r="R500" s="283"/>
      <c r="S500" s="283"/>
      <c r="T500" s="283"/>
    </row>
    <row r="501">
      <c r="A501" s="300"/>
      <c r="B501" s="282"/>
      <c r="C501" s="283"/>
      <c r="D501" s="282"/>
      <c r="E501" s="283"/>
      <c r="F501" s="283"/>
      <c r="G501" s="284"/>
      <c r="H501" s="284"/>
      <c r="I501" s="283"/>
      <c r="J501" s="283"/>
      <c r="K501" s="283"/>
      <c r="L501" s="283"/>
      <c r="M501" s="283"/>
      <c r="N501" s="283"/>
      <c r="O501" s="283"/>
      <c r="P501" s="283"/>
      <c r="Q501" s="283"/>
      <c r="R501" s="283"/>
      <c r="S501" s="283"/>
      <c r="T501" s="283"/>
    </row>
    <row r="502">
      <c r="A502" s="300"/>
      <c r="B502" s="282"/>
      <c r="C502" s="283"/>
      <c r="D502" s="282"/>
      <c r="E502" s="283"/>
      <c r="F502" s="283"/>
      <c r="G502" s="284"/>
      <c r="H502" s="284"/>
      <c r="I502" s="283"/>
      <c r="J502" s="283"/>
      <c r="K502" s="283"/>
      <c r="L502" s="283"/>
      <c r="M502" s="283"/>
      <c r="N502" s="283"/>
      <c r="O502" s="283"/>
      <c r="P502" s="283"/>
      <c r="Q502" s="283"/>
      <c r="R502" s="283"/>
      <c r="S502" s="283"/>
      <c r="T502" s="283"/>
    </row>
    <row r="503">
      <c r="A503" s="300"/>
      <c r="B503" s="282"/>
      <c r="C503" s="283"/>
      <c r="D503" s="282"/>
      <c r="E503" s="283"/>
      <c r="F503" s="283"/>
      <c r="G503" s="284"/>
      <c r="H503" s="284"/>
      <c r="I503" s="283"/>
      <c r="J503" s="283"/>
      <c r="K503" s="283"/>
      <c r="L503" s="283"/>
      <c r="M503" s="283"/>
      <c r="N503" s="283"/>
      <c r="O503" s="283"/>
      <c r="P503" s="283"/>
      <c r="Q503" s="283"/>
      <c r="R503" s="283"/>
      <c r="S503" s="283"/>
      <c r="T503" s="283"/>
    </row>
    <row r="504">
      <c r="A504" s="300"/>
      <c r="B504" s="282"/>
      <c r="C504" s="283"/>
      <c r="D504" s="282"/>
      <c r="E504" s="283"/>
      <c r="F504" s="283"/>
      <c r="G504" s="284"/>
      <c r="H504" s="284"/>
      <c r="I504" s="283"/>
      <c r="J504" s="283"/>
      <c r="K504" s="283"/>
      <c r="L504" s="283"/>
      <c r="M504" s="283"/>
      <c r="N504" s="283"/>
      <c r="O504" s="283"/>
      <c r="P504" s="283"/>
      <c r="Q504" s="283"/>
      <c r="R504" s="283"/>
      <c r="S504" s="283"/>
      <c r="T504" s="283"/>
    </row>
    <row r="505">
      <c r="A505" s="300"/>
      <c r="B505" s="282"/>
      <c r="C505" s="283"/>
      <c r="D505" s="282"/>
      <c r="E505" s="283"/>
      <c r="F505" s="283"/>
      <c r="G505" s="284"/>
      <c r="H505" s="284"/>
      <c r="I505" s="283"/>
      <c r="J505" s="283"/>
      <c r="K505" s="283"/>
      <c r="L505" s="283"/>
      <c r="M505" s="283"/>
      <c r="N505" s="283"/>
      <c r="O505" s="283"/>
      <c r="P505" s="283"/>
      <c r="Q505" s="283"/>
      <c r="R505" s="283"/>
      <c r="S505" s="283"/>
      <c r="T505" s="283"/>
    </row>
    <row r="506">
      <c r="A506" s="300"/>
      <c r="B506" s="282"/>
      <c r="C506" s="283"/>
      <c r="D506" s="282"/>
      <c r="E506" s="283"/>
      <c r="F506" s="283"/>
      <c r="G506" s="284"/>
      <c r="H506" s="284"/>
      <c r="I506" s="283"/>
      <c r="J506" s="283"/>
      <c r="K506" s="283"/>
      <c r="L506" s="283"/>
      <c r="M506" s="283"/>
      <c r="N506" s="283"/>
      <c r="O506" s="283"/>
      <c r="P506" s="283"/>
      <c r="Q506" s="283"/>
      <c r="R506" s="283"/>
      <c r="S506" s="283"/>
      <c r="T506" s="283"/>
    </row>
    <row r="507">
      <c r="A507" s="300"/>
      <c r="B507" s="282"/>
      <c r="C507" s="283"/>
      <c r="D507" s="282"/>
      <c r="E507" s="283"/>
      <c r="F507" s="283"/>
      <c r="G507" s="284"/>
      <c r="H507" s="284"/>
      <c r="I507" s="283"/>
      <c r="J507" s="283"/>
      <c r="K507" s="283"/>
      <c r="L507" s="283"/>
      <c r="M507" s="283"/>
      <c r="N507" s="283"/>
      <c r="O507" s="283"/>
      <c r="P507" s="283"/>
      <c r="Q507" s="283"/>
      <c r="R507" s="283"/>
      <c r="S507" s="283"/>
      <c r="T507" s="283"/>
    </row>
    <row r="508">
      <c r="A508" s="300"/>
      <c r="B508" s="282"/>
      <c r="C508" s="283"/>
      <c r="D508" s="282"/>
      <c r="E508" s="283"/>
      <c r="F508" s="283"/>
      <c r="G508" s="284"/>
      <c r="H508" s="284"/>
      <c r="I508" s="283"/>
      <c r="J508" s="283"/>
      <c r="K508" s="283"/>
      <c r="L508" s="283"/>
      <c r="M508" s="283"/>
      <c r="N508" s="283"/>
      <c r="O508" s="283"/>
      <c r="P508" s="283"/>
      <c r="Q508" s="283"/>
      <c r="R508" s="283"/>
      <c r="S508" s="283"/>
      <c r="T508" s="283"/>
    </row>
    <row r="509">
      <c r="A509" s="300"/>
      <c r="B509" s="282"/>
      <c r="C509" s="283"/>
      <c r="D509" s="282"/>
      <c r="E509" s="283"/>
      <c r="F509" s="283"/>
      <c r="G509" s="284"/>
      <c r="H509" s="284"/>
      <c r="I509" s="283"/>
      <c r="J509" s="283"/>
      <c r="K509" s="283"/>
      <c r="L509" s="283"/>
      <c r="M509" s="283"/>
      <c r="N509" s="283"/>
      <c r="O509" s="283"/>
      <c r="P509" s="283"/>
      <c r="Q509" s="283"/>
      <c r="R509" s="283"/>
      <c r="S509" s="283"/>
      <c r="T509" s="283"/>
    </row>
    <row r="510">
      <c r="A510" s="300"/>
      <c r="B510" s="282"/>
      <c r="C510" s="283"/>
      <c r="D510" s="282"/>
      <c r="E510" s="283"/>
      <c r="F510" s="283"/>
      <c r="G510" s="284"/>
      <c r="H510" s="284"/>
      <c r="I510" s="283"/>
      <c r="J510" s="283"/>
      <c r="K510" s="283"/>
      <c r="L510" s="283"/>
      <c r="M510" s="283"/>
      <c r="N510" s="283"/>
      <c r="O510" s="283"/>
      <c r="P510" s="283"/>
      <c r="Q510" s="283"/>
      <c r="R510" s="283"/>
      <c r="S510" s="283"/>
      <c r="T510" s="283"/>
    </row>
    <row r="511">
      <c r="A511" s="300"/>
      <c r="B511" s="282"/>
      <c r="C511" s="283"/>
      <c r="D511" s="282"/>
      <c r="E511" s="283"/>
      <c r="F511" s="283"/>
      <c r="G511" s="284"/>
      <c r="H511" s="284"/>
      <c r="I511" s="283"/>
      <c r="J511" s="283"/>
      <c r="K511" s="283"/>
      <c r="L511" s="283"/>
      <c r="M511" s="283"/>
      <c r="N511" s="283"/>
      <c r="O511" s="283"/>
      <c r="P511" s="283"/>
      <c r="Q511" s="283"/>
      <c r="R511" s="283"/>
      <c r="S511" s="283"/>
      <c r="T511" s="283"/>
    </row>
    <row r="512">
      <c r="A512" s="300"/>
      <c r="B512" s="282"/>
      <c r="C512" s="283"/>
      <c r="D512" s="282"/>
      <c r="E512" s="283"/>
      <c r="F512" s="283"/>
      <c r="G512" s="284"/>
      <c r="H512" s="284"/>
      <c r="I512" s="283"/>
      <c r="J512" s="283"/>
      <c r="K512" s="283"/>
      <c r="L512" s="283"/>
      <c r="M512" s="283"/>
      <c r="N512" s="283"/>
      <c r="O512" s="283"/>
      <c r="P512" s="283"/>
      <c r="Q512" s="283"/>
      <c r="R512" s="283"/>
      <c r="S512" s="283"/>
      <c r="T512" s="283"/>
    </row>
    <row r="513">
      <c r="A513" s="300"/>
      <c r="B513" s="282"/>
      <c r="C513" s="283"/>
      <c r="D513" s="282"/>
      <c r="E513" s="283"/>
      <c r="F513" s="283"/>
      <c r="G513" s="284"/>
      <c r="H513" s="284"/>
      <c r="I513" s="283"/>
      <c r="J513" s="283"/>
      <c r="K513" s="283"/>
      <c r="L513" s="283"/>
      <c r="M513" s="283"/>
      <c r="N513" s="283"/>
      <c r="O513" s="283"/>
      <c r="P513" s="283"/>
      <c r="Q513" s="283"/>
      <c r="R513" s="283"/>
      <c r="S513" s="283"/>
      <c r="T513" s="283"/>
    </row>
    <row r="514">
      <c r="A514" s="300"/>
      <c r="B514" s="282"/>
      <c r="C514" s="283"/>
      <c r="D514" s="282"/>
      <c r="E514" s="283"/>
      <c r="F514" s="283"/>
      <c r="G514" s="284"/>
      <c r="H514" s="284"/>
      <c r="I514" s="283"/>
      <c r="J514" s="283"/>
      <c r="K514" s="283"/>
      <c r="L514" s="283"/>
      <c r="M514" s="283"/>
      <c r="N514" s="283"/>
      <c r="O514" s="283"/>
      <c r="P514" s="283"/>
      <c r="Q514" s="283"/>
      <c r="R514" s="283"/>
      <c r="S514" s="283"/>
      <c r="T514" s="283"/>
    </row>
    <row r="515">
      <c r="A515" s="300"/>
      <c r="B515" s="282"/>
      <c r="C515" s="283"/>
      <c r="D515" s="282"/>
      <c r="E515" s="283"/>
      <c r="F515" s="283"/>
      <c r="G515" s="284"/>
      <c r="H515" s="284"/>
      <c r="I515" s="283"/>
      <c r="J515" s="283"/>
      <c r="K515" s="283"/>
      <c r="L515" s="283"/>
      <c r="M515" s="283"/>
      <c r="N515" s="283"/>
      <c r="O515" s="283"/>
      <c r="P515" s="283"/>
      <c r="Q515" s="283"/>
      <c r="R515" s="283"/>
      <c r="S515" s="283"/>
      <c r="T515" s="283"/>
    </row>
    <row r="516">
      <c r="A516" s="300"/>
      <c r="B516" s="282"/>
      <c r="C516" s="283"/>
      <c r="D516" s="282"/>
      <c r="E516" s="283"/>
      <c r="F516" s="283"/>
      <c r="G516" s="284"/>
      <c r="H516" s="284"/>
      <c r="I516" s="283"/>
      <c r="J516" s="283"/>
      <c r="K516" s="283"/>
      <c r="L516" s="283"/>
      <c r="M516" s="283"/>
      <c r="N516" s="283"/>
      <c r="O516" s="283"/>
      <c r="P516" s="283"/>
      <c r="Q516" s="283"/>
      <c r="R516" s="283"/>
      <c r="S516" s="283"/>
      <c r="T516" s="283"/>
    </row>
    <row r="517">
      <c r="A517" s="300"/>
      <c r="B517" s="282"/>
      <c r="C517" s="283"/>
      <c r="D517" s="282"/>
      <c r="E517" s="283"/>
      <c r="F517" s="283"/>
      <c r="G517" s="284"/>
      <c r="H517" s="284"/>
      <c r="I517" s="283"/>
      <c r="J517" s="283"/>
      <c r="K517" s="283"/>
      <c r="L517" s="283"/>
      <c r="M517" s="283"/>
      <c r="N517" s="283"/>
      <c r="O517" s="283"/>
      <c r="P517" s="283"/>
      <c r="Q517" s="283"/>
      <c r="R517" s="283"/>
      <c r="S517" s="283"/>
      <c r="T517" s="283"/>
    </row>
    <row r="518">
      <c r="A518" s="300"/>
      <c r="B518" s="282"/>
      <c r="C518" s="283"/>
      <c r="D518" s="282"/>
      <c r="E518" s="283"/>
      <c r="F518" s="283"/>
      <c r="G518" s="284"/>
      <c r="H518" s="284"/>
      <c r="I518" s="283"/>
      <c r="J518" s="283"/>
      <c r="K518" s="283"/>
      <c r="L518" s="283"/>
      <c r="M518" s="283"/>
      <c r="N518" s="283"/>
      <c r="O518" s="283"/>
      <c r="P518" s="283"/>
      <c r="Q518" s="283"/>
      <c r="R518" s="283"/>
      <c r="S518" s="283"/>
      <c r="T518" s="283"/>
    </row>
    <row r="519">
      <c r="A519" s="300"/>
      <c r="B519" s="282"/>
      <c r="C519" s="283"/>
      <c r="D519" s="282"/>
      <c r="E519" s="283"/>
      <c r="F519" s="283"/>
      <c r="G519" s="284"/>
      <c r="H519" s="284"/>
      <c r="I519" s="283"/>
      <c r="J519" s="283"/>
      <c r="K519" s="283"/>
      <c r="L519" s="283"/>
      <c r="M519" s="283"/>
      <c r="N519" s="283"/>
      <c r="O519" s="283"/>
      <c r="P519" s="283"/>
      <c r="Q519" s="283"/>
      <c r="R519" s="283"/>
      <c r="S519" s="283"/>
      <c r="T519" s="283"/>
    </row>
    <row r="520">
      <c r="A520" s="300"/>
      <c r="B520" s="282"/>
      <c r="C520" s="283"/>
      <c r="D520" s="282"/>
      <c r="E520" s="283"/>
      <c r="F520" s="283"/>
      <c r="G520" s="284"/>
      <c r="H520" s="284"/>
      <c r="I520" s="283"/>
      <c r="J520" s="283"/>
      <c r="K520" s="283"/>
      <c r="L520" s="283"/>
      <c r="M520" s="283"/>
      <c r="N520" s="283"/>
      <c r="O520" s="283"/>
      <c r="P520" s="283"/>
      <c r="Q520" s="283"/>
      <c r="R520" s="283"/>
      <c r="S520" s="283"/>
      <c r="T520" s="283"/>
    </row>
    <row r="521">
      <c r="A521" s="300"/>
      <c r="B521" s="282"/>
      <c r="C521" s="283"/>
      <c r="D521" s="282"/>
      <c r="E521" s="283"/>
      <c r="F521" s="283"/>
      <c r="G521" s="284"/>
      <c r="H521" s="284"/>
      <c r="I521" s="283"/>
      <c r="J521" s="283"/>
      <c r="K521" s="283"/>
      <c r="L521" s="283"/>
      <c r="M521" s="283"/>
      <c r="N521" s="283"/>
      <c r="O521" s="283"/>
      <c r="P521" s="283"/>
      <c r="Q521" s="283"/>
      <c r="R521" s="283"/>
      <c r="S521" s="283"/>
      <c r="T521" s="283"/>
    </row>
    <row r="522">
      <c r="A522" s="300"/>
      <c r="B522" s="282"/>
      <c r="C522" s="283"/>
      <c r="D522" s="282"/>
      <c r="E522" s="283"/>
      <c r="F522" s="283"/>
      <c r="G522" s="284"/>
      <c r="H522" s="284"/>
      <c r="I522" s="283"/>
      <c r="J522" s="283"/>
      <c r="K522" s="283"/>
      <c r="L522" s="283"/>
      <c r="M522" s="283"/>
      <c r="N522" s="283"/>
      <c r="O522" s="283"/>
      <c r="P522" s="283"/>
      <c r="Q522" s="283"/>
      <c r="R522" s="283"/>
      <c r="S522" s="283"/>
      <c r="T522" s="283"/>
    </row>
    <row r="523">
      <c r="A523" s="300"/>
      <c r="B523" s="282"/>
      <c r="C523" s="283"/>
      <c r="D523" s="282"/>
      <c r="E523" s="283"/>
      <c r="F523" s="283"/>
      <c r="G523" s="284"/>
      <c r="H523" s="284"/>
      <c r="I523" s="283"/>
      <c r="J523" s="283"/>
      <c r="K523" s="283"/>
      <c r="L523" s="283"/>
      <c r="M523" s="283"/>
      <c r="N523" s="283"/>
      <c r="O523" s="283"/>
      <c r="P523" s="283"/>
      <c r="Q523" s="283"/>
      <c r="R523" s="283"/>
      <c r="S523" s="283"/>
      <c r="T523" s="283"/>
    </row>
    <row r="524">
      <c r="A524" s="300"/>
      <c r="B524" s="282"/>
      <c r="C524" s="283"/>
      <c r="D524" s="282"/>
      <c r="E524" s="283"/>
      <c r="F524" s="283"/>
      <c r="G524" s="284"/>
      <c r="H524" s="284"/>
      <c r="I524" s="283"/>
      <c r="J524" s="283"/>
      <c r="K524" s="283"/>
      <c r="L524" s="283"/>
      <c r="M524" s="283"/>
      <c r="N524" s="283"/>
      <c r="O524" s="283"/>
      <c r="P524" s="283"/>
      <c r="Q524" s="283"/>
      <c r="R524" s="283"/>
      <c r="S524" s="283"/>
      <c r="T524" s="283"/>
    </row>
    <row r="525">
      <c r="A525" s="300"/>
      <c r="B525" s="282"/>
      <c r="C525" s="283"/>
      <c r="D525" s="282"/>
      <c r="E525" s="283"/>
      <c r="F525" s="283"/>
      <c r="G525" s="284"/>
      <c r="H525" s="284"/>
      <c r="I525" s="283"/>
      <c r="J525" s="283"/>
      <c r="K525" s="283"/>
      <c r="L525" s="283"/>
      <c r="M525" s="283"/>
      <c r="N525" s="283"/>
      <c r="O525" s="283"/>
      <c r="P525" s="283"/>
      <c r="Q525" s="283"/>
      <c r="R525" s="283"/>
      <c r="S525" s="283"/>
      <c r="T525" s="283"/>
    </row>
    <row r="526">
      <c r="A526" s="300"/>
      <c r="B526" s="282"/>
      <c r="C526" s="283"/>
      <c r="D526" s="282"/>
      <c r="E526" s="283"/>
      <c r="F526" s="283"/>
      <c r="G526" s="284"/>
      <c r="H526" s="284"/>
      <c r="I526" s="283"/>
      <c r="J526" s="283"/>
      <c r="K526" s="283"/>
      <c r="L526" s="283"/>
      <c r="M526" s="283"/>
      <c r="N526" s="283"/>
      <c r="O526" s="283"/>
      <c r="P526" s="283"/>
      <c r="Q526" s="283"/>
      <c r="R526" s="283"/>
      <c r="S526" s="283"/>
      <c r="T526" s="283"/>
    </row>
    <row r="527">
      <c r="A527" s="300"/>
      <c r="B527" s="282"/>
      <c r="C527" s="283"/>
      <c r="D527" s="282"/>
      <c r="E527" s="283"/>
      <c r="F527" s="283"/>
      <c r="G527" s="284"/>
      <c r="H527" s="284"/>
      <c r="I527" s="283"/>
      <c r="J527" s="283"/>
      <c r="K527" s="283"/>
      <c r="L527" s="283"/>
      <c r="M527" s="283"/>
      <c r="N527" s="283"/>
      <c r="O527" s="283"/>
      <c r="P527" s="283"/>
      <c r="Q527" s="283"/>
      <c r="R527" s="283"/>
      <c r="S527" s="283"/>
      <c r="T527" s="283"/>
    </row>
    <row r="528">
      <c r="A528" s="300"/>
      <c r="B528" s="282"/>
      <c r="C528" s="283"/>
      <c r="D528" s="282"/>
      <c r="E528" s="283"/>
      <c r="F528" s="283"/>
      <c r="G528" s="284"/>
      <c r="H528" s="284"/>
      <c r="I528" s="283"/>
      <c r="J528" s="283"/>
      <c r="K528" s="283"/>
      <c r="L528" s="283"/>
      <c r="M528" s="283"/>
      <c r="N528" s="283"/>
      <c r="O528" s="283"/>
      <c r="P528" s="283"/>
      <c r="Q528" s="283"/>
      <c r="R528" s="283"/>
      <c r="S528" s="283"/>
      <c r="T528" s="283"/>
    </row>
    <row r="529">
      <c r="A529" s="300"/>
      <c r="B529" s="282"/>
      <c r="C529" s="283"/>
      <c r="D529" s="282"/>
      <c r="E529" s="283"/>
      <c r="F529" s="283"/>
      <c r="G529" s="284"/>
      <c r="H529" s="284"/>
      <c r="I529" s="283"/>
      <c r="J529" s="283"/>
      <c r="K529" s="283"/>
      <c r="L529" s="283"/>
      <c r="M529" s="283"/>
      <c r="N529" s="283"/>
      <c r="O529" s="283"/>
      <c r="P529" s="283"/>
      <c r="Q529" s="283"/>
      <c r="R529" s="283"/>
      <c r="S529" s="283"/>
      <c r="T529" s="283"/>
    </row>
    <row r="530">
      <c r="A530" s="300"/>
      <c r="B530" s="282"/>
      <c r="C530" s="283"/>
      <c r="D530" s="282"/>
      <c r="E530" s="283"/>
      <c r="F530" s="283"/>
      <c r="G530" s="284"/>
      <c r="H530" s="284"/>
      <c r="I530" s="283"/>
      <c r="J530" s="283"/>
      <c r="K530" s="283"/>
      <c r="L530" s="283"/>
      <c r="M530" s="283"/>
      <c r="N530" s="283"/>
      <c r="O530" s="283"/>
      <c r="P530" s="283"/>
      <c r="Q530" s="283"/>
      <c r="R530" s="283"/>
      <c r="S530" s="283"/>
      <c r="T530" s="283"/>
    </row>
    <row r="531">
      <c r="A531" s="300"/>
      <c r="B531" s="282"/>
      <c r="C531" s="283"/>
      <c r="D531" s="282"/>
      <c r="E531" s="283"/>
      <c r="F531" s="283"/>
      <c r="G531" s="284"/>
      <c r="H531" s="284"/>
      <c r="I531" s="283"/>
      <c r="J531" s="283"/>
      <c r="K531" s="283"/>
      <c r="L531" s="283"/>
      <c r="M531" s="283"/>
      <c r="N531" s="283"/>
      <c r="O531" s="283"/>
      <c r="P531" s="283"/>
      <c r="Q531" s="283"/>
      <c r="R531" s="283"/>
      <c r="S531" s="283"/>
      <c r="T531" s="283"/>
    </row>
    <row r="532">
      <c r="A532" s="300"/>
      <c r="B532" s="282"/>
      <c r="C532" s="283"/>
      <c r="D532" s="282"/>
      <c r="E532" s="283"/>
      <c r="F532" s="283"/>
      <c r="G532" s="284"/>
      <c r="H532" s="284"/>
      <c r="I532" s="283"/>
      <c r="J532" s="283"/>
      <c r="K532" s="283"/>
      <c r="L532" s="283"/>
      <c r="M532" s="283"/>
      <c r="N532" s="283"/>
      <c r="O532" s="283"/>
      <c r="P532" s="283"/>
      <c r="Q532" s="283"/>
      <c r="R532" s="283"/>
      <c r="S532" s="283"/>
      <c r="T532" s="283"/>
    </row>
    <row r="533">
      <c r="A533" s="300"/>
      <c r="B533" s="282"/>
      <c r="C533" s="283"/>
      <c r="D533" s="282"/>
      <c r="E533" s="283"/>
      <c r="F533" s="283"/>
      <c r="G533" s="284"/>
      <c r="H533" s="284"/>
      <c r="I533" s="283"/>
      <c r="J533" s="283"/>
      <c r="K533" s="283"/>
      <c r="L533" s="283"/>
      <c r="M533" s="283"/>
      <c r="N533" s="283"/>
      <c r="O533" s="283"/>
      <c r="P533" s="283"/>
      <c r="Q533" s="283"/>
      <c r="R533" s="283"/>
      <c r="S533" s="283"/>
      <c r="T533" s="283"/>
    </row>
    <row r="534">
      <c r="A534" s="300"/>
      <c r="B534" s="282"/>
      <c r="C534" s="283"/>
      <c r="D534" s="282"/>
      <c r="E534" s="283"/>
      <c r="F534" s="283"/>
      <c r="G534" s="284"/>
      <c r="H534" s="284"/>
      <c r="I534" s="283"/>
      <c r="J534" s="283"/>
      <c r="K534" s="283"/>
      <c r="L534" s="283"/>
      <c r="M534" s="283"/>
      <c r="N534" s="283"/>
      <c r="O534" s="283"/>
      <c r="P534" s="283"/>
      <c r="Q534" s="283"/>
      <c r="R534" s="283"/>
      <c r="S534" s="283"/>
      <c r="T534" s="283"/>
    </row>
    <row r="535">
      <c r="A535" s="300"/>
      <c r="B535" s="282"/>
      <c r="C535" s="283"/>
      <c r="D535" s="282"/>
      <c r="E535" s="283"/>
      <c r="F535" s="283"/>
      <c r="G535" s="284"/>
      <c r="H535" s="284"/>
      <c r="I535" s="283"/>
      <c r="J535" s="283"/>
      <c r="K535" s="283"/>
      <c r="L535" s="283"/>
      <c r="M535" s="283"/>
      <c r="N535" s="283"/>
      <c r="O535" s="283"/>
      <c r="P535" s="283"/>
      <c r="Q535" s="283"/>
      <c r="R535" s="283"/>
      <c r="S535" s="283"/>
      <c r="T535" s="283"/>
    </row>
    <row r="536">
      <c r="A536" s="300"/>
      <c r="B536" s="282"/>
      <c r="C536" s="283"/>
      <c r="D536" s="282"/>
      <c r="E536" s="283"/>
      <c r="F536" s="283"/>
      <c r="G536" s="284"/>
      <c r="H536" s="284"/>
      <c r="I536" s="283"/>
      <c r="J536" s="283"/>
      <c r="K536" s="283"/>
      <c r="L536" s="283"/>
      <c r="M536" s="283"/>
      <c r="N536" s="283"/>
      <c r="O536" s="283"/>
      <c r="P536" s="283"/>
      <c r="Q536" s="283"/>
      <c r="R536" s="283"/>
      <c r="S536" s="283"/>
      <c r="T536" s="283"/>
    </row>
    <row r="537">
      <c r="A537" s="300"/>
      <c r="B537" s="282"/>
      <c r="C537" s="283"/>
      <c r="D537" s="282"/>
      <c r="E537" s="283"/>
      <c r="F537" s="283"/>
      <c r="G537" s="284"/>
      <c r="H537" s="284"/>
      <c r="I537" s="283"/>
      <c r="J537" s="283"/>
      <c r="K537" s="283"/>
      <c r="L537" s="283"/>
      <c r="M537" s="283"/>
      <c r="N537" s="283"/>
      <c r="O537" s="283"/>
      <c r="P537" s="283"/>
      <c r="Q537" s="283"/>
      <c r="R537" s="283"/>
      <c r="S537" s="283"/>
      <c r="T537" s="283"/>
    </row>
    <row r="538">
      <c r="A538" s="300"/>
      <c r="B538" s="282"/>
      <c r="C538" s="283"/>
      <c r="D538" s="282"/>
      <c r="E538" s="283"/>
      <c r="F538" s="283"/>
      <c r="G538" s="284"/>
      <c r="H538" s="284"/>
      <c r="I538" s="283"/>
      <c r="J538" s="283"/>
      <c r="K538" s="283"/>
      <c r="L538" s="283"/>
      <c r="M538" s="283"/>
      <c r="N538" s="283"/>
      <c r="O538" s="283"/>
      <c r="P538" s="283"/>
      <c r="Q538" s="283"/>
      <c r="R538" s="283"/>
      <c r="S538" s="283"/>
      <c r="T538" s="283"/>
    </row>
    <row r="539">
      <c r="A539" s="300"/>
      <c r="B539" s="282"/>
      <c r="C539" s="283"/>
      <c r="D539" s="282"/>
      <c r="E539" s="283"/>
      <c r="F539" s="283"/>
      <c r="G539" s="284"/>
      <c r="H539" s="284"/>
      <c r="I539" s="283"/>
      <c r="J539" s="283"/>
      <c r="K539" s="283"/>
      <c r="L539" s="283"/>
      <c r="M539" s="283"/>
      <c r="N539" s="283"/>
      <c r="O539" s="283"/>
      <c r="P539" s="283"/>
      <c r="Q539" s="283"/>
      <c r="R539" s="283"/>
      <c r="S539" s="283"/>
      <c r="T539" s="283"/>
    </row>
    <row r="540">
      <c r="A540" s="300"/>
      <c r="B540" s="282"/>
      <c r="C540" s="283"/>
      <c r="D540" s="282"/>
      <c r="E540" s="283"/>
      <c r="F540" s="283"/>
      <c r="G540" s="284"/>
      <c r="H540" s="284"/>
      <c r="I540" s="283"/>
      <c r="J540" s="283"/>
      <c r="K540" s="283"/>
      <c r="L540" s="283"/>
      <c r="M540" s="283"/>
      <c r="N540" s="283"/>
      <c r="O540" s="283"/>
      <c r="P540" s="283"/>
      <c r="Q540" s="283"/>
      <c r="R540" s="283"/>
      <c r="S540" s="283"/>
      <c r="T540" s="283"/>
    </row>
    <row r="541">
      <c r="A541" s="300"/>
      <c r="B541" s="282"/>
      <c r="C541" s="283"/>
      <c r="D541" s="282"/>
      <c r="E541" s="283"/>
      <c r="F541" s="283"/>
      <c r="G541" s="284"/>
      <c r="H541" s="284"/>
      <c r="I541" s="283"/>
      <c r="J541" s="283"/>
      <c r="K541" s="283"/>
      <c r="L541" s="283"/>
      <c r="M541" s="283"/>
      <c r="N541" s="283"/>
      <c r="O541" s="283"/>
      <c r="P541" s="283"/>
      <c r="Q541" s="283"/>
      <c r="R541" s="283"/>
      <c r="S541" s="283"/>
      <c r="T541" s="283"/>
    </row>
    <row r="542">
      <c r="A542" s="300"/>
      <c r="B542" s="282"/>
      <c r="C542" s="283"/>
      <c r="D542" s="282"/>
      <c r="E542" s="283"/>
      <c r="F542" s="283"/>
      <c r="G542" s="284"/>
      <c r="H542" s="284"/>
      <c r="I542" s="283"/>
      <c r="J542" s="283"/>
      <c r="K542" s="283"/>
      <c r="L542" s="283"/>
      <c r="M542" s="283"/>
      <c r="N542" s="283"/>
      <c r="O542" s="283"/>
      <c r="P542" s="283"/>
      <c r="Q542" s="283"/>
      <c r="R542" s="283"/>
      <c r="S542" s="283"/>
      <c r="T542" s="283"/>
    </row>
    <row r="543">
      <c r="A543" s="300"/>
      <c r="B543" s="282"/>
      <c r="C543" s="283"/>
      <c r="D543" s="282"/>
      <c r="E543" s="283"/>
      <c r="F543" s="283"/>
      <c r="G543" s="284"/>
      <c r="H543" s="284"/>
      <c r="I543" s="283"/>
      <c r="J543" s="283"/>
      <c r="K543" s="283"/>
      <c r="L543" s="283"/>
      <c r="M543" s="283"/>
      <c r="N543" s="283"/>
      <c r="O543" s="283"/>
      <c r="P543" s="283"/>
      <c r="Q543" s="283"/>
      <c r="R543" s="283"/>
      <c r="S543" s="283"/>
      <c r="T543" s="283"/>
    </row>
    <row r="544">
      <c r="A544" s="300"/>
      <c r="B544" s="282"/>
      <c r="C544" s="283"/>
      <c r="D544" s="282"/>
      <c r="E544" s="283"/>
      <c r="F544" s="283"/>
      <c r="G544" s="284"/>
      <c r="H544" s="284"/>
      <c r="I544" s="283"/>
      <c r="J544" s="283"/>
      <c r="K544" s="283"/>
      <c r="L544" s="283"/>
      <c r="M544" s="283"/>
      <c r="N544" s="283"/>
      <c r="O544" s="283"/>
      <c r="P544" s="283"/>
      <c r="Q544" s="283"/>
      <c r="R544" s="283"/>
      <c r="S544" s="283"/>
      <c r="T544" s="283"/>
    </row>
    <row r="545">
      <c r="A545" s="300"/>
      <c r="B545" s="282"/>
      <c r="C545" s="283"/>
      <c r="D545" s="282"/>
      <c r="E545" s="283"/>
      <c r="F545" s="283"/>
      <c r="G545" s="284"/>
      <c r="H545" s="284"/>
      <c r="I545" s="283"/>
      <c r="J545" s="283"/>
      <c r="K545" s="283"/>
      <c r="L545" s="283"/>
      <c r="M545" s="283"/>
      <c r="N545" s="283"/>
      <c r="O545" s="283"/>
      <c r="P545" s="283"/>
      <c r="Q545" s="283"/>
      <c r="R545" s="283"/>
      <c r="S545" s="283"/>
      <c r="T545" s="283"/>
    </row>
    <row r="546">
      <c r="A546" s="300"/>
      <c r="B546" s="282"/>
      <c r="C546" s="283"/>
      <c r="D546" s="282"/>
      <c r="E546" s="283"/>
      <c r="F546" s="283"/>
      <c r="G546" s="284"/>
      <c r="H546" s="284"/>
      <c r="I546" s="283"/>
      <c r="J546" s="283"/>
      <c r="K546" s="283"/>
      <c r="L546" s="283"/>
      <c r="M546" s="283"/>
      <c r="N546" s="283"/>
      <c r="O546" s="283"/>
      <c r="P546" s="283"/>
      <c r="Q546" s="283"/>
      <c r="R546" s="283"/>
      <c r="S546" s="283"/>
      <c r="T546" s="283"/>
    </row>
    <row r="547">
      <c r="A547" s="300"/>
      <c r="B547" s="282"/>
      <c r="C547" s="283"/>
      <c r="D547" s="282"/>
      <c r="E547" s="283"/>
      <c r="F547" s="283"/>
      <c r="G547" s="284"/>
      <c r="H547" s="284"/>
      <c r="I547" s="283"/>
      <c r="J547" s="283"/>
      <c r="K547" s="283"/>
      <c r="L547" s="283"/>
      <c r="M547" s="283"/>
      <c r="N547" s="283"/>
      <c r="O547" s="283"/>
      <c r="P547" s="283"/>
      <c r="Q547" s="283"/>
      <c r="R547" s="283"/>
      <c r="S547" s="283"/>
      <c r="T547" s="283"/>
    </row>
    <row r="548">
      <c r="A548" s="300"/>
      <c r="B548" s="282"/>
      <c r="C548" s="283"/>
      <c r="D548" s="282"/>
      <c r="E548" s="283"/>
      <c r="F548" s="283"/>
      <c r="G548" s="284"/>
      <c r="H548" s="284"/>
      <c r="I548" s="283"/>
      <c r="J548" s="283"/>
      <c r="K548" s="283"/>
      <c r="L548" s="283"/>
      <c r="M548" s="283"/>
      <c r="N548" s="283"/>
      <c r="O548" s="283"/>
      <c r="P548" s="283"/>
      <c r="Q548" s="283"/>
      <c r="R548" s="283"/>
      <c r="S548" s="283"/>
      <c r="T548" s="283"/>
    </row>
    <row r="549">
      <c r="A549" s="300"/>
      <c r="B549" s="282"/>
      <c r="C549" s="283"/>
      <c r="D549" s="282"/>
      <c r="E549" s="283"/>
      <c r="F549" s="283"/>
      <c r="G549" s="284"/>
      <c r="H549" s="284"/>
      <c r="I549" s="283"/>
      <c r="J549" s="283"/>
      <c r="K549" s="283"/>
      <c r="L549" s="283"/>
      <c r="M549" s="283"/>
      <c r="N549" s="283"/>
      <c r="O549" s="283"/>
      <c r="P549" s="283"/>
      <c r="Q549" s="283"/>
      <c r="R549" s="283"/>
      <c r="S549" s="283"/>
      <c r="T549" s="283"/>
    </row>
    <row r="550">
      <c r="A550" s="300"/>
      <c r="B550" s="282"/>
      <c r="C550" s="283"/>
      <c r="D550" s="282"/>
      <c r="E550" s="283"/>
      <c r="F550" s="283"/>
      <c r="G550" s="284"/>
      <c r="H550" s="284"/>
      <c r="I550" s="283"/>
      <c r="J550" s="283"/>
      <c r="K550" s="283"/>
      <c r="L550" s="283"/>
      <c r="M550" s="283"/>
      <c r="N550" s="283"/>
      <c r="O550" s="283"/>
      <c r="P550" s="283"/>
      <c r="Q550" s="283"/>
      <c r="R550" s="283"/>
      <c r="S550" s="283"/>
      <c r="T550" s="283"/>
    </row>
    <row r="551">
      <c r="A551" s="300"/>
      <c r="B551" s="282"/>
      <c r="C551" s="283"/>
      <c r="D551" s="282"/>
      <c r="E551" s="283"/>
      <c r="F551" s="283"/>
      <c r="G551" s="284"/>
      <c r="H551" s="284"/>
      <c r="I551" s="283"/>
      <c r="J551" s="283"/>
      <c r="K551" s="283"/>
      <c r="L551" s="283"/>
      <c r="M551" s="283"/>
      <c r="N551" s="283"/>
      <c r="O551" s="283"/>
      <c r="P551" s="283"/>
      <c r="Q551" s="283"/>
      <c r="R551" s="283"/>
      <c r="S551" s="283"/>
      <c r="T551" s="283"/>
    </row>
    <row r="552">
      <c r="A552" s="300"/>
      <c r="B552" s="282"/>
      <c r="C552" s="283"/>
      <c r="D552" s="282"/>
      <c r="E552" s="283"/>
      <c r="F552" s="283"/>
      <c r="G552" s="284"/>
      <c r="H552" s="284"/>
      <c r="I552" s="283"/>
      <c r="J552" s="283"/>
      <c r="K552" s="283"/>
      <c r="L552" s="283"/>
      <c r="M552" s="283"/>
      <c r="N552" s="283"/>
      <c r="O552" s="283"/>
      <c r="P552" s="283"/>
      <c r="Q552" s="283"/>
      <c r="R552" s="283"/>
      <c r="S552" s="283"/>
      <c r="T552" s="283"/>
    </row>
    <row r="553">
      <c r="A553" s="300"/>
      <c r="B553" s="282"/>
      <c r="C553" s="283"/>
      <c r="D553" s="282"/>
      <c r="E553" s="283"/>
      <c r="F553" s="283"/>
      <c r="G553" s="284"/>
      <c r="H553" s="284"/>
      <c r="I553" s="283"/>
      <c r="J553" s="283"/>
      <c r="K553" s="283"/>
      <c r="L553" s="283"/>
      <c r="M553" s="283"/>
      <c r="N553" s="283"/>
      <c r="O553" s="283"/>
      <c r="P553" s="283"/>
      <c r="Q553" s="283"/>
      <c r="R553" s="283"/>
      <c r="S553" s="283"/>
      <c r="T553" s="283"/>
    </row>
    <row r="554">
      <c r="A554" s="300"/>
      <c r="B554" s="282"/>
      <c r="C554" s="283"/>
      <c r="D554" s="282"/>
      <c r="E554" s="283"/>
      <c r="F554" s="283"/>
      <c r="G554" s="284"/>
      <c r="H554" s="284"/>
      <c r="I554" s="283"/>
      <c r="J554" s="283"/>
      <c r="K554" s="283"/>
      <c r="L554" s="283"/>
      <c r="M554" s="283"/>
      <c r="N554" s="283"/>
      <c r="O554" s="283"/>
      <c r="P554" s="283"/>
      <c r="Q554" s="283"/>
      <c r="R554" s="283"/>
      <c r="S554" s="283"/>
      <c r="T554" s="283"/>
    </row>
    <row r="555">
      <c r="A555" s="300"/>
      <c r="B555" s="282"/>
      <c r="C555" s="283"/>
      <c r="D555" s="282"/>
      <c r="E555" s="283"/>
      <c r="F555" s="283"/>
      <c r="G555" s="284"/>
      <c r="H555" s="284"/>
      <c r="I555" s="283"/>
      <c r="J555" s="283"/>
      <c r="K555" s="283"/>
      <c r="L555" s="283"/>
      <c r="M555" s="283"/>
      <c r="N555" s="283"/>
      <c r="O555" s="283"/>
      <c r="P555" s="283"/>
      <c r="Q555" s="283"/>
      <c r="R555" s="283"/>
      <c r="S555" s="283"/>
      <c r="T555" s="283"/>
    </row>
    <row r="556">
      <c r="A556" s="300"/>
      <c r="B556" s="282"/>
      <c r="C556" s="283"/>
      <c r="D556" s="282"/>
      <c r="E556" s="283"/>
      <c r="F556" s="283"/>
      <c r="G556" s="284"/>
      <c r="H556" s="284"/>
      <c r="I556" s="283"/>
      <c r="J556" s="283"/>
      <c r="K556" s="283"/>
      <c r="L556" s="283"/>
      <c r="M556" s="283"/>
      <c r="N556" s="283"/>
      <c r="O556" s="283"/>
      <c r="P556" s="283"/>
      <c r="Q556" s="283"/>
      <c r="R556" s="283"/>
      <c r="S556" s="283"/>
      <c r="T556" s="283"/>
    </row>
    <row r="557">
      <c r="A557" s="300"/>
      <c r="B557" s="282"/>
      <c r="C557" s="283"/>
      <c r="D557" s="282"/>
      <c r="E557" s="283"/>
      <c r="F557" s="283"/>
      <c r="G557" s="284"/>
      <c r="H557" s="284"/>
      <c r="I557" s="283"/>
      <c r="J557" s="283"/>
      <c r="K557" s="283"/>
      <c r="L557" s="283"/>
      <c r="M557" s="283"/>
      <c r="N557" s="283"/>
      <c r="O557" s="283"/>
      <c r="P557" s="283"/>
      <c r="Q557" s="283"/>
      <c r="R557" s="283"/>
      <c r="S557" s="283"/>
      <c r="T557" s="283"/>
    </row>
    <row r="558">
      <c r="A558" s="300"/>
      <c r="B558" s="282"/>
      <c r="C558" s="283"/>
      <c r="D558" s="282"/>
      <c r="E558" s="283"/>
      <c r="F558" s="283"/>
      <c r="G558" s="284"/>
      <c r="H558" s="284"/>
      <c r="I558" s="283"/>
      <c r="J558" s="283"/>
      <c r="K558" s="283"/>
      <c r="L558" s="283"/>
      <c r="M558" s="283"/>
      <c r="N558" s="283"/>
      <c r="O558" s="283"/>
      <c r="P558" s="283"/>
      <c r="Q558" s="283"/>
      <c r="R558" s="283"/>
      <c r="S558" s="283"/>
      <c r="T558" s="283"/>
    </row>
    <row r="559">
      <c r="A559" s="300"/>
      <c r="B559" s="282"/>
      <c r="C559" s="283"/>
      <c r="D559" s="282"/>
      <c r="E559" s="283"/>
      <c r="F559" s="283"/>
      <c r="G559" s="284"/>
      <c r="H559" s="284"/>
      <c r="I559" s="283"/>
      <c r="J559" s="283"/>
      <c r="K559" s="283"/>
      <c r="L559" s="283"/>
      <c r="M559" s="283"/>
      <c r="N559" s="283"/>
      <c r="O559" s="283"/>
      <c r="P559" s="283"/>
      <c r="Q559" s="283"/>
      <c r="R559" s="283"/>
      <c r="S559" s="283"/>
      <c r="T559" s="283"/>
    </row>
    <row r="560">
      <c r="A560" s="300"/>
      <c r="B560" s="282"/>
      <c r="C560" s="283"/>
      <c r="D560" s="282"/>
      <c r="E560" s="283"/>
      <c r="F560" s="283"/>
      <c r="G560" s="284"/>
      <c r="H560" s="284"/>
      <c r="I560" s="283"/>
      <c r="J560" s="283"/>
      <c r="K560" s="283"/>
      <c r="L560" s="283"/>
      <c r="M560" s="283"/>
      <c r="N560" s="283"/>
      <c r="O560" s="283"/>
      <c r="P560" s="283"/>
      <c r="Q560" s="283"/>
      <c r="R560" s="283"/>
      <c r="S560" s="283"/>
      <c r="T560" s="283"/>
    </row>
    <row r="561">
      <c r="A561" s="300"/>
      <c r="B561" s="282"/>
      <c r="C561" s="283"/>
      <c r="D561" s="282"/>
      <c r="E561" s="283"/>
      <c r="F561" s="283"/>
      <c r="G561" s="284"/>
      <c r="H561" s="284"/>
      <c r="I561" s="283"/>
      <c r="J561" s="283"/>
      <c r="K561" s="283"/>
      <c r="L561" s="283"/>
      <c r="M561" s="283"/>
      <c r="N561" s="283"/>
      <c r="O561" s="283"/>
      <c r="P561" s="283"/>
      <c r="Q561" s="283"/>
      <c r="R561" s="283"/>
      <c r="S561" s="283"/>
      <c r="T561" s="283"/>
    </row>
    <row r="562">
      <c r="A562" s="300"/>
      <c r="B562" s="282"/>
      <c r="C562" s="283"/>
      <c r="D562" s="282"/>
      <c r="E562" s="283"/>
      <c r="F562" s="283"/>
      <c r="G562" s="284"/>
      <c r="H562" s="284"/>
      <c r="I562" s="283"/>
      <c r="J562" s="283"/>
      <c r="K562" s="283"/>
      <c r="L562" s="283"/>
      <c r="M562" s="283"/>
      <c r="N562" s="283"/>
      <c r="O562" s="283"/>
      <c r="P562" s="283"/>
      <c r="Q562" s="283"/>
      <c r="R562" s="283"/>
      <c r="S562" s="283"/>
      <c r="T562" s="283"/>
    </row>
    <row r="563">
      <c r="A563" s="300"/>
      <c r="B563" s="282"/>
      <c r="C563" s="283"/>
      <c r="D563" s="282"/>
      <c r="E563" s="283"/>
      <c r="F563" s="283"/>
      <c r="G563" s="284"/>
      <c r="H563" s="284"/>
      <c r="I563" s="283"/>
      <c r="J563" s="283"/>
      <c r="K563" s="283"/>
      <c r="L563" s="283"/>
      <c r="M563" s="283"/>
      <c r="N563" s="283"/>
      <c r="O563" s="283"/>
      <c r="P563" s="283"/>
      <c r="Q563" s="283"/>
      <c r="R563" s="283"/>
      <c r="S563" s="283"/>
      <c r="T563" s="283"/>
    </row>
    <row r="564">
      <c r="A564" s="300"/>
      <c r="B564" s="282"/>
      <c r="C564" s="283"/>
      <c r="D564" s="282"/>
      <c r="E564" s="283"/>
      <c r="F564" s="283"/>
      <c r="G564" s="284"/>
      <c r="H564" s="284"/>
      <c r="I564" s="283"/>
      <c r="J564" s="283"/>
      <c r="K564" s="283"/>
      <c r="L564" s="283"/>
      <c r="M564" s="283"/>
      <c r="N564" s="283"/>
      <c r="O564" s="283"/>
      <c r="P564" s="283"/>
      <c r="Q564" s="283"/>
      <c r="R564" s="283"/>
      <c r="S564" s="283"/>
      <c r="T564" s="283"/>
    </row>
    <row r="565">
      <c r="A565" s="300"/>
      <c r="B565" s="282"/>
      <c r="C565" s="283"/>
      <c r="D565" s="282"/>
      <c r="E565" s="283"/>
      <c r="F565" s="283"/>
      <c r="G565" s="284"/>
      <c r="H565" s="284"/>
      <c r="I565" s="283"/>
      <c r="J565" s="283"/>
      <c r="K565" s="283"/>
      <c r="L565" s="283"/>
      <c r="M565" s="283"/>
      <c r="N565" s="283"/>
      <c r="O565" s="283"/>
      <c r="P565" s="283"/>
      <c r="Q565" s="283"/>
      <c r="R565" s="283"/>
      <c r="S565" s="283"/>
      <c r="T565" s="283"/>
    </row>
    <row r="566">
      <c r="A566" s="300"/>
      <c r="B566" s="282"/>
      <c r="C566" s="283"/>
      <c r="D566" s="282"/>
      <c r="E566" s="283"/>
      <c r="F566" s="283"/>
      <c r="G566" s="284"/>
      <c r="H566" s="284"/>
      <c r="I566" s="283"/>
      <c r="J566" s="283"/>
      <c r="K566" s="283"/>
      <c r="L566" s="283"/>
      <c r="M566" s="283"/>
      <c r="N566" s="283"/>
      <c r="O566" s="283"/>
      <c r="P566" s="283"/>
      <c r="Q566" s="283"/>
      <c r="R566" s="283"/>
      <c r="S566" s="283"/>
      <c r="T566" s="283"/>
    </row>
    <row r="567">
      <c r="A567" s="300"/>
      <c r="B567" s="282"/>
      <c r="C567" s="283"/>
      <c r="D567" s="282"/>
      <c r="E567" s="283"/>
      <c r="F567" s="283"/>
      <c r="G567" s="284"/>
      <c r="H567" s="284"/>
      <c r="I567" s="283"/>
      <c r="J567" s="283"/>
      <c r="K567" s="283"/>
      <c r="L567" s="283"/>
      <c r="M567" s="283"/>
      <c r="N567" s="283"/>
      <c r="O567" s="283"/>
      <c r="P567" s="283"/>
      <c r="Q567" s="283"/>
      <c r="R567" s="283"/>
      <c r="S567" s="283"/>
      <c r="T567" s="283"/>
    </row>
    <row r="568">
      <c r="A568" s="300"/>
      <c r="B568" s="282"/>
      <c r="C568" s="283"/>
      <c r="D568" s="282"/>
      <c r="E568" s="283"/>
      <c r="F568" s="283"/>
      <c r="G568" s="284"/>
      <c r="H568" s="284"/>
      <c r="I568" s="283"/>
      <c r="J568" s="283"/>
      <c r="K568" s="283"/>
      <c r="L568" s="283"/>
      <c r="M568" s="283"/>
      <c r="N568" s="283"/>
      <c r="O568" s="283"/>
      <c r="P568" s="283"/>
      <c r="Q568" s="283"/>
      <c r="R568" s="283"/>
      <c r="S568" s="283"/>
      <c r="T568" s="283"/>
    </row>
    <row r="569">
      <c r="A569" s="300"/>
      <c r="B569" s="282"/>
      <c r="C569" s="283"/>
      <c r="D569" s="282"/>
      <c r="E569" s="283"/>
      <c r="F569" s="283"/>
      <c r="G569" s="284"/>
      <c r="H569" s="284"/>
      <c r="I569" s="283"/>
      <c r="J569" s="283"/>
      <c r="K569" s="283"/>
      <c r="L569" s="283"/>
      <c r="M569" s="283"/>
      <c r="N569" s="283"/>
      <c r="O569" s="283"/>
      <c r="P569" s="283"/>
      <c r="Q569" s="283"/>
      <c r="R569" s="283"/>
      <c r="S569" s="283"/>
      <c r="T569" s="283"/>
    </row>
    <row r="570">
      <c r="A570" s="300"/>
      <c r="B570" s="282"/>
      <c r="C570" s="283"/>
      <c r="D570" s="282"/>
      <c r="E570" s="283"/>
      <c r="F570" s="283"/>
      <c r="G570" s="284"/>
      <c r="H570" s="284"/>
      <c r="I570" s="283"/>
      <c r="J570" s="283"/>
      <c r="K570" s="283"/>
      <c r="L570" s="283"/>
      <c r="M570" s="283"/>
      <c r="N570" s="283"/>
      <c r="O570" s="283"/>
      <c r="P570" s="283"/>
      <c r="Q570" s="283"/>
      <c r="R570" s="283"/>
      <c r="S570" s="283"/>
      <c r="T570" s="283"/>
    </row>
    <row r="571">
      <c r="A571" s="300"/>
      <c r="B571" s="282"/>
      <c r="C571" s="283"/>
      <c r="D571" s="282"/>
      <c r="E571" s="283"/>
      <c r="F571" s="283"/>
      <c r="G571" s="284"/>
      <c r="H571" s="284"/>
      <c r="I571" s="283"/>
      <c r="J571" s="283"/>
      <c r="K571" s="283"/>
      <c r="L571" s="283"/>
      <c r="M571" s="283"/>
      <c r="N571" s="283"/>
      <c r="O571" s="283"/>
      <c r="P571" s="283"/>
      <c r="Q571" s="283"/>
      <c r="R571" s="283"/>
      <c r="S571" s="283"/>
      <c r="T571" s="283"/>
    </row>
    <row r="572">
      <c r="A572" s="300"/>
      <c r="B572" s="282"/>
      <c r="C572" s="283"/>
      <c r="D572" s="282"/>
      <c r="E572" s="283"/>
      <c r="F572" s="283"/>
      <c r="G572" s="284"/>
      <c r="H572" s="284"/>
      <c r="I572" s="283"/>
      <c r="J572" s="283"/>
      <c r="K572" s="283"/>
      <c r="L572" s="283"/>
      <c r="M572" s="283"/>
      <c r="N572" s="283"/>
      <c r="O572" s="283"/>
      <c r="P572" s="283"/>
      <c r="Q572" s="283"/>
      <c r="R572" s="283"/>
      <c r="S572" s="283"/>
      <c r="T572" s="283"/>
    </row>
    <row r="573">
      <c r="A573" s="300"/>
      <c r="B573" s="282"/>
      <c r="C573" s="283"/>
      <c r="D573" s="282"/>
      <c r="E573" s="283"/>
      <c r="F573" s="283"/>
      <c r="G573" s="284"/>
      <c r="H573" s="284"/>
      <c r="I573" s="283"/>
      <c r="J573" s="283"/>
      <c r="K573" s="283"/>
      <c r="L573" s="283"/>
      <c r="M573" s="283"/>
      <c r="N573" s="283"/>
      <c r="O573" s="283"/>
      <c r="P573" s="283"/>
      <c r="Q573" s="283"/>
      <c r="R573" s="283"/>
      <c r="S573" s="283"/>
      <c r="T573" s="283"/>
    </row>
    <row r="574">
      <c r="A574" s="300"/>
      <c r="B574" s="282"/>
      <c r="C574" s="283"/>
      <c r="D574" s="282"/>
      <c r="E574" s="283"/>
      <c r="F574" s="283"/>
      <c r="G574" s="284"/>
      <c r="H574" s="284"/>
      <c r="I574" s="283"/>
      <c r="J574" s="283"/>
      <c r="K574" s="283"/>
      <c r="L574" s="283"/>
      <c r="M574" s="283"/>
      <c r="N574" s="283"/>
      <c r="O574" s="283"/>
      <c r="P574" s="283"/>
      <c r="Q574" s="283"/>
      <c r="R574" s="283"/>
      <c r="S574" s="283"/>
      <c r="T574" s="283"/>
    </row>
    <row r="575">
      <c r="A575" s="300"/>
      <c r="B575" s="282"/>
      <c r="C575" s="283"/>
      <c r="D575" s="282"/>
      <c r="E575" s="283"/>
      <c r="F575" s="283"/>
      <c r="G575" s="284"/>
      <c r="H575" s="284"/>
      <c r="I575" s="283"/>
      <c r="J575" s="283"/>
      <c r="K575" s="283"/>
      <c r="L575" s="283"/>
      <c r="M575" s="283"/>
      <c r="N575" s="283"/>
      <c r="O575" s="283"/>
      <c r="P575" s="283"/>
      <c r="Q575" s="283"/>
      <c r="R575" s="283"/>
      <c r="S575" s="283"/>
      <c r="T575" s="283"/>
    </row>
    <row r="576">
      <c r="A576" s="300"/>
      <c r="B576" s="282"/>
      <c r="C576" s="283"/>
      <c r="D576" s="282"/>
      <c r="E576" s="283"/>
      <c r="F576" s="283"/>
      <c r="G576" s="284"/>
      <c r="H576" s="284"/>
      <c r="I576" s="283"/>
      <c r="J576" s="283"/>
      <c r="K576" s="283"/>
      <c r="L576" s="283"/>
      <c r="M576" s="283"/>
      <c r="N576" s="283"/>
      <c r="O576" s="283"/>
      <c r="P576" s="283"/>
      <c r="Q576" s="283"/>
      <c r="R576" s="283"/>
      <c r="S576" s="283"/>
      <c r="T576" s="283"/>
    </row>
    <row r="577">
      <c r="A577" s="300"/>
      <c r="B577" s="282"/>
      <c r="C577" s="283"/>
      <c r="D577" s="282"/>
      <c r="E577" s="283"/>
      <c r="F577" s="283"/>
      <c r="G577" s="284"/>
      <c r="H577" s="284"/>
      <c r="I577" s="283"/>
      <c r="J577" s="283"/>
      <c r="K577" s="283"/>
      <c r="L577" s="283"/>
      <c r="M577" s="283"/>
      <c r="N577" s="283"/>
      <c r="O577" s="283"/>
      <c r="P577" s="283"/>
      <c r="Q577" s="283"/>
      <c r="R577" s="283"/>
      <c r="S577" s="283"/>
      <c r="T577" s="283"/>
    </row>
    <row r="578">
      <c r="A578" s="300"/>
      <c r="B578" s="282"/>
      <c r="C578" s="283"/>
      <c r="D578" s="282"/>
      <c r="E578" s="283"/>
      <c r="F578" s="283"/>
      <c r="G578" s="284"/>
      <c r="H578" s="284"/>
      <c r="I578" s="283"/>
      <c r="J578" s="283"/>
      <c r="K578" s="283"/>
      <c r="L578" s="283"/>
      <c r="M578" s="283"/>
      <c r="N578" s="283"/>
      <c r="O578" s="283"/>
      <c r="P578" s="283"/>
      <c r="Q578" s="283"/>
      <c r="R578" s="283"/>
      <c r="S578" s="283"/>
      <c r="T578" s="283"/>
    </row>
    <row r="579">
      <c r="A579" s="300"/>
      <c r="B579" s="282"/>
      <c r="C579" s="283"/>
      <c r="D579" s="282"/>
      <c r="E579" s="283"/>
      <c r="F579" s="283"/>
      <c r="G579" s="284"/>
      <c r="H579" s="284"/>
      <c r="I579" s="283"/>
      <c r="J579" s="283"/>
      <c r="K579" s="283"/>
      <c r="L579" s="283"/>
      <c r="M579" s="283"/>
      <c r="N579" s="283"/>
      <c r="O579" s="283"/>
      <c r="P579" s="283"/>
      <c r="Q579" s="283"/>
      <c r="R579" s="283"/>
      <c r="S579" s="283"/>
      <c r="T579" s="283"/>
    </row>
    <row r="580">
      <c r="A580" s="300"/>
      <c r="B580" s="282"/>
      <c r="C580" s="283"/>
      <c r="D580" s="282"/>
      <c r="E580" s="283"/>
      <c r="F580" s="283"/>
      <c r="G580" s="284"/>
      <c r="H580" s="284"/>
      <c r="I580" s="283"/>
      <c r="J580" s="283"/>
      <c r="K580" s="283"/>
      <c r="L580" s="283"/>
      <c r="M580" s="283"/>
      <c r="N580" s="283"/>
      <c r="O580" s="283"/>
      <c r="P580" s="283"/>
      <c r="Q580" s="283"/>
      <c r="R580" s="283"/>
      <c r="S580" s="283"/>
      <c r="T580" s="283"/>
    </row>
    <row r="581">
      <c r="A581" s="300"/>
      <c r="B581" s="282"/>
      <c r="C581" s="283"/>
      <c r="D581" s="282"/>
      <c r="E581" s="283"/>
      <c r="F581" s="283"/>
      <c r="G581" s="284"/>
      <c r="H581" s="284"/>
      <c r="I581" s="283"/>
      <c r="J581" s="283"/>
      <c r="K581" s="283"/>
      <c r="L581" s="283"/>
      <c r="M581" s="283"/>
      <c r="N581" s="283"/>
      <c r="O581" s="283"/>
      <c r="P581" s="283"/>
      <c r="Q581" s="283"/>
      <c r="R581" s="283"/>
      <c r="S581" s="283"/>
      <c r="T581" s="283"/>
    </row>
    <row r="582">
      <c r="A582" s="300"/>
      <c r="B582" s="282"/>
      <c r="C582" s="283"/>
      <c r="D582" s="282"/>
      <c r="E582" s="283"/>
      <c r="F582" s="283"/>
      <c r="G582" s="284"/>
      <c r="H582" s="284"/>
      <c r="I582" s="283"/>
      <c r="J582" s="283"/>
      <c r="K582" s="283"/>
      <c r="L582" s="283"/>
      <c r="M582" s="283"/>
      <c r="N582" s="283"/>
      <c r="O582" s="283"/>
      <c r="P582" s="283"/>
      <c r="Q582" s="283"/>
      <c r="R582" s="283"/>
      <c r="S582" s="283"/>
      <c r="T582" s="283"/>
    </row>
    <row r="583">
      <c r="A583" s="300"/>
      <c r="B583" s="282"/>
      <c r="C583" s="283"/>
      <c r="D583" s="282"/>
      <c r="E583" s="283"/>
      <c r="F583" s="283"/>
      <c r="G583" s="284"/>
      <c r="H583" s="284"/>
      <c r="I583" s="283"/>
      <c r="J583" s="283"/>
      <c r="K583" s="283"/>
      <c r="L583" s="283"/>
      <c r="M583" s="283"/>
      <c r="N583" s="283"/>
      <c r="O583" s="283"/>
      <c r="P583" s="283"/>
      <c r="Q583" s="283"/>
      <c r="R583" s="283"/>
      <c r="S583" s="283"/>
      <c r="T583" s="283"/>
    </row>
    <row r="584">
      <c r="A584" s="300"/>
      <c r="B584" s="282"/>
      <c r="C584" s="283"/>
      <c r="D584" s="282"/>
      <c r="E584" s="283"/>
      <c r="F584" s="283"/>
      <c r="G584" s="284"/>
      <c r="H584" s="284"/>
      <c r="I584" s="283"/>
      <c r="J584" s="283"/>
      <c r="K584" s="283"/>
      <c r="L584" s="283"/>
      <c r="M584" s="283"/>
      <c r="N584" s="283"/>
      <c r="O584" s="283"/>
      <c r="P584" s="283"/>
      <c r="Q584" s="283"/>
      <c r="R584" s="283"/>
      <c r="S584" s="283"/>
      <c r="T584" s="283"/>
    </row>
    <row r="585">
      <c r="A585" s="300"/>
      <c r="B585" s="282"/>
      <c r="C585" s="283"/>
      <c r="D585" s="282"/>
      <c r="E585" s="283"/>
      <c r="F585" s="283"/>
      <c r="G585" s="284"/>
      <c r="H585" s="284"/>
      <c r="I585" s="283"/>
      <c r="J585" s="283"/>
      <c r="K585" s="283"/>
      <c r="L585" s="283"/>
      <c r="M585" s="283"/>
      <c r="N585" s="283"/>
      <c r="O585" s="283"/>
      <c r="P585" s="283"/>
      <c r="Q585" s="283"/>
      <c r="R585" s="283"/>
      <c r="S585" s="283"/>
      <c r="T585" s="283"/>
    </row>
    <row r="586">
      <c r="A586" s="300"/>
      <c r="B586" s="282"/>
      <c r="C586" s="283"/>
      <c r="D586" s="282"/>
      <c r="E586" s="283"/>
      <c r="F586" s="283"/>
      <c r="G586" s="284"/>
      <c r="H586" s="284"/>
      <c r="I586" s="283"/>
      <c r="J586" s="283"/>
      <c r="K586" s="283"/>
      <c r="L586" s="283"/>
      <c r="M586" s="283"/>
      <c r="N586" s="283"/>
      <c r="O586" s="283"/>
      <c r="P586" s="283"/>
      <c r="Q586" s="283"/>
      <c r="R586" s="283"/>
      <c r="S586" s="283"/>
      <c r="T586" s="283"/>
    </row>
    <row r="587">
      <c r="A587" s="300"/>
      <c r="B587" s="282"/>
      <c r="C587" s="283"/>
      <c r="D587" s="282"/>
      <c r="E587" s="283"/>
      <c r="F587" s="283"/>
      <c r="G587" s="284"/>
      <c r="H587" s="284"/>
      <c r="I587" s="283"/>
      <c r="J587" s="283"/>
      <c r="K587" s="283"/>
      <c r="L587" s="283"/>
      <c r="M587" s="283"/>
      <c r="N587" s="283"/>
      <c r="O587" s="283"/>
      <c r="P587" s="283"/>
      <c r="Q587" s="283"/>
      <c r="R587" s="283"/>
      <c r="S587" s="283"/>
      <c r="T587" s="283"/>
    </row>
    <row r="588">
      <c r="A588" s="300"/>
      <c r="B588" s="282"/>
      <c r="C588" s="283"/>
      <c r="D588" s="282"/>
      <c r="E588" s="283"/>
      <c r="F588" s="283"/>
      <c r="G588" s="284"/>
      <c r="H588" s="284"/>
      <c r="I588" s="283"/>
      <c r="J588" s="283"/>
      <c r="K588" s="283"/>
      <c r="L588" s="283"/>
      <c r="M588" s="283"/>
      <c r="N588" s="283"/>
      <c r="O588" s="283"/>
      <c r="P588" s="283"/>
      <c r="Q588" s="283"/>
      <c r="R588" s="283"/>
      <c r="S588" s="283"/>
      <c r="T588" s="283"/>
    </row>
    <row r="589">
      <c r="A589" s="300"/>
      <c r="B589" s="282"/>
      <c r="C589" s="283"/>
      <c r="D589" s="282"/>
      <c r="E589" s="283"/>
      <c r="F589" s="283"/>
      <c r="G589" s="284"/>
      <c r="H589" s="284"/>
      <c r="I589" s="283"/>
      <c r="J589" s="283"/>
      <c r="K589" s="283"/>
      <c r="L589" s="283"/>
      <c r="M589" s="283"/>
      <c r="N589" s="283"/>
      <c r="O589" s="283"/>
      <c r="P589" s="283"/>
      <c r="Q589" s="283"/>
      <c r="R589" s="283"/>
      <c r="S589" s="283"/>
      <c r="T589" s="283"/>
    </row>
    <row r="590">
      <c r="A590" s="300"/>
      <c r="B590" s="282"/>
      <c r="C590" s="283"/>
      <c r="D590" s="282"/>
      <c r="E590" s="283"/>
      <c r="F590" s="283"/>
      <c r="G590" s="284"/>
      <c r="H590" s="284"/>
      <c r="I590" s="283"/>
      <c r="J590" s="283"/>
      <c r="K590" s="283"/>
      <c r="L590" s="283"/>
      <c r="M590" s="283"/>
      <c r="N590" s="283"/>
      <c r="O590" s="283"/>
      <c r="P590" s="283"/>
      <c r="Q590" s="283"/>
      <c r="R590" s="283"/>
      <c r="S590" s="283"/>
      <c r="T590" s="283"/>
    </row>
    <row r="591">
      <c r="A591" s="300"/>
      <c r="B591" s="282"/>
      <c r="C591" s="283"/>
      <c r="D591" s="282"/>
      <c r="E591" s="283"/>
      <c r="F591" s="283"/>
      <c r="G591" s="284"/>
      <c r="H591" s="284"/>
      <c r="I591" s="283"/>
      <c r="J591" s="283"/>
      <c r="K591" s="283"/>
      <c r="L591" s="283"/>
      <c r="M591" s="283"/>
      <c r="N591" s="283"/>
      <c r="O591" s="283"/>
      <c r="P591" s="283"/>
      <c r="Q591" s="283"/>
      <c r="R591" s="283"/>
      <c r="S591" s="283"/>
      <c r="T591" s="283"/>
    </row>
    <row r="592">
      <c r="A592" s="300"/>
      <c r="B592" s="282"/>
      <c r="C592" s="283"/>
      <c r="D592" s="282"/>
      <c r="E592" s="283"/>
      <c r="F592" s="283"/>
      <c r="G592" s="284"/>
      <c r="H592" s="284"/>
      <c r="I592" s="283"/>
      <c r="J592" s="283"/>
      <c r="K592" s="283"/>
      <c r="L592" s="283"/>
      <c r="M592" s="283"/>
      <c r="N592" s="283"/>
      <c r="O592" s="283"/>
      <c r="P592" s="283"/>
      <c r="Q592" s="283"/>
      <c r="R592" s="283"/>
      <c r="S592" s="283"/>
      <c r="T592" s="283"/>
    </row>
    <row r="593">
      <c r="A593" s="300"/>
      <c r="B593" s="282"/>
      <c r="C593" s="283"/>
      <c r="D593" s="282"/>
      <c r="E593" s="283"/>
      <c r="F593" s="283"/>
      <c r="G593" s="284"/>
      <c r="H593" s="284"/>
      <c r="I593" s="283"/>
      <c r="J593" s="283"/>
      <c r="K593" s="283"/>
      <c r="L593" s="283"/>
      <c r="M593" s="283"/>
      <c r="N593" s="283"/>
      <c r="O593" s="283"/>
      <c r="P593" s="283"/>
      <c r="Q593" s="283"/>
      <c r="R593" s="283"/>
      <c r="S593" s="283"/>
      <c r="T593" s="283"/>
    </row>
    <row r="594">
      <c r="A594" s="300"/>
      <c r="B594" s="282"/>
      <c r="C594" s="283"/>
      <c r="D594" s="282"/>
      <c r="E594" s="283"/>
      <c r="F594" s="283"/>
      <c r="G594" s="284"/>
      <c r="H594" s="284"/>
      <c r="I594" s="283"/>
      <c r="J594" s="283"/>
      <c r="K594" s="283"/>
      <c r="L594" s="283"/>
      <c r="M594" s="283"/>
      <c r="N594" s="283"/>
      <c r="O594" s="283"/>
      <c r="P594" s="283"/>
      <c r="Q594" s="283"/>
      <c r="R594" s="283"/>
      <c r="S594" s="283"/>
      <c r="T594" s="283"/>
    </row>
    <row r="595">
      <c r="A595" s="300"/>
      <c r="B595" s="282"/>
      <c r="C595" s="283"/>
      <c r="D595" s="282"/>
      <c r="E595" s="283"/>
      <c r="F595" s="283"/>
      <c r="G595" s="284"/>
      <c r="H595" s="284"/>
      <c r="I595" s="283"/>
      <c r="J595" s="283"/>
      <c r="K595" s="283"/>
      <c r="L595" s="283"/>
      <c r="M595" s="283"/>
      <c r="N595" s="283"/>
      <c r="O595" s="283"/>
      <c r="P595" s="283"/>
      <c r="Q595" s="283"/>
      <c r="R595" s="283"/>
      <c r="S595" s="283"/>
      <c r="T595" s="283"/>
    </row>
    <row r="596">
      <c r="A596" s="300"/>
      <c r="B596" s="282"/>
      <c r="C596" s="283"/>
      <c r="D596" s="282"/>
      <c r="E596" s="283"/>
      <c r="F596" s="283"/>
      <c r="G596" s="284"/>
      <c r="H596" s="284"/>
      <c r="I596" s="283"/>
      <c r="J596" s="283"/>
      <c r="K596" s="283"/>
      <c r="L596" s="283"/>
      <c r="M596" s="283"/>
      <c r="N596" s="283"/>
      <c r="O596" s="283"/>
      <c r="P596" s="283"/>
      <c r="Q596" s="283"/>
      <c r="R596" s="283"/>
      <c r="S596" s="283"/>
      <c r="T596" s="283"/>
    </row>
    <row r="597">
      <c r="A597" s="300"/>
      <c r="B597" s="282"/>
      <c r="C597" s="283"/>
      <c r="D597" s="282"/>
      <c r="E597" s="283"/>
      <c r="F597" s="283"/>
      <c r="G597" s="284"/>
      <c r="H597" s="284"/>
      <c r="I597" s="283"/>
      <c r="J597" s="283"/>
      <c r="K597" s="283"/>
      <c r="L597" s="283"/>
      <c r="M597" s="283"/>
      <c r="N597" s="283"/>
      <c r="O597" s="283"/>
      <c r="P597" s="283"/>
      <c r="Q597" s="283"/>
      <c r="R597" s="283"/>
      <c r="S597" s="283"/>
      <c r="T597" s="283"/>
    </row>
    <row r="598">
      <c r="A598" s="300"/>
      <c r="B598" s="282"/>
      <c r="C598" s="283"/>
      <c r="D598" s="282"/>
      <c r="E598" s="283"/>
      <c r="F598" s="283"/>
      <c r="G598" s="284"/>
      <c r="H598" s="284"/>
      <c r="I598" s="283"/>
      <c r="J598" s="283"/>
      <c r="K598" s="283"/>
      <c r="L598" s="283"/>
      <c r="M598" s="283"/>
      <c r="N598" s="283"/>
      <c r="O598" s="283"/>
      <c r="P598" s="283"/>
      <c r="Q598" s="283"/>
      <c r="R598" s="283"/>
      <c r="S598" s="283"/>
      <c r="T598" s="283"/>
    </row>
    <row r="599">
      <c r="A599" s="300"/>
      <c r="B599" s="282"/>
      <c r="C599" s="283"/>
      <c r="D599" s="282"/>
      <c r="E599" s="283"/>
      <c r="F599" s="283"/>
      <c r="G599" s="284"/>
      <c r="H599" s="284"/>
      <c r="I599" s="283"/>
      <c r="J599" s="283"/>
      <c r="K599" s="283"/>
      <c r="L599" s="283"/>
      <c r="M599" s="283"/>
      <c r="N599" s="283"/>
      <c r="O599" s="283"/>
      <c r="P599" s="283"/>
      <c r="Q599" s="283"/>
      <c r="R599" s="283"/>
      <c r="S599" s="283"/>
      <c r="T599" s="283"/>
    </row>
    <row r="600">
      <c r="A600" s="300"/>
      <c r="B600" s="282"/>
      <c r="C600" s="283"/>
      <c r="D600" s="282"/>
      <c r="E600" s="283"/>
      <c r="F600" s="283"/>
      <c r="G600" s="284"/>
      <c r="H600" s="284"/>
      <c r="I600" s="283"/>
      <c r="J600" s="283"/>
      <c r="K600" s="283"/>
      <c r="L600" s="283"/>
      <c r="M600" s="283"/>
      <c r="N600" s="283"/>
      <c r="O600" s="283"/>
      <c r="P600" s="283"/>
      <c r="Q600" s="283"/>
      <c r="R600" s="283"/>
      <c r="S600" s="283"/>
      <c r="T600" s="283"/>
    </row>
    <row r="601">
      <c r="A601" s="300"/>
      <c r="B601" s="282"/>
      <c r="C601" s="283"/>
      <c r="D601" s="282"/>
      <c r="E601" s="283"/>
      <c r="F601" s="283"/>
      <c r="G601" s="284"/>
      <c r="H601" s="284"/>
      <c r="I601" s="283"/>
      <c r="J601" s="283"/>
      <c r="K601" s="283"/>
      <c r="L601" s="283"/>
      <c r="M601" s="283"/>
      <c r="N601" s="283"/>
      <c r="O601" s="283"/>
      <c r="P601" s="283"/>
      <c r="Q601" s="283"/>
      <c r="R601" s="283"/>
      <c r="S601" s="283"/>
      <c r="T601" s="283"/>
    </row>
    <row r="602">
      <c r="A602" s="300"/>
      <c r="B602" s="282"/>
      <c r="C602" s="283"/>
      <c r="D602" s="282"/>
      <c r="E602" s="283"/>
      <c r="F602" s="283"/>
      <c r="G602" s="284"/>
      <c r="H602" s="284"/>
      <c r="I602" s="283"/>
      <c r="J602" s="283"/>
      <c r="K602" s="283"/>
      <c r="L602" s="283"/>
      <c r="M602" s="283"/>
      <c r="N602" s="283"/>
      <c r="O602" s="283"/>
      <c r="P602" s="283"/>
      <c r="Q602" s="283"/>
      <c r="R602" s="283"/>
      <c r="S602" s="283"/>
      <c r="T602" s="283"/>
    </row>
    <row r="603">
      <c r="A603" s="300"/>
      <c r="B603" s="282"/>
      <c r="C603" s="283"/>
      <c r="D603" s="282"/>
      <c r="E603" s="283"/>
      <c r="F603" s="283"/>
      <c r="G603" s="284"/>
      <c r="H603" s="284"/>
      <c r="I603" s="283"/>
      <c r="J603" s="283"/>
      <c r="K603" s="283"/>
      <c r="L603" s="283"/>
      <c r="M603" s="283"/>
      <c r="N603" s="283"/>
      <c r="O603" s="283"/>
      <c r="P603" s="283"/>
      <c r="Q603" s="283"/>
      <c r="R603" s="283"/>
      <c r="S603" s="283"/>
      <c r="T603" s="283"/>
    </row>
    <row r="604">
      <c r="A604" s="300"/>
      <c r="B604" s="282"/>
      <c r="C604" s="283"/>
      <c r="D604" s="282"/>
      <c r="E604" s="283"/>
      <c r="F604" s="283"/>
      <c r="G604" s="284"/>
      <c r="H604" s="284"/>
      <c r="I604" s="283"/>
      <c r="J604" s="283"/>
      <c r="K604" s="283"/>
      <c r="L604" s="283"/>
      <c r="M604" s="283"/>
      <c r="N604" s="283"/>
      <c r="O604" s="283"/>
      <c r="P604" s="283"/>
      <c r="Q604" s="283"/>
      <c r="R604" s="283"/>
      <c r="S604" s="283"/>
      <c r="T604" s="283"/>
    </row>
    <row r="605">
      <c r="A605" s="300"/>
      <c r="B605" s="282"/>
      <c r="C605" s="283"/>
      <c r="D605" s="282"/>
      <c r="E605" s="283"/>
      <c r="F605" s="283"/>
      <c r="G605" s="284"/>
      <c r="H605" s="284"/>
      <c r="I605" s="283"/>
      <c r="J605" s="283"/>
      <c r="K605" s="283"/>
      <c r="L605" s="283"/>
      <c r="M605" s="283"/>
      <c r="N605" s="283"/>
      <c r="O605" s="283"/>
      <c r="P605" s="283"/>
      <c r="Q605" s="283"/>
      <c r="R605" s="283"/>
      <c r="S605" s="283"/>
      <c r="T605" s="283"/>
    </row>
    <row r="606">
      <c r="A606" s="300"/>
      <c r="B606" s="282"/>
      <c r="C606" s="283"/>
      <c r="D606" s="282"/>
      <c r="E606" s="283"/>
      <c r="F606" s="283"/>
      <c r="G606" s="284"/>
      <c r="H606" s="284"/>
      <c r="I606" s="283"/>
      <c r="J606" s="283"/>
      <c r="K606" s="283"/>
      <c r="L606" s="283"/>
      <c r="M606" s="283"/>
      <c r="N606" s="283"/>
      <c r="O606" s="283"/>
      <c r="P606" s="283"/>
      <c r="Q606" s="283"/>
      <c r="R606" s="283"/>
      <c r="S606" s="283"/>
      <c r="T606" s="283"/>
    </row>
    <row r="607">
      <c r="A607" s="300"/>
      <c r="B607" s="282"/>
      <c r="C607" s="283"/>
      <c r="D607" s="282"/>
      <c r="E607" s="283"/>
      <c r="F607" s="283"/>
      <c r="G607" s="284"/>
      <c r="H607" s="284"/>
      <c r="I607" s="283"/>
      <c r="J607" s="283"/>
      <c r="K607" s="283"/>
      <c r="L607" s="283"/>
      <c r="M607" s="283"/>
      <c r="N607" s="283"/>
      <c r="O607" s="283"/>
      <c r="P607" s="283"/>
      <c r="Q607" s="283"/>
      <c r="R607" s="283"/>
      <c r="S607" s="283"/>
      <c r="T607" s="283"/>
    </row>
    <row r="608">
      <c r="A608" s="300"/>
      <c r="B608" s="282"/>
      <c r="C608" s="283"/>
      <c r="D608" s="282"/>
      <c r="E608" s="283"/>
      <c r="F608" s="283"/>
      <c r="G608" s="284"/>
      <c r="H608" s="284"/>
      <c r="I608" s="283"/>
      <c r="J608" s="283"/>
      <c r="K608" s="283"/>
      <c r="L608" s="283"/>
      <c r="M608" s="283"/>
      <c r="N608" s="283"/>
      <c r="O608" s="283"/>
      <c r="P608" s="283"/>
      <c r="Q608" s="283"/>
      <c r="R608" s="283"/>
      <c r="S608" s="283"/>
      <c r="T608" s="283"/>
    </row>
    <row r="609">
      <c r="A609" s="300"/>
      <c r="B609" s="282"/>
      <c r="C609" s="283"/>
      <c r="D609" s="282"/>
      <c r="E609" s="283"/>
      <c r="F609" s="283"/>
      <c r="G609" s="284"/>
      <c r="H609" s="284"/>
      <c r="I609" s="283"/>
      <c r="J609" s="283"/>
      <c r="K609" s="283"/>
      <c r="L609" s="283"/>
      <c r="M609" s="283"/>
      <c r="N609" s="283"/>
      <c r="O609" s="283"/>
      <c r="P609" s="283"/>
      <c r="Q609" s="283"/>
      <c r="R609" s="283"/>
      <c r="S609" s="283"/>
      <c r="T609" s="283"/>
    </row>
    <row r="610">
      <c r="A610" s="300"/>
      <c r="B610" s="282"/>
      <c r="C610" s="283"/>
      <c r="D610" s="282"/>
      <c r="E610" s="283"/>
      <c r="F610" s="283"/>
      <c r="G610" s="284"/>
      <c r="H610" s="284"/>
      <c r="I610" s="283"/>
      <c r="J610" s="283"/>
      <c r="K610" s="283"/>
      <c r="L610" s="283"/>
      <c r="M610" s="283"/>
      <c r="N610" s="283"/>
      <c r="O610" s="283"/>
      <c r="P610" s="283"/>
      <c r="Q610" s="283"/>
      <c r="R610" s="283"/>
      <c r="S610" s="283"/>
      <c r="T610" s="283"/>
    </row>
    <row r="611">
      <c r="A611" s="300"/>
      <c r="B611" s="282"/>
      <c r="C611" s="283"/>
      <c r="D611" s="282"/>
      <c r="E611" s="283"/>
      <c r="F611" s="283"/>
      <c r="G611" s="284"/>
      <c r="H611" s="284"/>
      <c r="I611" s="283"/>
      <c r="J611" s="283"/>
      <c r="K611" s="283"/>
      <c r="L611" s="283"/>
      <c r="M611" s="283"/>
      <c r="N611" s="283"/>
      <c r="O611" s="283"/>
      <c r="P611" s="283"/>
      <c r="Q611" s="283"/>
      <c r="R611" s="283"/>
      <c r="S611" s="283"/>
      <c r="T611" s="283"/>
    </row>
    <row r="612">
      <c r="A612" s="300"/>
      <c r="B612" s="282"/>
      <c r="C612" s="283"/>
      <c r="D612" s="282"/>
      <c r="E612" s="283"/>
      <c r="F612" s="283"/>
      <c r="G612" s="284"/>
      <c r="H612" s="284"/>
      <c r="I612" s="283"/>
      <c r="J612" s="283"/>
      <c r="K612" s="283"/>
      <c r="L612" s="283"/>
      <c r="M612" s="283"/>
      <c r="N612" s="283"/>
      <c r="O612" s="283"/>
      <c r="P612" s="283"/>
      <c r="Q612" s="283"/>
      <c r="R612" s="283"/>
      <c r="S612" s="283"/>
      <c r="T612" s="283"/>
    </row>
    <row r="613">
      <c r="A613" s="300"/>
      <c r="B613" s="282"/>
      <c r="C613" s="283"/>
      <c r="D613" s="282"/>
      <c r="E613" s="283"/>
      <c r="F613" s="283"/>
      <c r="G613" s="284"/>
      <c r="H613" s="284"/>
      <c r="I613" s="283"/>
      <c r="J613" s="283"/>
      <c r="K613" s="283"/>
      <c r="L613" s="283"/>
      <c r="M613" s="283"/>
      <c r="N613" s="283"/>
      <c r="O613" s="283"/>
      <c r="P613" s="283"/>
      <c r="Q613" s="283"/>
      <c r="R613" s="283"/>
      <c r="S613" s="283"/>
      <c r="T613" s="283"/>
    </row>
    <row r="614">
      <c r="A614" s="300"/>
      <c r="B614" s="282"/>
      <c r="C614" s="283"/>
      <c r="D614" s="282"/>
      <c r="E614" s="283"/>
      <c r="F614" s="283"/>
      <c r="G614" s="284"/>
      <c r="H614" s="284"/>
      <c r="I614" s="283"/>
      <c r="J614" s="283"/>
      <c r="K614" s="283"/>
      <c r="L614" s="283"/>
      <c r="M614" s="283"/>
      <c r="N614" s="283"/>
      <c r="O614" s="283"/>
      <c r="P614" s="283"/>
      <c r="Q614" s="283"/>
      <c r="R614" s="283"/>
      <c r="S614" s="283"/>
      <c r="T614" s="283"/>
    </row>
    <row r="615">
      <c r="A615" s="300"/>
      <c r="B615" s="282"/>
      <c r="C615" s="283"/>
      <c r="D615" s="282"/>
      <c r="E615" s="283"/>
      <c r="F615" s="283"/>
      <c r="G615" s="284"/>
      <c r="H615" s="284"/>
      <c r="I615" s="283"/>
      <c r="J615" s="283"/>
      <c r="K615" s="283"/>
      <c r="L615" s="283"/>
      <c r="M615" s="283"/>
      <c r="N615" s="283"/>
      <c r="O615" s="283"/>
      <c r="P615" s="283"/>
      <c r="Q615" s="283"/>
      <c r="R615" s="283"/>
      <c r="S615" s="283"/>
      <c r="T615" s="283"/>
    </row>
    <row r="616">
      <c r="A616" s="300"/>
      <c r="B616" s="282"/>
      <c r="C616" s="283"/>
      <c r="D616" s="282"/>
      <c r="E616" s="283"/>
      <c r="F616" s="283"/>
      <c r="G616" s="284"/>
      <c r="H616" s="284"/>
      <c r="I616" s="283"/>
      <c r="J616" s="283"/>
      <c r="K616" s="283"/>
      <c r="L616" s="283"/>
      <c r="M616" s="283"/>
      <c r="N616" s="283"/>
      <c r="O616" s="283"/>
      <c r="P616" s="283"/>
      <c r="Q616" s="283"/>
      <c r="R616" s="283"/>
      <c r="S616" s="283"/>
      <c r="T616" s="283"/>
    </row>
    <row r="617">
      <c r="A617" s="300"/>
      <c r="B617" s="282"/>
      <c r="C617" s="283"/>
      <c r="D617" s="282"/>
      <c r="E617" s="283"/>
      <c r="F617" s="283"/>
      <c r="G617" s="284"/>
      <c r="H617" s="284"/>
      <c r="I617" s="283"/>
      <c r="J617" s="283"/>
      <c r="K617" s="283"/>
      <c r="L617" s="283"/>
      <c r="M617" s="283"/>
      <c r="N617" s="283"/>
      <c r="O617" s="283"/>
      <c r="P617" s="283"/>
      <c r="Q617" s="283"/>
      <c r="R617" s="283"/>
      <c r="S617" s="283"/>
      <c r="T617" s="283"/>
    </row>
    <row r="618">
      <c r="A618" s="300"/>
      <c r="B618" s="282"/>
      <c r="C618" s="283"/>
      <c r="D618" s="282"/>
      <c r="E618" s="283"/>
      <c r="F618" s="283"/>
      <c r="G618" s="284"/>
      <c r="H618" s="284"/>
      <c r="I618" s="283"/>
      <c r="J618" s="283"/>
      <c r="K618" s="283"/>
      <c r="L618" s="283"/>
      <c r="M618" s="283"/>
      <c r="N618" s="283"/>
      <c r="O618" s="283"/>
      <c r="P618" s="283"/>
      <c r="Q618" s="283"/>
      <c r="R618" s="283"/>
      <c r="S618" s="283"/>
      <c r="T618" s="283"/>
    </row>
    <row r="619">
      <c r="A619" s="300"/>
      <c r="B619" s="282"/>
      <c r="C619" s="283"/>
      <c r="D619" s="282"/>
      <c r="E619" s="283"/>
      <c r="F619" s="283"/>
      <c r="G619" s="284"/>
      <c r="H619" s="284"/>
      <c r="I619" s="283"/>
      <c r="J619" s="283"/>
      <c r="K619" s="283"/>
      <c r="L619" s="283"/>
      <c r="M619" s="283"/>
      <c r="N619" s="283"/>
      <c r="O619" s="283"/>
      <c r="P619" s="283"/>
      <c r="Q619" s="283"/>
      <c r="R619" s="283"/>
      <c r="S619" s="283"/>
      <c r="T619" s="283"/>
    </row>
    <row r="620">
      <c r="A620" s="300"/>
      <c r="B620" s="282"/>
      <c r="C620" s="283"/>
      <c r="D620" s="282"/>
      <c r="E620" s="283"/>
      <c r="F620" s="283"/>
      <c r="G620" s="284"/>
      <c r="H620" s="284"/>
      <c r="I620" s="283"/>
      <c r="J620" s="283"/>
      <c r="K620" s="283"/>
      <c r="L620" s="283"/>
      <c r="M620" s="283"/>
      <c r="N620" s="283"/>
      <c r="O620" s="283"/>
      <c r="P620" s="283"/>
      <c r="Q620" s="283"/>
      <c r="R620" s="283"/>
      <c r="S620" s="283"/>
      <c r="T620" s="283"/>
    </row>
    <row r="621">
      <c r="A621" s="300"/>
      <c r="B621" s="282"/>
      <c r="C621" s="283"/>
      <c r="D621" s="282"/>
      <c r="E621" s="283"/>
      <c r="F621" s="283"/>
      <c r="G621" s="284"/>
      <c r="H621" s="284"/>
      <c r="I621" s="283"/>
      <c r="J621" s="283"/>
      <c r="K621" s="283"/>
      <c r="L621" s="283"/>
      <c r="M621" s="283"/>
      <c r="N621" s="283"/>
      <c r="O621" s="283"/>
      <c r="P621" s="283"/>
      <c r="Q621" s="283"/>
      <c r="R621" s="283"/>
      <c r="S621" s="283"/>
      <c r="T621" s="283"/>
    </row>
    <row r="622">
      <c r="A622" s="300"/>
      <c r="B622" s="282"/>
      <c r="C622" s="283"/>
      <c r="D622" s="282"/>
      <c r="E622" s="283"/>
      <c r="F622" s="283"/>
      <c r="G622" s="284"/>
      <c r="H622" s="284"/>
      <c r="I622" s="283"/>
      <c r="J622" s="283"/>
      <c r="K622" s="283"/>
      <c r="L622" s="283"/>
      <c r="M622" s="283"/>
      <c r="N622" s="283"/>
      <c r="O622" s="283"/>
      <c r="P622" s="283"/>
      <c r="Q622" s="283"/>
      <c r="R622" s="283"/>
      <c r="S622" s="283"/>
      <c r="T622" s="283"/>
    </row>
    <row r="623">
      <c r="A623" s="300"/>
      <c r="B623" s="282"/>
      <c r="C623" s="283"/>
      <c r="D623" s="282"/>
      <c r="E623" s="283"/>
      <c r="F623" s="283"/>
      <c r="G623" s="284"/>
      <c r="H623" s="284"/>
      <c r="I623" s="283"/>
      <c r="J623" s="283"/>
      <c r="K623" s="283"/>
      <c r="L623" s="283"/>
      <c r="M623" s="283"/>
      <c r="N623" s="283"/>
      <c r="O623" s="283"/>
      <c r="P623" s="283"/>
      <c r="Q623" s="283"/>
      <c r="R623" s="283"/>
      <c r="S623" s="283"/>
      <c r="T623" s="283"/>
    </row>
    <row r="624">
      <c r="A624" s="300"/>
      <c r="B624" s="282"/>
      <c r="C624" s="283"/>
      <c r="D624" s="282"/>
      <c r="E624" s="283"/>
      <c r="F624" s="283"/>
      <c r="G624" s="284"/>
      <c r="H624" s="284"/>
      <c r="I624" s="283"/>
      <c r="J624" s="283"/>
      <c r="K624" s="283"/>
      <c r="L624" s="283"/>
      <c r="M624" s="283"/>
      <c r="N624" s="283"/>
      <c r="O624" s="283"/>
      <c r="P624" s="283"/>
      <c r="Q624" s="283"/>
      <c r="R624" s="283"/>
      <c r="S624" s="283"/>
      <c r="T624" s="283"/>
    </row>
    <row r="625">
      <c r="A625" s="300"/>
      <c r="B625" s="282"/>
      <c r="C625" s="283"/>
      <c r="D625" s="282"/>
      <c r="E625" s="283"/>
      <c r="F625" s="283"/>
      <c r="G625" s="284"/>
      <c r="H625" s="284"/>
      <c r="I625" s="283"/>
      <c r="J625" s="283"/>
      <c r="K625" s="283"/>
      <c r="L625" s="283"/>
      <c r="M625" s="283"/>
      <c r="N625" s="283"/>
      <c r="O625" s="283"/>
      <c r="P625" s="283"/>
      <c r="Q625" s="283"/>
      <c r="R625" s="283"/>
      <c r="S625" s="283"/>
      <c r="T625" s="283"/>
    </row>
    <row r="626">
      <c r="A626" s="300"/>
      <c r="B626" s="282"/>
      <c r="C626" s="283"/>
      <c r="D626" s="282"/>
      <c r="E626" s="283"/>
      <c r="F626" s="283"/>
      <c r="G626" s="284"/>
      <c r="H626" s="284"/>
      <c r="I626" s="283"/>
      <c r="J626" s="283"/>
      <c r="K626" s="283"/>
      <c r="L626" s="283"/>
      <c r="M626" s="283"/>
      <c r="N626" s="283"/>
      <c r="O626" s="283"/>
      <c r="P626" s="283"/>
      <c r="Q626" s="283"/>
      <c r="R626" s="283"/>
      <c r="S626" s="283"/>
      <c r="T626" s="283"/>
    </row>
    <row r="627">
      <c r="A627" s="300"/>
      <c r="B627" s="282"/>
      <c r="C627" s="283"/>
      <c r="D627" s="282"/>
      <c r="E627" s="283"/>
      <c r="F627" s="283"/>
      <c r="G627" s="284"/>
      <c r="H627" s="284"/>
      <c r="I627" s="283"/>
      <c r="J627" s="283"/>
      <c r="K627" s="283"/>
      <c r="L627" s="283"/>
      <c r="M627" s="283"/>
      <c r="N627" s="283"/>
      <c r="O627" s="283"/>
      <c r="P627" s="283"/>
      <c r="Q627" s="283"/>
      <c r="R627" s="283"/>
      <c r="S627" s="283"/>
      <c r="T627" s="283"/>
    </row>
    <row r="628">
      <c r="A628" s="300"/>
      <c r="B628" s="282"/>
      <c r="C628" s="283"/>
      <c r="D628" s="282"/>
      <c r="E628" s="283"/>
      <c r="F628" s="283"/>
      <c r="G628" s="284"/>
      <c r="H628" s="284"/>
      <c r="I628" s="283"/>
      <c r="J628" s="283"/>
      <c r="K628" s="283"/>
      <c r="L628" s="283"/>
      <c r="M628" s="283"/>
      <c r="N628" s="283"/>
      <c r="O628" s="283"/>
      <c r="P628" s="283"/>
      <c r="Q628" s="283"/>
      <c r="R628" s="283"/>
      <c r="S628" s="283"/>
      <c r="T628" s="283"/>
    </row>
    <row r="629">
      <c r="A629" s="300"/>
      <c r="B629" s="282"/>
      <c r="C629" s="283"/>
      <c r="D629" s="282"/>
      <c r="E629" s="283"/>
      <c r="F629" s="283"/>
      <c r="G629" s="284"/>
      <c r="H629" s="284"/>
      <c r="I629" s="283"/>
      <c r="J629" s="283"/>
      <c r="K629" s="283"/>
      <c r="L629" s="283"/>
      <c r="M629" s="283"/>
      <c r="N629" s="283"/>
      <c r="O629" s="283"/>
      <c r="P629" s="283"/>
      <c r="Q629" s="283"/>
      <c r="R629" s="283"/>
      <c r="S629" s="283"/>
      <c r="T629" s="283"/>
    </row>
    <row r="630">
      <c r="A630" s="300"/>
      <c r="B630" s="282"/>
      <c r="C630" s="283"/>
      <c r="D630" s="282"/>
      <c r="E630" s="283"/>
      <c r="F630" s="283"/>
      <c r="G630" s="284"/>
      <c r="H630" s="284"/>
      <c r="I630" s="283"/>
      <c r="J630" s="283"/>
      <c r="K630" s="283"/>
      <c r="L630" s="283"/>
      <c r="M630" s="283"/>
      <c r="N630" s="283"/>
      <c r="O630" s="283"/>
      <c r="P630" s="283"/>
      <c r="Q630" s="283"/>
      <c r="R630" s="283"/>
      <c r="S630" s="283"/>
      <c r="T630" s="283"/>
    </row>
    <row r="631">
      <c r="A631" s="300"/>
      <c r="B631" s="282"/>
      <c r="C631" s="283"/>
      <c r="D631" s="282"/>
      <c r="E631" s="283"/>
      <c r="F631" s="283"/>
      <c r="G631" s="284"/>
      <c r="H631" s="284"/>
      <c r="I631" s="283"/>
      <c r="J631" s="283"/>
      <c r="K631" s="283"/>
      <c r="L631" s="283"/>
      <c r="M631" s="283"/>
      <c r="N631" s="283"/>
      <c r="O631" s="283"/>
      <c r="P631" s="283"/>
      <c r="Q631" s="283"/>
      <c r="R631" s="283"/>
      <c r="S631" s="283"/>
      <c r="T631" s="283"/>
    </row>
    <row r="632">
      <c r="A632" s="300"/>
      <c r="B632" s="282"/>
      <c r="C632" s="283"/>
      <c r="D632" s="282"/>
      <c r="E632" s="283"/>
      <c r="F632" s="283"/>
      <c r="G632" s="284"/>
      <c r="H632" s="284"/>
      <c r="I632" s="283"/>
      <c r="J632" s="283"/>
      <c r="K632" s="283"/>
      <c r="L632" s="283"/>
      <c r="M632" s="283"/>
      <c r="N632" s="283"/>
      <c r="O632" s="283"/>
      <c r="P632" s="283"/>
      <c r="Q632" s="283"/>
      <c r="R632" s="283"/>
      <c r="S632" s="283"/>
      <c r="T632" s="283"/>
    </row>
    <row r="633">
      <c r="A633" s="300"/>
      <c r="B633" s="282"/>
      <c r="C633" s="283"/>
      <c r="D633" s="282"/>
      <c r="E633" s="283"/>
      <c r="F633" s="283"/>
      <c r="G633" s="284"/>
      <c r="H633" s="284"/>
      <c r="I633" s="283"/>
      <c r="J633" s="283"/>
      <c r="K633" s="283"/>
      <c r="L633" s="283"/>
      <c r="M633" s="283"/>
      <c r="N633" s="283"/>
      <c r="O633" s="283"/>
      <c r="P633" s="283"/>
      <c r="Q633" s="283"/>
      <c r="R633" s="283"/>
      <c r="S633" s="283"/>
      <c r="T633" s="283"/>
    </row>
    <row r="634">
      <c r="A634" s="300"/>
      <c r="B634" s="282"/>
      <c r="C634" s="283"/>
      <c r="D634" s="282"/>
      <c r="E634" s="283"/>
      <c r="F634" s="283"/>
      <c r="G634" s="284"/>
      <c r="H634" s="284"/>
      <c r="I634" s="283"/>
      <c r="J634" s="283"/>
      <c r="K634" s="283"/>
      <c r="L634" s="283"/>
      <c r="M634" s="283"/>
      <c r="N634" s="283"/>
      <c r="O634" s="283"/>
      <c r="P634" s="283"/>
      <c r="Q634" s="283"/>
      <c r="R634" s="283"/>
      <c r="S634" s="283"/>
      <c r="T634" s="283"/>
    </row>
    <row r="635">
      <c r="A635" s="300"/>
      <c r="B635" s="282"/>
      <c r="C635" s="283"/>
      <c r="D635" s="282"/>
      <c r="E635" s="283"/>
      <c r="F635" s="283"/>
      <c r="G635" s="284"/>
      <c r="H635" s="284"/>
      <c r="I635" s="283"/>
      <c r="J635" s="283"/>
      <c r="K635" s="283"/>
      <c r="L635" s="283"/>
      <c r="M635" s="283"/>
      <c r="N635" s="283"/>
      <c r="O635" s="283"/>
      <c r="P635" s="283"/>
      <c r="Q635" s="283"/>
      <c r="R635" s="283"/>
      <c r="S635" s="283"/>
      <c r="T635" s="283"/>
    </row>
    <row r="636">
      <c r="A636" s="300"/>
      <c r="B636" s="282"/>
      <c r="C636" s="283"/>
      <c r="D636" s="282"/>
      <c r="E636" s="283"/>
      <c r="F636" s="283"/>
      <c r="G636" s="284"/>
      <c r="H636" s="284"/>
      <c r="I636" s="283"/>
      <c r="J636" s="283"/>
      <c r="K636" s="283"/>
      <c r="L636" s="283"/>
      <c r="M636" s="283"/>
      <c r="N636" s="283"/>
      <c r="O636" s="283"/>
      <c r="P636" s="283"/>
      <c r="Q636" s="283"/>
      <c r="R636" s="283"/>
      <c r="S636" s="283"/>
      <c r="T636" s="283"/>
    </row>
    <row r="637">
      <c r="A637" s="300"/>
      <c r="B637" s="282"/>
      <c r="C637" s="283"/>
      <c r="D637" s="282"/>
      <c r="E637" s="283"/>
      <c r="F637" s="283"/>
      <c r="G637" s="284"/>
      <c r="H637" s="284"/>
      <c r="I637" s="283"/>
      <c r="J637" s="283"/>
      <c r="K637" s="283"/>
      <c r="L637" s="283"/>
      <c r="M637" s="283"/>
      <c r="N637" s="283"/>
      <c r="O637" s="283"/>
      <c r="P637" s="283"/>
      <c r="Q637" s="283"/>
      <c r="R637" s="283"/>
      <c r="S637" s="283"/>
      <c r="T637" s="283"/>
    </row>
    <row r="638">
      <c r="A638" s="300"/>
      <c r="B638" s="282"/>
      <c r="C638" s="283"/>
      <c r="D638" s="282"/>
      <c r="E638" s="283"/>
      <c r="F638" s="283"/>
      <c r="G638" s="284"/>
      <c r="H638" s="284"/>
      <c r="I638" s="283"/>
      <c r="J638" s="283"/>
      <c r="K638" s="283"/>
      <c r="L638" s="283"/>
      <c r="M638" s="283"/>
      <c r="N638" s="283"/>
      <c r="O638" s="283"/>
      <c r="P638" s="283"/>
      <c r="Q638" s="283"/>
      <c r="R638" s="283"/>
      <c r="S638" s="283"/>
      <c r="T638" s="283"/>
    </row>
    <row r="639">
      <c r="A639" s="300"/>
      <c r="B639" s="282"/>
      <c r="C639" s="283"/>
      <c r="D639" s="282"/>
      <c r="E639" s="283"/>
      <c r="F639" s="283"/>
      <c r="G639" s="284"/>
      <c r="H639" s="284"/>
      <c r="I639" s="283"/>
      <c r="J639" s="283"/>
      <c r="K639" s="283"/>
      <c r="L639" s="283"/>
      <c r="M639" s="283"/>
      <c r="N639" s="283"/>
      <c r="O639" s="283"/>
      <c r="P639" s="283"/>
      <c r="Q639" s="283"/>
      <c r="R639" s="283"/>
      <c r="S639" s="283"/>
      <c r="T639" s="283"/>
    </row>
    <row r="640">
      <c r="A640" s="300"/>
      <c r="B640" s="282"/>
      <c r="C640" s="283"/>
      <c r="D640" s="282"/>
      <c r="E640" s="283"/>
      <c r="F640" s="283"/>
      <c r="G640" s="284"/>
      <c r="H640" s="284"/>
      <c r="I640" s="283"/>
      <c r="J640" s="283"/>
      <c r="K640" s="283"/>
      <c r="L640" s="283"/>
      <c r="M640" s="283"/>
      <c r="N640" s="283"/>
      <c r="O640" s="283"/>
      <c r="P640" s="283"/>
      <c r="Q640" s="283"/>
      <c r="R640" s="283"/>
      <c r="S640" s="283"/>
      <c r="T640" s="283"/>
    </row>
    <row r="641">
      <c r="A641" s="300"/>
      <c r="B641" s="282"/>
      <c r="C641" s="283"/>
      <c r="D641" s="282"/>
      <c r="E641" s="283"/>
      <c r="F641" s="283"/>
      <c r="G641" s="284"/>
      <c r="H641" s="284"/>
      <c r="I641" s="283"/>
      <c r="J641" s="283"/>
      <c r="K641" s="283"/>
      <c r="L641" s="283"/>
      <c r="M641" s="283"/>
      <c r="N641" s="283"/>
      <c r="O641" s="283"/>
      <c r="P641" s="283"/>
      <c r="Q641" s="283"/>
      <c r="R641" s="283"/>
      <c r="S641" s="283"/>
      <c r="T641" s="283"/>
    </row>
    <row r="642">
      <c r="A642" s="300"/>
      <c r="B642" s="282"/>
      <c r="C642" s="283"/>
      <c r="D642" s="282"/>
      <c r="E642" s="283"/>
      <c r="F642" s="283"/>
      <c r="G642" s="284"/>
      <c r="H642" s="284"/>
      <c r="I642" s="283"/>
      <c r="J642" s="283"/>
      <c r="K642" s="283"/>
      <c r="L642" s="283"/>
      <c r="M642" s="283"/>
      <c r="N642" s="283"/>
      <c r="O642" s="283"/>
      <c r="P642" s="283"/>
      <c r="Q642" s="283"/>
      <c r="R642" s="283"/>
      <c r="S642" s="283"/>
      <c r="T642" s="283"/>
    </row>
    <row r="643">
      <c r="A643" s="300"/>
      <c r="B643" s="282"/>
      <c r="C643" s="283"/>
      <c r="D643" s="282"/>
      <c r="E643" s="283"/>
      <c r="F643" s="283"/>
      <c r="G643" s="284"/>
      <c r="H643" s="284"/>
      <c r="I643" s="283"/>
      <c r="J643" s="283"/>
      <c r="K643" s="283"/>
      <c r="L643" s="283"/>
      <c r="M643" s="283"/>
      <c r="N643" s="283"/>
      <c r="O643" s="283"/>
      <c r="P643" s="283"/>
      <c r="Q643" s="283"/>
      <c r="R643" s="283"/>
      <c r="S643" s="283"/>
      <c r="T643" s="283"/>
    </row>
    <row r="644">
      <c r="A644" s="300"/>
      <c r="B644" s="282"/>
      <c r="C644" s="283"/>
      <c r="D644" s="282"/>
      <c r="E644" s="283"/>
      <c r="F644" s="283"/>
      <c r="G644" s="284"/>
      <c r="H644" s="284"/>
      <c r="I644" s="283"/>
      <c r="J644" s="283"/>
      <c r="K644" s="283"/>
      <c r="L644" s="283"/>
      <c r="M644" s="283"/>
      <c r="N644" s="283"/>
      <c r="O644" s="283"/>
      <c r="P644" s="283"/>
      <c r="Q644" s="283"/>
      <c r="R644" s="283"/>
      <c r="S644" s="283"/>
      <c r="T644" s="283"/>
    </row>
    <row r="645">
      <c r="A645" s="300"/>
      <c r="B645" s="282"/>
      <c r="C645" s="283"/>
      <c r="D645" s="282"/>
      <c r="E645" s="283"/>
      <c r="F645" s="283"/>
      <c r="G645" s="284"/>
      <c r="H645" s="284"/>
      <c r="I645" s="283"/>
      <c r="J645" s="283"/>
      <c r="K645" s="283"/>
      <c r="L645" s="283"/>
      <c r="M645" s="283"/>
      <c r="N645" s="283"/>
      <c r="O645" s="283"/>
      <c r="P645" s="283"/>
      <c r="Q645" s="283"/>
      <c r="R645" s="283"/>
      <c r="S645" s="283"/>
      <c r="T645" s="283"/>
    </row>
    <row r="646">
      <c r="A646" s="300"/>
      <c r="B646" s="282"/>
      <c r="C646" s="283"/>
      <c r="D646" s="282"/>
      <c r="E646" s="283"/>
      <c r="F646" s="283"/>
      <c r="G646" s="284"/>
      <c r="H646" s="284"/>
      <c r="I646" s="283"/>
      <c r="J646" s="283"/>
      <c r="K646" s="283"/>
      <c r="L646" s="283"/>
      <c r="M646" s="283"/>
      <c r="N646" s="283"/>
      <c r="O646" s="283"/>
      <c r="P646" s="283"/>
      <c r="Q646" s="283"/>
      <c r="R646" s="283"/>
      <c r="S646" s="283"/>
      <c r="T646" s="283"/>
    </row>
    <row r="647">
      <c r="A647" s="300"/>
      <c r="B647" s="282"/>
      <c r="C647" s="283"/>
      <c r="D647" s="282"/>
      <c r="E647" s="283"/>
      <c r="F647" s="283"/>
      <c r="G647" s="284"/>
      <c r="H647" s="284"/>
      <c r="I647" s="283"/>
      <c r="J647" s="283"/>
      <c r="K647" s="283"/>
      <c r="L647" s="283"/>
      <c r="M647" s="283"/>
      <c r="N647" s="283"/>
      <c r="O647" s="283"/>
      <c r="P647" s="283"/>
      <c r="Q647" s="283"/>
      <c r="R647" s="283"/>
      <c r="S647" s="283"/>
      <c r="T647" s="283"/>
    </row>
    <row r="648">
      <c r="A648" s="300"/>
      <c r="B648" s="282"/>
      <c r="C648" s="283"/>
      <c r="D648" s="282"/>
      <c r="E648" s="283"/>
      <c r="F648" s="283"/>
      <c r="G648" s="284"/>
      <c r="H648" s="284"/>
      <c r="I648" s="283"/>
      <c r="J648" s="283"/>
      <c r="K648" s="283"/>
      <c r="L648" s="283"/>
      <c r="M648" s="283"/>
      <c r="N648" s="283"/>
      <c r="O648" s="283"/>
      <c r="P648" s="283"/>
      <c r="Q648" s="283"/>
      <c r="R648" s="283"/>
      <c r="S648" s="283"/>
      <c r="T648" s="283"/>
    </row>
    <row r="649">
      <c r="A649" s="300"/>
      <c r="B649" s="282"/>
      <c r="C649" s="283"/>
      <c r="D649" s="282"/>
      <c r="E649" s="283"/>
      <c r="F649" s="283"/>
      <c r="G649" s="284"/>
      <c r="H649" s="284"/>
      <c r="I649" s="283"/>
      <c r="J649" s="283"/>
      <c r="K649" s="283"/>
      <c r="L649" s="283"/>
      <c r="M649" s="283"/>
      <c r="N649" s="283"/>
      <c r="O649" s="283"/>
      <c r="P649" s="283"/>
      <c r="Q649" s="283"/>
      <c r="R649" s="283"/>
      <c r="S649" s="283"/>
      <c r="T649" s="283"/>
    </row>
    <row r="650">
      <c r="A650" s="300"/>
      <c r="B650" s="282"/>
      <c r="C650" s="283"/>
      <c r="D650" s="282"/>
      <c r="E650" s="283"/>
      <c r="F650" s="283"/>
      <c r="G650" s="284"/>
      <c r="H650" s="284"/>
      <c r="I650" s="283"/>
      <c r="J650" s="283"/>
      <c r="K650" s="283"/>
      <c r="L650" s="283"/>
      <c r="M650" s="283"/>
      <c r="N650" s="283"/>
      <c r="O650" s="283"/>
      <c r="P650" s="283"/>
      <c r="Q650" s="283"/>
      <c r="R650" s="283"/>
      <c r="S650" s="283"/>
      <c r="T650" s="283"/>
    </row>
    <row r="651">
      <c r="A651" s="300"/>
      <c r="B651" s="282"/>
      <c r="C651" s="283"/>
      <c r="D651" s="282"/>
      <c r="E651" s="283"/>
      <c r="F651" s="283"/>
      <c r="G651" s="284"/>
      <c r="H651" s="284"/>
      <c r="I651" s="283"/>
      <c r="J651" s="283"/>
      <c r="K651" s="283"/>
      <c r="L651" s="283"/>
      <c r="M651" s="283"/>
      <c r="N651" s="283"/>
      <c r="O651" s="283"/>
      <c r="P651" s="283"/>
      <c r="Q651" s="283"/>
      <c r="R651" s="283"/>
      <c r="S651" s="283"/>
      <c r="T651" s="283"/>
    </row>
    <row r="652">
      <c r="A652" s="300"/>
      <c r="B652" s="282"/>
      <c r="C652" s="283"/>
      <c r="D652" s="282"/>
      <c r="E652" s="283"/>
      <c r="F652" s="283"/>
      <c r="G652" s="284"/>
      <c r="H652" s="284"/>
      <c r="I652" s="283"/>
      <c r="J652" s="283"/>
      <c r="K652" s="283"/>
      <c r="L652" s="283"/>
      <c r="M652" s="283"/>
      <c r="N652" s="283"/>
      <c r="O652" s="283"/>
      <c r="P652" s="283"/>
      <c r="Q652" s="283"/>
      <c r="R652" s="283"/>
      <c r="S652" s="283"/>
      <c r="T652" s="283"/>
    </row>
    <row r="653">
      <c r="A653" s="300"/>
      <c r="B653" s="282"/>
      <c r="C653" s="283"/>
      <c r="D653" s="282"/>
      <c r="E653" s="283"/>
      <c r="F653" s="283"/>
      <c r="G653" s="284"/>
      <c r="H653" s="284"/>
      <c r="I653" s="283"/>
      <c r="J653" s="283"/>
      <c r="K653" s="283"/>
      <c r="L653" s="283"/>
      <c r="M653" s="283"/>
      <c r="N653" s="283"/>
      <c r="O653" s="283"/>
      <c r="P653" s="283"/>
      <c r="Q653" s="283"/>
      <c r="R653" s="283"/>
      <c r="S653" s="283"/>
      <c r="T653" s="283"/>
    </row>
    <row r="654">
      <c r="A654" s="300"/>
      <c r="B654" s="282"/>
      <c r="C654" s="283"/>
      <c r="D654" s="282"/>
      <c r="E654" s="283"/>
      <c r="F654" s="283"/>
      <c r="G654" s="284"/>
      <c r="H654" s="284"/>
      <c r="I654" s="283"/>
      <c r="J654" s="283"/>
      <c r="K654" s="283"/>
      <c r="L654" s="283"/>
      <c r="M654" s="283"/>
      <c r="N654" s="283"/>
      <c r="O654" s="283"/>
      <c r="P654" s="283"/>
      <c r="Q654" s="283"/>
      <c r="R654" s="283"/>
      <c r="S654" s="283"/>
      <c r="T654" s="283"/>
    </row>
    <row r="655">
      <c r="A655" s="300"/>
      <c r="B655" s="282"/>
      <c r="C655" s="283"/>
      <c r="D655" s="282"/>
      <c r="E655" s="283"/>
      <c r="F655" s="283"/>
      <c r="G655" s="284"/>
      <c r="H655" s="284"/>
      <c r="I655" s="283"/>
      <c r="J655" s="283"/>
      <c r="K655" s="283"/>
      <c r="L655" s="283"/>
      <c r="M655" s="283"/>
      <c r="N655" s="283"/>
      <c r="O655" s="283"/>
      <c r="P655" s="283"/>
      <c r="Q655" s="283"/>
      <c r="R655" s="283"/>
      <c r="S655" s="283"/>
      <c r="T655" s="283"/>
    </row>
    <row r="656">
      <c r="A656" s="300"/>
      <c r="B656" s="282"/>
      <c r="C656" s="283"/>
      <c r="D656" s="282"/>
      <c r="E656" s="283"/>
      <c r="F656" s="283"/>
      <c r="G656" s="284"/>
      <c r="H656" s="284"/>
      <c r="I656" s="283"/>
      <c r="J656" s="283"/>
      <c r="K656" s="283"/>
      <c r="L656" s="283"/>
      <c r="M656" s="283"/>
      <c r="N656" s="283"/>
      <c r="O656" s="283"/>
      <c r="P656" s="283"/>
      <c r="Q656" s="283"/>
      <c r="R656" s="283"/>
      <c r="S656" s="283"/>
      <c r="T656" s="283"/>
    </row>
    <row r="657">
      <c r="A657" s="300"/>
      <c r="B657" s="282"/>
      <c r="C657" s="283"/>
      <c r="D657" s="282"/>
      <c r="E657" s="283"/>
      <c r="F657" s="283"/>
      <c r="G657" s="284"/>
      <c r="H657" s="284"/>
      <c r="I657" s="283"/>
      <c r="J657" s="283"/>
      <c r="K657" s="283"/>
      <c r="L657" s="283"/>
      <c r="M657" s="283"/>
      <c r="N657" s="283"/>
      <c r="O657" s="283"/>
      <c r="P657" s="283"/>
      <c r="Q657" s="283"/>
      <c r="R657" s="283"/>
      <c r="S657" s="283"/>
      <c r="T657" s="283"/>
    </row>
    <row r="658">
      <c r="A658" s="300"/>
      <c r="B658" s="282"/>
      <c r="C658" s="283"/>
      <c r="D658" s="282"/>
      <c r="E658" s="283"/>
      <c r="F658" s="283"/>
      <c r="G658" s="284"/>
      <c r="H658" s="284"/>
      <c r="I658" s="283"/>
      <c r="J658" s="283"/>
      <c r="K658" s="283"/>
      <c r="L658" s="283"/>
      <c r="M658" s="283"/>
      <c r="N658" s="283"/>
      <c r="O658" s="283"/>
      <c r="P658" s="283"/>
      <c r="Q658" s="283"/>
      <c r="R658" s="283"/>
      <c r="S658" s="283"/>
      <c r="T658" s="283"/>
    </row>
    <row r="659">
      <c r="A659" s="300"/>
      <c r="B659" s="282"/>
      <c r="C659" s="283"/>
      <c r="D659" s="282"/>
      <c r="E659" s="283"/>
      <c r="F659" s="283"/>
      <c r="G659" s="284"/>
      <c r="H659" s="284"/>
      <c r="I659" s="283"/>
      <c r="J659" s="283"/>
      <c r="K659" s="283"/>
      <c r="L659" s="283"/>
      <c r="M659" s="283"/>
      <c r="N659" s="283"/>
      <c r="O659" s="283"/>
      <c r="P659" s="283"/>
      <c r="Q659" s="283"/>
      <c r="R659" s="283"/>
      <c r="S659" s="283"/>
      <c r="T659" s="283"/>
    </row>
    <row r="660">
      <c r="A660" s="300"/>
      <c r="B660" s="282"/>
      <c r="C660" s="283"/>
      <c r="D660" s="282"/>
      <c r="E660" s="283"/>
      <c r="F660" s="283"/>
      <c r="G660" s="284"/>
      <c r="H660" s="284"/>
      <c r="I660" s="283"/>
      <c r="J660" s="283"/>
      <c r="K660" s="283"/>
      <c r="L660" s="283"/>
      <c r="M660" s="283"/>
      <c r="N660" s="283"/>
      <c r="O660" s="283"/>
      <c r="P660" s="283"/>
      <c r="Q660" s="283"/>
      <c r="R660" s="283"/>
      <c r="S660" s="283"/>
      <c r="T660" s="283"/>
    </row>
    <row r="661">
      <c r="A661" s="300"/>
      <c r="B661" s="282"/>
      <c r="C661" s="283"/>
      <c r="D661" s="282"/>
      <c r="E661" s="283"/>
      <c r="F661" s="283"/>
      <c r="G661" s="284"/>
      <c r="H661" s="284"/>
      <c r="I661" s="283"/>
      <c r="J661" s="283"/>
      <c r="K661" s="283"/>
      <c r="L661" s="283"/>
      <c r="M661" s="283"/>
      <c r="N661" s="283"/>
      <c r="O661" s="283"/>
      <c r="P661" s="283"/>
      <c r="Q661" s="283"/>
      <c r="R661" s="283"/>
      <c r="S661" s="283"/>
      <c r="T661" s="283"/>
    </row>
    <row r="662">
      <c r="A662" s="300"/>
      <c r="B662" s="282"/>
      <c r="C662" s="283"/>
      <c r="D662" s="282"/>
      <c r="E662" s="283"/>
      <c r="F662" s="283"/>
      <c r="G662" s="284"/>
      <c r="H662" s="284"/>
      <c r="I662" s="283"/>
      <c r="J662" s="283"/>
      <c r="K662" s="283"/>
      <c r="L662" s="283"/>
      <c r="M662" s="283"/>
      <c r="N662" s="283"/>
      <c r="O662" s="283"/>
      <c r="P662" s="283"/>
      <c r="Q662" s="283"/>
      <c r="R662" s="283"/>
      <c r="S662" s="283"/>
      <c r="T662" s="283"/>
    </row>
    <row r="663">
      <c r="A663" s="300"/>
      <c r="B663" s="282"/>
      <c r="C663" s="283"/>
      <c r="D663" s="282"/>
      <c r="E663" s="283"/>
      <c r="F663" s="283"/>
      <c r="G663" s="284"/>
      <c r="H663" s="284"/>
      <c r="I663" s="283"/>
      <c r="J663" s="283"/>
      <c r="K663" s="283"/>
      <c r="L663" s="283"/>
      <c r="M663" s="283"/>
      <c r="N663" s="283"/>
      <c r="O663" s="283"/>
      <c r="P663" s="283"/>
      <c r="Q663" s="283"/>
      <c r="R663" s="283"/>
      <c r="S663" s="283"/>
      <c r="T663" s="283"/>
    </row>
    <row r="664">
      <c r="A664" s="300"/>
      <c r="B664" s="282"/>
      <c r="C664" s="283"/>
      <c r="D664" s="282"/>
      <c r="E664" s="283"/>
      <c r="F664" s="283"/>
      <c r="G664" s="284"/>
      <c r="H664" s="284"/>
      <c r="I664" s="283"/>
      <c r="J664" s="283"/>
      <c r="K664" s="283"/>
      <c r="L664" s="283"/>
      <c r="M664" s="283"/>
      <c r="N664" s="283"/>
      <c r="O664" s="283"/>
      <c r="P664" s="283"/>
      <c r="Q664" s="283"/>
      <c r="R664" s="283"/>
      <c r="S664" s="283"/>
      <c r="T664" s="283"/>
    </row>
    <row r="665">
      <c r="A665" s="300"/>
      <c r="B665" s="282"/>
      <c r="C665" s="283"/>
      <c r="D665" s="282"/>
      <c r="E665" s="283"/>
      <c r="F665" s="283"/>
      <c r="G665" s="284"/>
      <c r="H665" s="284"/>
      <c r="I665" s="283"/>
      <c r="J665" s="283"/>
      <c r="K665" s="283"/>
      <c r="L665" s="283"/>
      <c r="M665" s="283"/>
      <c r="N665" s="283"/>
      <c r="O665" s="283"/>
      <c r="P665" s="283"/>
      <c r="Q665" s="283"/>
      <c r="R665" s="283"/>
      <c r="S665" s="283"/>
      <c r="T665" s="283"/>
    </row>
    <row r="666">
      <c r="A666" s="300"/>
      <c r="B666" s="282"/>
      <c r="C666" s="283"/>
      <c r="D666" s="282"/>
      <c r="E666" s="283"/>
      <c r="F666" s="283"/>
      <c r="G666" s="284"/>
      <c r="H666" s="284"/>
      <c r="I666" s="283"/>
      <c r="J666" s="283"/>
      <c r="K666" s="283"/>
      <c r="L666" s="283"/>
      <c r="M666" s="283"/>
      <c r="N666" s="283"/>
      <c r="O666" s="283"/>
      <c r="P666" s="283"/>
      <c r="Q666" s="283"/>
      <c r="R666" s="283"/>
      <c r="S666" s="283"/>
      <c r="T666" s="283"/>
    </row>
    <row r="667">
      <c r="A667" s="300"/>
      <c r="B667" s="282"/>
      <c r="C667" s="283"/>
      <c r="D667" s="282"/>
      <c r="E667" s="283"/>
      <c r="F667" s="283"/>
      <c r="G667" s="284"/>
      <c r="H667" s="284"/>
      <c r="I667" s="283"/>
      <c r="J667" s="283"/>
      <c r="K667" s="283"/>
      <c r="L667" s="283"/>
      <c r="M667" s="283"/>
      <c r="N667" s="283"/>
      <c r="O667" s="283"/>
      <c r="P667" s="283"/>
      <c r="Q667" s="283"/>
      <c r="R667" s="283"/>
      <c r="S667" s="283"/>
      <c r="T667" s="283"/>
    </row>
    <row r="668">
      <c r="A668" s="300"/>
      <c r="B668" s="282"/>
      <c r="C668" s="283"/>
      <c r="D668" s="282"/>
      <c r="E668" s="283"/>
      <c r="F668" s="283"/>
      <c r="G668" s="284"/>
      <c r="H668" s="284"/>
      <c r="I668" s="283"/>
      <c r="J668" s="283"/>
      <c r="K668" s="283"/>
      <c r="L668" s="283"/>
      <c r="M668" s="283"/>
      <c r="N668" s="283"/>
      <c r="O668" s="283"/>
      <c r="P668" s="283"/>
      <c r="Q668" s="283"/>
      <c r="R668" s="283"/>
      <c r="S668" s="283"/>
      <c r="T668" s="283"/>
    </row>
    <row r="669">
      <c r="A669" s="300"/>
      <c r="B669" s="282"/>
      <c r="C669" s="283"/>
      <c r="D669" s="282"/>
      <c r="E669" s="283"/>
      <c r="F669" s="283"/>
      <c r="G669" s="284"/>
      <c r="H669" s="284"/>
      <c r="I669" s="283"/>
      <c r="J669" s="283"/>
      <c r="K669" s="283"/>
      <c r="L669" s="283"/>
      <c r="M669" s="283"/>
      <c r="N669" s="283"/>
      <c r="O669" s="283"/>
      <c r="P669" s="283"/>
      <c r="Q669" s="283"/>
      <c r="R669" s="283"/>
      <c r="S669" s="283"/>
      <c r="T669" s="283"/>
    </row>
    <row r="670">
      <c r="A670" s="300"/>
      <c r="B670" s="282"/>
      <c r="C670" s="283"/>
      <c r="D670" s="282"/>
      <c r="E670" s="283"/>
      <c r="F670" s="283"/>
      <c r="G670" s="284"/>
      <c r="H670" s="284"/>
      <c r="I670" s="283"/>
      <c r="J670" s="283"/>
      <c r="K670" s="283"/>
      <c r="L670" s="283"/>
      <c r="M670" s="283"/>
      <c r="N670" s="283"/>
      <c r="O670" s="283"/>
      <c r="P670" s="283"/>
      <c r="Q670" s="283"/>
      <c r="R670" s="283"/>
      <c r="S670" s="283"/>
      <c r="T670" s="283"/>
    </row>
    <row r="671">
      <c r="A671" s="300"/>
      <c r="B671" s="282"/>
      <c r="C671" s="283"/>
      <c r="D671" s="282"/>
      <c r="E671" s="283"/>
      <c r="F671" s="283"/>
      <c r="G671" s="284"/>
      <c r="H671" s="284"/>
      <c r="I671" s="283"/>
      <c r="J671" s="283"/>
      <c r="K671" s="283"/>
      <c r="L671" s="283"/>
      <c r="M671" s="283"/>
      <c r="N671" s="283"/>
      <c r="O671" s="283"/>
      <c r="P671" s="283"/>
      <c r="Q671" s="283"/>
      <c r="R671" s="283"/>
      <c r="S671" s="283"/>
      <c r="T671" s="283"/>
    </row>
    <row r="672">
      <c r="A672" s="300"/>
      <c r="B672" s="282"/>
      <c r="C672" s="283"/>
      <c r="D672" s="282"/>
      <c r="E672" s="283"/>
      <c r="F672" s="283"/>
      <c r="G672" s="284"/>
      <c r="H672" s="284"/>
      <c r="I672" s="283"/>
      <c r="J672" s="283"/>
      <c r="K672" s="283"/>
      <c r="L672" s="283"/>
      <c r="M672" s="283"/>
      <c r="N672" s="283"/>
      <c r="O672" s="283"/>
      <c r="P672" s="283"/>
      <c r="Q672" s="283"/>
      <c r="R672" s="283"/>
      <c r="S672" s="283"/>
      <c r="T672" s="283"/>
    </row>
    <row r="673">
      <c r="A673" s="300"/>
      <c r="B673" s="282"/>
      <c r="C673" s="283"/>
      <c r="D673" s="282"/>
      <c r="E673" s="283"/>
      <c r="F673" s="283"/>
      <c r="G673" s="284"/>
      <c r="H673" s="284"/>
      <c r="I673" s="283"/>
      <c r="J673" s="283"/>
      <c r="K673" s="283"/>
      <c r="L673" s="283"/>
      <c r="M673" s="283"/>
      <c r="N673" s="283"/>
      <c r="O673" s="283"/>
      <c r="P673" s="283"/>
      <c r="Q673" s="283"/>
      <c r="R673" s="283"/>
      <c r="S673" s="283"/>
      <c r="T673" s="283"/>
    </row>
    <row r="674">
      <c r="A674" s="300"/>
      <c r="B674" s="282"/>
      <c r="C674" s="283"/>
      <c r="D674" s="282"/>
      <c r="E674" s="283"/>
      <c r="F674" s="283"/>
      <c r="G674" s="284"/>
      <c r="H674" s="284"/>
      <c r="I674" s="283"/>
      <c r="J674" s="283"/>
      <c r="K674" s="283"/>
      <c r="L674" s="283"/>
      <c r="M674" s="283"/>
      <c r="N674" s="283"/>
      <c r="O674" s="283"/>
      <c r="P674" s="283"/>
      <c r="Q674" s="283"/>
      <c r="R674" s="283"/>
      <c r="S674" s="283"/>
      <c r="T674" s="283"/>
    </row>
    <row r="675">
      <c r="A675" s="300"/>
      <c r="B675" s="282"/>
      <c r="C675" s="283"/>
      <c r="D675" s="282"/>
      <c r="E675" s="283"/>
      <c r="F675" s="283"/>
      <c r="G675" s="284"/>
      <c r="H675" s="284"/>
      <c r="I675" s="283"/>
      <c r="J675" s="283"/>
      <c r="K675" s="283"/>
      <c r="L675" s="283"/>
      <c r="M675" s="283"/>
      <c r="N675" s="283"/>
      <c r="O675" s="283"/>
      <c r="P675" s="283"/>
      <c r="Q675" s="283"/>
      <c r="R675" s="283"/>
      <c r="S675" s="283"/>
      <c r="T675" s="283"/>
    </row>
    <row r="676">
      <c r="A676" s="300"/>
      <c r="B676" s="282"/>
      <c r="C676" s="283"/>
      <c r="D676" s="282"/>
      <c r="E676" s="283"/>
      <c r="F676" s="283"/>
      <c r="G676" s="284"/>
      <c r="H676" s="284"/>
      <c r="I676" s="283"/>
      <c r="J676" s="283"/>
      <c r="K676" s="283"/>
      <c r="L676" s="283"/>
      <c r="M676" s="283"/>
      <c r="N676" s="283"/>
      <c r="O676" s="283"/>
      <c r="P676" s="283"/>
      <c r="Q676" s="283"/>
      <c r="R676" s="283"/>
      <c r="S676" s="283"/>
      <c r="T676" s="283"/>
    </row>
    <row r="677">
      <c r="A677" s="300"/>
      <c r="B677" s="282"/>
      <c r="C677" s="283"/>
      <c r="D677" s="282"/>
      <c r="E677" s="283"/>
      <c r="F677" s="283"/>
      <c r="G677" s="284"/>
      <c r="H677" s="284"/>
      <c r="I677" s="283"/>
      <c r="J677" s="283"/>
      <c r="K677" s="283"/>
      <c r="L677" s="283"/>
      <c r="M677" s="283"/>
      <c r="N677" s="283"/>
      <c r="O677" s="283"/>
      <c r="P677" s="283"/>
      <c r="Q677" s="283"/>
      <c r="R677" s="283"/>
      <c r="S677" s="283"/>
      <c r="T677" s="283"/>
    </row>
    <row r="678">
      <c r="A678" s="300"/>
      <c r="B678" s="282"/>
      <c r="C678" s="283"/>
      <c r="D678" s="282"/>
      <c r="E678" s="283"/>
      <c r="F678" s="283"/>
      <c r="G678" s="284"/>
      <c r="H678" s="284"/>
      <c r="I678" s="283"/>
      <c r="J678" s="283"/>
      <c r="K678" s="283"/>
      <c r="L678" s="283"/>
      <c r="M678" s="283"/>
      <c r="N678" s="283"/>
      <c r="O678" s="283"/>
      <c r="P678" s="283"/>
      <c r="Q678" s="283"/>
      <c r="R678" s="283"/>
      <c r="S678" s="283"/>
      <c r="T678" s="283"/>
    </row>
    <row r="679">
      <c r="A679" s="300"/>
      <c r="B679" s="282"/>
      <c r="C679" s="283"/>
      <c r="D679" s="282"/>
      <c r="E679" s="283"/>
      <c r="F679" s="283"/>
      <c r="G679" s="284"/>
      <c r="H679" s="284"/>
      <c r="I679" s="283"/>
      <c r="J679" s="283"/>
      <c r="K679" s="283"/>
      <c r="L679" s="283"/>
      <c r="M679" s="283"/>
      <c r="N679" s="283"/>
      <c r="O679" s="283"/>
      <c r="P679" s="283"/>
      <c r="Q679" s="283"/>
      <c r="R679" s="283"/>
      <c r="S679" s="283"/>
      <c r="T679" s="283"/>
    </row>
    <row r="680">
      <c r="A680" s="300"/>
      <c r="B680" s="282"/>
      <c r="C680" s="283"/>
      <c r="D680" s="282"/>
      <c r="E680" s="283"/>
      <c r="F680" s="283"/>
      <c r="G680" s="284"/>
      <c r="H680" s="284"/>
      <c r="I680" s="283"/>
      <c r="J680" s="283"/>
      <c r="K680" s="283"/>
      <c r="L680" s="283"/>
      <c r="M680" s="283"/>
      <c r="N680" s="283"/>
      <c r="O680" s="283"/>
      <c r="P680" s="283"/>
      <c r="Q680" s="283"/>
      <c r="R680" s="283"/>
      <c r="S680" s="283"/>
      <c r="T680" s="283"/>
    </row>
    <row r="681">
      <c r="A681" s="300"/>
      <c r="B681" s="282"/>
      <c r="C681" s="283"/>
      <c r="D681" s="282"/>
      <c r="E681" s="283"/>
      <c r="F681" s="283"/>
      <c r="G681" s="284"/>
      <c r="H681" s="284"/>
      <c r="I681" s="283"/>
      <c r="J681" s="283"/>
      <c r="K681" s="283"/>
      <c r="L681" s="283"/>
      <c r="M681" s="283"/>
      <c r="N681" s="283"/>
      <c r="O681" s="283"/>
      <c r="P681" s="283"/>
      <c r="Q681" s="283"/>
      <c r="R681" s="283"/>
      <c r="S681" s="283"/>
      <c r="T681" s="283"/>
    </row>
    <row r="682">
      <c r="A682" s="300"/>
      <c r="B682" s="282"/>
      <c r="C682" s="283"/>
      <c r="D682" s="282"/>
      <c r="E682" s="283"/>
      <c r="F682" s="283"/>
      <c r="G682" s="284"/>
      <c r="H682" s="284"/>
      <c r="I682" s="283"/>
      <c r="J682" s="283"/>
      <c r="K682" s="283"/>
      <c r="L682" s="283"/>
      <c r="M682" s="283"/>
      <c r="N682" s="283"/>
      <c r="O682" s="283"/>
      <c r="P682" s="283"/>
      <c r="Q682" s="283"/>
      <c r="R682" s="283"/>
      <c r="S682" s="283"/>
      <c r="T682" s="283"/>
    </row>
    <row r="683">
      <c r="A683" s="300"/>
      <c r="B683" s="282"/>
      <c r="C683" s="283"/>
      <c r="D683" s="282"/>
      <c r="E683" s="283"/>
      <c r="F683" s="283"/>
      <c r="G683" s="284"/>
      <c r="H683" s="284"/>
      <c r="I683" s="283"/>
      <c r="J683" s="283"/>
      <c r="K683" s="283"/>
      <c r="L683" s="283"/>
      <c r="M683" s="283"/>
      <c r="N683" s="283"/>
      <c r="O683" s="283"/>
      <c r="P683" s="283"/>
      <c r="Q683" s="283"/>
      <c r="R683" s="283"/>
      <c r="S683" s="283"/>
      <c r="T683" s="283"/>
    </row>
    <row r="684">
      <c r="A684" s="300"/>
      <c r="B684" s="282"/>
      <c r="C684" s="283"/>
      <c r="D684" s="282"/>
      <c r="E684" s="283"/>
      <c r="F684" s="283"/>
      <c r="G684" s="284"/>
      <c r="H684" s="284"/>
      <c r="I684" s="283"/>
      <c r="J684" s="283"/>
      <c r="K684" s="283"/>
      <c r="L684" s="283"/>
      <c r="M684" s="283"/>
      <c r="N684" s="283"/>
      <c r="O684" s="283"/>
      <c r="P684" s="283"/>
      <c r="Q684" s="283"/>
      <c r="R684" s="283"/>
      <c r="S684" s="283"/>
      <c r="T684" s="283"/>
    </row>
    <row r="685">
      <c r="A685" s="300"/>
      <c r="B685" s="282"/>
      <c r="C685" s="283"/>
      <c r="D685" s="282"/>
      <c r="E685" s="283"/>
      <c r="F685" s="283"/>
      <c r="G685" s="284"/>
      <c r="H685" s="284"/>
      <c r="I685" s="283"/>
      <c r="J685" s="283"/>
      <c r="K685" s="283"/>
      <c r="L685" s="283"/>
      <c r="M685" s="283"/>
      <c r="N685" s="283"/>
      <c r="O685" s="283"/>
      <c r="P685" s="283"/>
      <c r="Q685" s="283"/>
      <c r="R685" s="283"/>
      <c r="S685" s="283"/>
      <c r="T685" s="283"/>
    </row>
    <row r="686">
      <c r="A686" s="300"/>
      <c r="B686" s="282"/>
      <c r="C686" s="283"/>
      <c r="D686" s="282"/>
      <c r="E686" s="283"/>
      <c r="F686" s="283"/>
      <c r="G686" s="284"/>
      <c r="H686" s="284"/>
      <c r="I686" s="283"/>
      <c r="J686" s="283"/>
      <c r="K686" s="283"/>
      <c r="L686" s="283"/>
      <c r="M686" s="283"/>
      <c r="N686" s="283"/>
      <c r="O686" s="283"/>
      <c r="P686" s="283"/>
      <c r="Q686" s="283"/>
      <c r="R686" s="283"/>
      <c r="S686" s="283"/>
      <c r="T686" s="283"/>
    </row>
    <row r="687">
      <c r="A687" s="300"/>
      <c r="B687" s="282"/>
      <c r="C687" s="283"/>
      <c r="D687" s="282"/>
      <c r="E687" s="283"/>
      <c r="F687" s="283"/>
      <c r="G687" s="284"/>
      <c r="H687" s="284"/>
      <c r="I687" s="283"/>
      <c r="J687" s="283"/>
      <c r="K687" s="283"/>
      <c r="L687" s="283"/>
      <c r="M687" s="283"/>
      <c r="N687" s="283"/>
      <c r="O687" s="283"/>
      <c r="P687" s="283"/>
      <c r="Q687" s="283"/>
      <c r="R687" s="283"/>
      <c r="S687" s="283"/>
      <c r="T687" s="283"/>
    </row>
    <row r="688">
      <c r="A688" s="300"/>
      <c r="B688" s="282"/>
      <c r="C688" s="283"/>
      <c r="D688" s="282"/>
      <c r="E688" s="283"/>
      <c r="F688" s="283"/>
      <c r="G688" s="284"/>
      <c r="H688" s="284"/>
      <c r="I688" s="283"/>
      <c r="J688" s="283"/>
      <c r="K688" s="283"/>
      <c r="L688" s="283"/>
      <c r="M688" s="283"/>
      <c r="N688" s="283"/>
      <c r="O688" s="283"/>
      <c r="P688" s="283"/>
      <c r="Q688" s="283"/>
      <c r="R688" s="283"/>
      <c r="S688" s="283"/>
      <c r="T688" s="283"/>
    </row>
    <row r="689">
      <c r="A689" s="300"/>
      <c r="B689" s="282"/>
      <c r="C689" s="283"/>
      <c r="D689" s="282"/>
      <c r="E689" s="283"/>
      <c r="F689" s="283"/>
      <c r="G689" s="284"/>
      <c r="H689" s="284"/>
      <c r="I689" s="283"/>
      <c r="J689" s="283"/>
      <c r="K689" s="283"/>
      <c r="L689" s="283"/>
      <c r="M689" s="283"/>
      <c r="N689" s="283"/>
      <c r="O689" s="283"/>
      <c r="P689" s="283"/>
      <c r="Q689" s="283"/>
      <c r="R689" s="283"/>
      <c r="S689" s="283"/>
      <c r="T689" s="283"/>
    </row>
    <row r="690">
      <c r="A690" s="300"/>
      <c r="B690" s="282"/>
      <c r="C690" s="283"/>
      <c r="D690" s="282"/>
      <c r="E690" s="283"/>
      <c r="F690" s="283"/>
      <c r="G690" s="284"/>
      <c r="H690" s="284"/>
      <c r="I690" s="283"/>
      <c r="J690" s="283"/>
      <c r="K690" s="283"/>
      <c r="L690" s="283"/>
      <c r="M690" s="283"/>
      <c r="N690" s="283"/>
      <c r="O690" s="283"/>
      <c r="P690" s="283"/>
      <c r="Q690" s="283"/>
      <c r="R690" s="283"/>
      <c r="S690" s="283"/>
      <c r="T690" s="283"/>
    </row>
    <row r="691">
      <c r="A691" s="300"/>
      <c r="B691" s="282"/>
      <c r="C691" s="283"/>
      <c r="D691" s="282"/>
      <c r="E691" s="283"/>
      <c r="F691" s="283"/>
      <c r="G691" s="284"/>
      <c r="H691" s="284"/>
      <c r="I691" s="283"/>
      <c r="J691" s="283"/>
      <c r="K691" s="283"/>
      <c r="L691" s="283"/>
      <c r="M691" s="283"/>
      <c r="N691" s="283"/>
      <c r="O691" s="283"/>
      <c r="P691" s="283"/>
      <c r="Q691" s="283"/>
      <c r="R691" s="283"/>
      <c r="S691" s="283"/>
      <c r="T691" s="283"/>
    </row>
    <row r="692">
      <c r="A692" s="300"/>
      <c r="B692" s="282"/>
      <c r="C692" s="283"/>
      <c r="D692" s="282"/>
      <c r="E692" s="283"/>
      <c r="F692" s="283"/>
      <c r="G692" s="284"/>
      <c r="H692" s="284"/>
      <c r="I692" s="283"/>
      <c r="J692" s="283"/>
      <c r="K692" s="283"/>
      <c r="L692" s="283"/>
      <c r="M692" s="283"/>
      <c r="N692" s="283"/>
      <c r="O692" s="283"/>
      <c r="P692" s="283"/>
      <c r="Q692" s="283"/>
      <c r="R692" s="283"/>
      <c r="S692" s="283"/>
      <c r="T692" s="283"/>
    </row>
    <row r="693">
      <c r="A693" s="300"/>
      <c r="B693" s="282"/>
      <c r="C693" s="283"/>
      <c r="D693" s="282"/>
      <c r="E693" s="283"/>
      <c r="F693" s="283"/>
      <c r="G693" s="284"/>
      <c r="H693" s="284"/>
      <c r="I693" s="283"/>
      <c r="J693" s="283"/>
      <c r="K693" s="283"/>
      <c r="L693" s="283"/>
      <c r="M693" s="283"/>
      <c r="N693" s="283"/>
      <c r="O693" s="283"/>
      <c r="P693" s="283"/>
      <c r="Q693" s="283"/>
      <c r="R693" s="283"/>
      <c r="S693" s="283"/>
      <c r="T693" s="283"/>
    </row>
    <row r="694">
      <c r="A694" s="300"/>
      <c r="B694" s="282"/>
      <c r="C694" s="283"/>
      <c r="D694" s="282"/>
      <c r="E694" s="283"/>
      <c r="F694" s="283"/>
      <c r="G694" s="284"/>
      <c r="H694" s="284"/>
      <c r="I694" s="283"/>
      <c r="J694" s="283"/>
      <c r="K694" s="283"/>
      <c r="L694" s="283"/>
      <c r="M694" s="283"/>
      <c r="N694" s="283"/>
      <c r="O694" s="283"/>
      <c r="P694" s="283"/>
      <c r="Q694" s="283"/>
      <c r="R694" s="283"/>
      <c r="S694" s="283"/>
      <c r="T694" s="283"/>
    </row>
    <row r="695">
      <c r="A695" s="300"/>
      <c r="B695" s="282"/>
      <c r="C695" s="283"/>
      <c r="D695" s="282"/>
      <c r="E695" s="283"/>
      <c r="F695" s="283"/>
      <c r="G695" s="284"/>
      <c r="H695" s="284"/>
      <c r="I695" s="283"/>
      <c r="J695" s="283"/>
      <c r="K695" s="283"/>
      <c r="L695" s="283"/>
      <c r="M695" s="283"/>
      <c r="N695" s="283"/>
      <c r="O695" s="283"/>
      <c r="P695" s="283"/>
      <c r="Q695" s="283"/>
      <c r="R695" s="283"/>
      <c r="S695" s="283"/>
      <c r="T695" s="283"/>
    </row>
    <row r="696">
      <c r="A696" s="300"/>
      <c r="B696" s="282"/>
      <c r="C696" s="283"/>
      <c r="D696" s="282"/>
      <c r="E696" s="283"/>
      <c r="F696" s="283"/>
      <c r="G696" s="284"/>
      <c r="H696" s="284"/>
      <c r="I696" s="283"/>
      <c r="J696" s="283"/>
      <c r="K696" s="283"/>
      <c r="L696" s="283"/>
      <c r="M696" s="283"/>
      <c r="N696" s="283"/>
      <c r="O696" s="283"/>
      <c r="P696" s="283"/>
      <c r="Q696" s="283"/>
      <c r="R696" s="283"/>
      <c r="S696" s="283"/>
      <c r="T696" s="283"/>
    </row>
    <row r="697">
      <c r="A697" s="300"/>
      <c r="B697" s="282"/>
      <c r="C697" s="283"/>
      <c r="D697" s="282"/>
      <c r="E697" s="283"/>
      <c r="F697" s="283"/>
      <c r="G697" s="284"/>
      <c r="H697" s="284"/>
      <c r="I697" s="283"/>
      <c r="J697" s="283"/>
      <c r="K697" s="283"/>
      <c r="L697" s="283"/>
      <c r="M697" s="283"/>
      <c r="N697" s="283"/>
      <c r="O697" s="283"/>
      <c r="P697" s="283"/>
      <c r="Q697" s="283"/>
      <c r="R697" s="283"/>
      <c r="S697" s="283"/>
      <c r="T697" s="283"/>
    </row>
    <row r="698">
      <c r="A698" s="300"/>
      <c r="B698" s="282"/>
      <c r="C698" s="283"/>
      <c r="D698" s="282"/>
      <c r="E698" s="283"/>
      <c r="F698" s="283"/>
      <c r="G698" s="284"/>
      <c r="H698" s="284"/>
      <c r="I698" s="283"/>
      <c r="J698" s="283"/>
      <c r="K698" s="283"/>
      <c r="L698" s="283"/>
      <c r="M698" s="283"/>
      <c r="N698" s="283"/>
      <c r="O698" s="283"/>
      <c r="P698" s="283"/>
      <c r="Q698" s="283"/>
      <c r="R698" s="283"/>
      <c r="S698" s="283"/>
      <c r="T698" s="283"/>
    </row>
    <row r="699">
      <c r="A699" s="300"/>
      <c r="B699" s="282"/>
      <c r="C699" s="283"/>
      <c r="D699" s="282"/>
      <c r="E699" s="283"/>
      <c r="F699" s="283"/>
      <c r="G699" s="284"/>
      <c r="H699" s="284"/>
      <c r="I699" s="283"/>
      <c r="J699" s="283"/>
      <c r="K699" s="283"/>
      <c r="L699" s="283"/>
      <c r="M699" s="283"/>
      <c r="N699" s="283"/>
      <c r="O699" s="283"/>
      <c r="P699" s="283"/>
      <c r="Q699" s="283"/>
      <c r="R699" s="283"/>
      <c r="S699" s="283"/>
      <c r="T699" s="283"/>
    </row>
    <row r="700">
      <c r="A700" s="300"/>
      <c r="B700" s="282"/>
      <c r="C700" s="283"/>
      <c r="D700" s="282"/>
      <c r="E700" s="283"/>
      <c r="F700" s="283"/>
      <c r="G700" s="284"/>
      <c r="H700" s="284"/>
      <c r="I700" s="283"/>
      <c r="J700" s="283"/>
      <c r="K700" s="283"/>
      <c r="L700" s="283"/>
      <c r="M700" s="283"/>
      <c r="N700" s="283"/>
      <c r="O700" s="283"/>
      <c r="P700" s="283"/>
      <c r="Q700" s="283"/>
      <c r="R700" s="283"/>
      <c r="S700" s="283"/>
      <c r="T700" s="283"/>
    </row>
    <row r="701">
      <c r="A701" s="300"/>
      <c r="B701" s="282"/>
      <c r="C701" s="283"/>
      <c r="D701" s="282"/>
      <c r="E701" s="283"/>
      <c r="F701" s="283"/>
      <c r="G701" s="284"/>
      <c r="H701" s="284"/>
      <c r="I701" s="283"/>
      <c r="J701" s="283"/>
      <c r="K701" s="283"/>
      <c r="L701" s="283"/>
      <c r="M701" s="283"/>
      <c r="N701" s="283"/>
      <c r="O701" s="283"/>
      <c r="P701" s="283"/>
      <c r="Q701" s="283"/>
      <c r="R701" s="283"/>
      <c r="S701" s="283"/>
      <c r="T701" s="283"/>
    </row>
    <row r="702">
      <c r="A702" s="300"/>
      <c r="B702" s="282"/>
      <c r="C702" s="283"/>
      <c r="D702" s="282"/>
      <c r="E702" s="283"/>
      <c r="F702" s="283"/>
      <c r="G702" s="284"/>
      <c r="H702" s="284"/>
      <c r="I702" s="283"/>
      <c r="J702" s="283"/>
      <c r="K702" s="283"/>
      <c r="L702" s="283"/>
      <c r="M702" s="283"/>
      <c r="N702" s="283"/>
      <c r="O702" s="283"/>
      <c r="P702" s="283"/>
      <c r="Q702" s="283"/>
      <c r="R702" s="283"/>
      <c r="S702" s="283"/>
      <c r="T702" s="283"/>
    </row>
    <row r="703">
      <c r="A703" s="300"/>
      <c r="B703" s="282"/>
      <c r="C703" s="283"/>
      <c r="D703" s="282"/>
      <c r="E703" s="283"/>
      <c r="F703" s="283"/>
      <c r="G703" s="284"/>
      <c r="H703" s="284"/>
      <c r="I703" s="283"/>
      <c r="J703" s="283"/>
      <c r="K703" s="283"/>
      <c r="L703" s="283"/>
      <c r="M703" s="283"/>
      <c r="N703" s="283"/>
      <c r="O703" s="283"/>
      <c r="P703" s="283"/>
      <c r="Q703" s="283"/>
      <c r="R703" s="283"/>
      <c r="S703" s="283"/>
      <c r="T703" s="283"/>
    </row>
    <row r="704">
      <c r="A704" s="300"/>
      <c r="B704" s="282"/>
      <c r="C704" s="283"/>
      <c r="D704" s="282"/>
      <c r="E704" s="283"/>
      <c r="F704" s="283"/>
      <c r="G704" s="284"/>
      <c r="H704" s="284"/>
      <c r="I704" s="283"/>
      <c r="J704" s="283"/>
      <c r="K704" s="283"/>
      <c r="L704" s="283"/>
      <c r="M704" s="283"/>
      <c r="N704" s="283"/>
      <c r="O704" s="283"/>
      <c r="P704" s="283"/>
      <c r="Q704" s="283"/>
      <c r="R704" s="283"/>
      <c r="S704" s="283"/>
      <c r="T704" s="283"/>
    </row>
    <row r="705">
      <c r="A705" s="300"/>
      <c r="B705" s="282"/>
      <c r="C705" s="283"/>
      <c r="D705" s="282"/>
      <c r="E705" s="283"/>
      <c r="F705" s="283"/>
      <c r="G705" s="284"/>
      <c r="H705" s="284"/>
      <c r="I705" s="283"/>
      <c r="J705" s="283"/>
      <c r="K705" s="283"/>
      <c r="L705" s="283"/>
      <c r="M705" s="283"/>
      <c r="N705" s="283"/>
      <c r="O705" s="283"/>
      <c r="P705" s="283"/>
      <c r="Q705" s="283"/>
      <c r="R705" s="283"/>
      <c r="S705" s="283"/>
      <c r="T705" s="283"/>
    </row>
    <row r="706">
      <c r="A706" s="300"/>
      <c r="B706" s="282"/>
      <c r="C706" s="283"/>
      <c r="D706" s="282"/>
      <c r="E706" s="283"/>
      <c r="F706" s="283"/>
      <c r="G706" s="284"/>
      <c r="H706" s="284"/>
      <c r="I706" s="283"/>
      <c r="J706" s="283"/>
      <c r="K706" s="283"/>
      <c r="L706" s="283"/>
      <c r="M706" s="283"/>
      <c r="N706" s="283"/>
      <c r="O706" s="283"/>
      <c r="P706" s="283"/>
      <c r="Q706" s="283"/>
      <c r="R706" s="283"/>
      <c r="S706" s="283"/>
      <c r="T706" s="283"/>
    </row>
    <row r="707">
      <c r="A707" s="300"/>
      <c r="B707" s="282"/>
      <c r="C707" s="283"/>
      <c r="D707" s="282"/>
      <c r="E707" s="283"/>
      <c r="F707" s="283"/>
      <c r="G707" s="284"/>
      <c r="H707" s="284"/>
      <c r="I707" s="283"/>
      <c r="J707" s="283"/>
      <c r="K707" s="283"/>
      <c r="L707" s="283"/>
      <c r="M707" s="283"/>
      <c r="N707" s="283"/>
      <c r="O707" s="283"/>
      <c r="P707" s="283"/>
      <c r="Q707" s="283"/>
      <c r="R707" s="283"/>
      <c r="S707" s="283"/>
      <c r="T707" s="283"/>
    </row>
    <row r="708">
      <c r="A708" s="300"/>
      <c r="B708" s="282"/>
      <c r="C708" s="283"/>
      <c r="D708" s="282"/>
      <c r="E708" s="283"/>
      <c r="F708" s="283"/>
      <c r="G708" s="284"/>
      <c r="H708" s="284"/>
      <c r="I708" s="283"/>
      <c r="J708" s="283"/>
      <c r="K708" s="283"/>
      <c r="L708" s="283"/>
      <c r="M708" s="283"/>
      <c r="N708" s="283"/>
      <c r="O708" s="283"/>
      <c r="P708" s="283"/>
      <c r="Q708" s="283"/>
      <c r="R708" s="283"/>
      <c r="S708" s="283"/>
      <c r="T708" s="283"/>
    </row>
    <row r="709">
      <c r="A709" s="300"/>
      <c r="B709" s="282"/>
      <c r="C709" s="283"/>
      <c r="D709" s="282"/>
      <c r="E709" s="283"/>
      <c r="F709" s="283"/>
      <c r="G709" s="284"/>
      <c r="H709" s="284"/>
      <c r="I709" s="283"/>
      <c r="J709" s="283"/>
      <c r="K709" s="283"/>
      <c r="L709" s="283"/>
      <c r="M709" s="283"/>
      <c r="N709" s="283"/>
      <c r="O709" s="283"/>
      <c r="P709" s="283"/>
      <c r="Q709" s="283"/>
      <c r="R709" s="283"/>
      <c r="S709" s="283"/>
      <c r="T709" s="283"/>
    </row>
    <row r="710">
      <c r="A710" s="300"/>
      <c r="B710" s="282"/>
      <c r="C710" s="283"/>
      <c r="D710" s="282"/>
      <c r="E710" s="283"/>
      <c r="F710" s="283"/>
      <c r="G710" s="284"/>
      <c r="H710" s="284"/>
      <c r="I710" s="283"/>
      <c r="J710" s="283"/>
      <c r="K710" s="283"/>
      <c r="L710" s="283"/>
      <c r="M710" s="283"/>
      <c r="N710" s="283"/>
      <c r="O710" s="283"/>
      <c r="P710" s="283"/>
      <c r="Q710" s="283"/>
      <c r="R710" s="283"/>
      <c r="S710" s="283"/>
      <c r="T710" s="283"/>
    </row>
    <row r="711">
      <c r="A711" s="300"/>
      <c r="B711" s="282"/>
      <c r="C711" s="283"/>
      <c r="D711" s="282"/>
      <c r="E711" s="283"/>
      <c r="F711" s="283"/>
      <c r="G711" s="284"/>
      <c r="H711" s="284"/>
      <c r="I711" s="283"/>
      <c r="J711" s="283"/>
      <c r="K711" s="283"/>
      <c r="L711" s="283"/>
      <c r="M711" s="283"/>
      <c r="N711" s="283"/>
      <c r="O711" s="283"/>
      <c r="P711" s="283"/>
      <c r="Q711" s="283"/>
      <c r="R711" s="283"/>
      <c r="S711" s="283"/>
      <c r="T711" s="283"/>
    </row>
    <row r="712">
      <c r="A712" s="300"/>
      <c r="B712" s="282"/>
      <c r="C712" s="283"/>
      <c r="D712" s="282"/>
      <c r="E712" s="283"/>
      <c r="F712" s="283"/>
      <c r="G712" s="284"/>
      <c r="H712" s="284"/>
      <c r="I712" s="283"/>
      <c r="J712" s="283"/>
      <c r="K712" s="283"/>
      <c r="L712" s="283"/>
      <c r="M712" s="283"/>
      <c r="N712" s="283"/>
      <c r="O712" s="283"/>
      <c r="P712" s="283"/>
      <c r="Q712" s="283"/>
      <c r="R712" s="283"/>
      <c r="S712" s="283"/>
      <c r="T712" s="283"/>
    </row>
    <row r="713">
      <c r="A713" s="300"/>
      <c r="B713" s="282"/>
      <c r="C713" s="283"/>
      <c r="D713" s="282"/>
      <c r="E713" s="283"/>
      <c r="F713" s="283"/>
      <c r="G713" s="284"/>
      <c r="H713" s="284"/>
      <c r="I713" s="283"/>
      <c r="J713" s="283"/>
      <c r="K713" s="283"/>
      <c r="L713" s="283"/>
      <c r="M713" s="283"/>
      <c r="N713" s="283"/>
      <c r="O713" s="283"/>
      <c r="P713" s="283"/>
      <c r="Q713" s="283"/>
      <c r="R713" s="283"/>
      <c r="S713" s="283"/>
      <c r="T713" s="283"/>
    </row>
    <row r="714">
      <c r="A714" s="300"/>
      <c r="B714" s="282"/>
      <c r="C714" s="283"/>
      <c r="D714" s="282"/>
      <c r="E714" s="283"/>
      <c r="F714" s="283"/>
      <c r="G714" s="284"/>
      <c r="H714" s="284"/>
      <c r="I714" s="283"/>
      <c r="J714" s="283"/>
      <c r="K714" s="283"/>
      <c r="L714" s="283"/>
      <c r="M714" s="283"/>
      <c r="N714" s="283"/>
      <c r="O714" s="283"/>
      <c r="P714" s="283"/>
      <c r="Q714" s="283"/>
      <c r="R714" s="283"/>
      <c r="S714" s="283"/>
      <c r="T714" s="283"/>
    </row>
    <row r="715">
      <c r="A715" s="300"/>
      <c r="B715" s="282"/>
      <c r="C715" s="283"/>
      <c r="D715" s="282"/>
      <c r="E715" s="283"/>
      <c r="F715" s="283"/>
      <c r="G715" s="284"/>
      <c r="H715" s="284"/>
      <c r="I715" s="283"/>
      <c r="J715" s="283"/>
      <c r="K715" s="283"/>
      <c r="L715" s="283"/>
      <c r="M715" s="283"/>
      <c r="N715" s="283"/>
      <c r="O715" s="283"/>
      <c r="P715" s="283"/>
      <c r="Q715" s="283"/>
      <c r="R715" s="283"/>
      <c r="S715" s="283"/>
      <c r="T715" s="283"/>
    </row>
    <row r="716">
      <c r="A716" s="300"/>
      <c r="B716" s="282"/>
      <c r="C716" s="283"/>
      <c r="D716" s="282"/>
      <c r="E716" s="283"/>
      <c r="F716" s="283"/>
      <c r="G716" s="284"/>
      <c r="H716" s="284"/>
      <c r="I716" s="283"/>
      <c r="J716" s="283"/>
      <c r="K716" s="283"/>
      <c r="L716" s="283"/>
      <c r="M716" s="283"/>
      <c r="N716" s="283"/>
      <c r="O716" s="283"/>
      <c r="P716" s="283"/>
      <c r="Q716" s="283"/>
      <c r="R716" s="283"/>
      <c r="S716" s="283"/>
      <c r="T716" s="283"/>
    </row>
    <row r="717">
      <c r="A717" s="300"/>
      <c r="B717" s="282"/>
      <c r="C717" s="283"/>
      <c r="D717" s="282"/>
      <c r="E717" s="283"/>
      <c r="F717" s="283"/>
      <c r="G717" s="284"/>
      <c r="H717" s="284"/>
      <c r="I717" s="283"/>
      <c r="J717" s="283"/>
      <c r="K717" s="283"/>
      <c r="L717" s="283"/>
      <c r="M717" s="283"/>
      <c r="N717" s="283"/>
      <c r="O717" s="283"/>
      <c r="P717" s="283"/>
      <c r="Q717" s="283"/>
      <c r="R717" s="283"/>
      <c r="S717" s="283"/>
      <c r="T717" s="283"/>
    </row>
    <row r="718">
      <c r="A718" s="300"/>
      <c r="B718" s="282"/>
      <c r="C718" s="283"/>
      <c r="D718" s="282"/>
      <c r="E718" s="283"/>
      <c r="F718" s="283"/>
      <c r="G718" s="284"/>
      <c r="H718" s="284"/>
      <c r="I718" s="283"/>
      <c r="J718" s="283"/>
      <c r="K718" s="283"/>
      <c r="L718" s="283"/>
      <c r="M718" s="283"/>
      <c r="N718" s="283"/>
      <c r="O718" s="283"/>
      <c r="P718" s="283"/>
      <c r="Q718" s="283"/>
      <c r="R718" s="283"/>
      <c r="S718" s="283"/>
      <c r="T718" s="283"/>
    </row>
    <row r="719">
      <c r="A719" s="300"/>
      <c r="B719" s="282"/>
      <c r="C719" s="283"/>
      <c r="D719" s="282"/>
      <c r="E719" s="283"/>
      <c r="F719" s="283"/>
      <c r="G719" s="284"/>
      <c r="H719" s="284"/>
      <c r="I719" s="283"/>
      <c r="J719" s="283"/>
      <c r="K719" s="283"/>
      <c r="L719" s="283"/>
      <c r="M719" s="283"/>
      <c r="N719" s="283"/>
      <c r="O719" s="283"/>
      <c r="P719" s="283"/>
      <c r="Q719" s="283"/>
      <c r="R719" s="283"/>
      <c r="S719" s="283"/>
      <c r="T719" s="283"/>
    </row>
    <row r="720">
      <c r="A720" s="300"/>
      <c r="B720" s="282"/>
      <c r="C720" s="283"/>
      <c r="D720" s="282"/>
      <c r="E720" s="283"/>
      <c r="F720" s="283"/>
      <c r="G720" s="284"/>
      <c r="H720" s="284"/>
      <c r="I720" s="283"/>
      <c r="J720" s="283"/>
      <c r="K720" s="283"/>
      <c r="L720" s="283"/>
      <c r="M720" s="283"/>
      <c r="N720" s="283"/>
      <c r="O720" s="283"/>
      <c r="P720" s="283"/>
      <c r="Q720" s="283"/>
      <c r="R720" s="283"/>
      <c r="S720" s="283"/>
      <c r="T720" s="283"/>
    </row>
    <row r="721">
      <c r="A721" s="300"/>
      <c r="B721" s="282"/>
      <c r="C721" s="283"/>
      <c r="D721" s="282"/>
      <c r="E721" s="283"/>
      <c r="F721" s="283"/>
      <c r="G721" s="284"/>
      <c r="H721" s="284"/>
      <c r="I721" s="283"/>
      <c r="J721" s="283"/>
      <c r="K721" s="283"/>
      <c r="L721" s="283"/>
      <c r="M721" s="283"/>
      <c r="N721" s="283"/>
      <c r="O721" s="283"/>
      <c r="P721" s="283"/>
      <c r="Q721" s="283"/>
      <c r="R721" s="283"/>
      <c r="S721" s="283"/>
      <c r="T721" s="283"/>
    </row>
    <row r="722">
      <c r="A722" s="300"/>
      <c r="B722" s="282"/>
      <c r="C722" s="283"/>
      <c r="D722" s="282"/>
      <c r="E722" s="283"/>
      <c r="F722" s="283"/>
      <c r="G722" s="284"/>
      <c r="H722" s="284"/>
      <c r="I722" s="283"/>
      <c r="J722" s="283"/>
      <c r="K722" s="283"/>
      <c r="L722" s="283"/>
      <c r="M722" s="283"/>
      <c r="N722" s="283"/>
      <c r="O722" s="283"/>
      <c r="P722" s="283"/>
      <c r="Q722" s="283"/>
      <c r="R722" s="283"/>
      <c r="S722" s="283"/>
      <c r="T722" s="283"/>
    </row>
    <row r="723">
      <c r="A723" s="300"/>
      <c r="B723" s="282"/>
      <c r="C723" s="283"/>
      <c r="D723" s="282"/>
      <c r="E723" s="283"/>
      <c r="F723" s="283"/>
      <c r="G723" s="284"/>
      <c r="H723" s="284"/>
      <c r="I723" s="283"/>
      <c r="J723" s="283"/>
      <c r="K723" s="283"/>
      <c r="L723" s="283"/>
      <c r="M723" s="283"/>
      <c r="N723" s="283"/>
      <c r="O723" s="283"/>
      <c r="P723" s="283"/>
      <c r="Q723" s="283"/>
      <c r="R723" s="283"/>
      <c r="S723" s="283"/>
      <c r="T723" s="283"/>
    </row>
    <row r="724">
      <c r="A724" s="300"/>
      <c r="B724" s="282"/>
      <c r="C724" s="283"/>
      <c r="D724" s="282"/>
      <c r="E724" s="283"/>
      <c r="F724" s="283"/>
      <c r="G724" s="284"/>
      <c r="H724" s="284"/>
      <c r="I724" s="283"/>
      <c r="J724" s="283"/>
      <c r="K724" s="283"/>
      <c r="L724" s="283"/>
      <c r="M724" s="283"/>
      <c r="N724" s="283"/>
      <c r="O724" s="283"/>
      <c r="P724" s="283"/>
      <c r="Q724" s="283"/>
      <c r="R724" s="283"/>
      <c r="S724" s="283"/>
      <c r="T724" s="283"/>
    </row>
    <row r="725">
      <c r="A725" s="300"/>
      <c r="B725" s="282"/>
      <c r="C725" s="283"/>
      <c r="D725" s="282"/>
      <c r="E725" s="283"/>
      <c r="F725" s="283"/>
      <c r="G725" s="284"/>
      <c r="H725" s="284"/>
      <c r="I725" s="283"/>
      <c r="J725" s="283"/>
      <c r="K725" s="283"/>
      <c r="L725" s="283"/>
      <c r="M725" s="283"/>
      <c r="N725" s="283"/>
      <c r="O725" s="283"/>
      <c r="P725" s="283"/>
      <c r="Q725" s="283"/>
      <c r="R725" s="283"/>
      <c r="S725" s="283"/>
      <c r="T725" s="283"/>
    </row>
    <row r="726">
      <c r="A726" s="300"/>
      <c r="B726" s="282"/>
      <c r="C726" s="283"/>
      <c r="D726" s="282"/>
      <c r="E726" s="283"/>
      <c r="F726" s="283"/>
      <c r="G726" s="284"/>
      <c r="H726" s="284"/>
      <c r="I726" s="283"/>
      <c r="J726" s="283"/>
      <c r="K726" s="283"/>
      <c r="L726" s="283"/>
      <c r="M726" s="283"/>
      <c r="N726" s="283"/>
      <c r="O726" s="283"/>
      <c r="P726" s="283"/>
      <c r="Q726" s="283"/>
      <c r="R726" s="283"/>
      <c r="S726" s="283"/>
      <c r="T726" s="283"/>
    </row>
    <row r="727">
      <c r="A727" s="300"/>
      <c r="B727" s="282"/>
      <c r="C727" s="283"/>
      <c r="D727" s="282"/>
      <c r="E727" s="283"/>
      <c r="F727" s="283"/>
      <c r="G727" s="284"/>
      <c r="H727" s="284"/>
      <c r="I727" s="283"/>
      <c r="J727" s="283"/>
      <c r="K727" s="283"/>
      <c r="L727" s="283"/>
      <c r="M727" s="283"/>
      <c r="N727" s="283"/>
      <c r="O727" s="283"/>
      <c r="P727" s="283"/>
      <c r="Q727" s="283"/>
      <c r="R727" s="283"/>
      <c r="S727" s="283"/>
      <c r="T727" s="283"/>
    </row>
    <row r="728">
      <c r="A728" s="300"/>
      <c r="B728" s="282"/>
      <c r="C728" s="283"/>
      <c r="D728" s="282"/>
      <c r="E728" s="283"/>
      <c r="F728" s="283"/>
      <c r="G728" s="284"/>
      <c r="H728" s="284"/>
      <c r="I728" s="283"/>
      <c r="J728" s="283"/>
      <c r="K728" s="283"/>
      <c r="L728" s="283"/>
      <c r="M728" s="283"/>
      <c r="N728" s="283"/>
      <c r="O728" s="283"/>
      <c r="P728" s="283"/>
      <c r="Q728" s="283"/>
      <c r="R728" s="283"/>
      <c r="S728" s="283"/>
      <c r="T728" s="283"/>
    </row>
    <row r="729">
      <c r="A729" s="300"/>
      <c r="B729" s="282"/>
      <c r="C729" s="283"/>
      <c r="D729" s="282"/>
      <c r="E729" s="283"/>
      <c r="F729" s="283"/>
      <c r="G729" s="284"/>
      <c r="H729" s="284"/>
      <c r="I729" s="283"/>
      <c r="J729" s="283"/>
      <c r="K729" s="283"/>
      <c r="L729" s="283"/>
      <c r="M729" s="283"/>
      <c r="N729" s="283"/>
      <c r="O729" s="283"/>
      <c r="P729" s="283"/>
      <c r="Q729" s="283"/>
      <c r="R729" s="283"/>
      <c r="S729" s="283"/>
      <c r="T729" s="283"/>
    </row>
    <row r="730">
      <c r="A730" s="300"/>
      <c r="B730" s="282"/>
      <c r="C730" s="283"/>
      <c r="D730" s="282"/>
      <c r="E730" s="283"/>
      <c r="F730" s="283"/>
      <c r="G730" s="284"/>
      <c r="H730" s="284"/>
      <c r="I730" s="283"/>
      <c r="J730" s="283"/>
      <c r="K730" s="283"/>
      <c r="L730" s="283"/>
      <c r="M730" s="283"/>
      <c r="N730" s="283"/>
      <c r="O730" s="283"/>
      <c r="P730" s="283"/>
      <c r="Q730" s="283"/>
      <c r="R730" s="283"/>
      <c r="S730" s="283"/>
      <c r="T730" s="283"/>
    </row>
    <row r="731">
      <c r="A731" s="300"/>
      <c r="B731" s="282"/>
      <c r="C731" s="283"/>
      <c r="D731" s="282"/>
      <c r="E731" s="283"/>
      <c r="F731" s="283"/>
      <c r="G731" s="284"/>
      <c r="H731" s="284"/>
      <c r="I731" s="283"/>
      <c r="J731" s="283"/>
      <c r="K731" s="283"/>
      <c r="L731" s="283"/>
      <c r="M731" s="283"/>
      <c r="N731" s="283"/>
      <c r="O731" s="283"/>
      <c r="P731" s="283"/>
      <c r="Q731" s="283"/>
      <c r="R731" s="283"/>
      <c r="S731" s="283"/>
      <c r="T731" s="283"/>
    </row>
    <row r="732">
      <c r="A732" s="300"/>
      <c r="B732" s="282"/>
      <c r="C732" s="283"/>
      <c r="D732" s="282"/>
      <c r="E732" s="283"/>
      <c r="F732" s="283"/>
      <c r="G732" s="284"/>
      <c r="H732" s="284"/>
      <c r="I732" s="283"/>
      <c r="J732" s="283"/>
      <c r="K732" s="283"/>
      <c r="L732" s="283"/>
      <c r="M732" s="283"/>
      <c r="N732" s="283"/>
      <c r="O732" s="283"/>
      <c r="P732" s="283"/>
      <c r="Q732" s="283"/>
      <c r="R732" s="283"/>
      <c r="S732" s="283"/>
      <c r="T732" s="283"/>
    </row>
    <row r="733">
      <c r="A733" s="300"/>
      <c r="B733" s="282"/>
      <c r="C733" s="283"/>
      <c r="D733" s="282"/>
      <c r="E733" s="283"/>
      <c r="F733" s="283"/>
      <c r="G733" s="284"/>
      <c r="H733" s="284"/>
      <c r="I733" s="283"/>
      <c r="J733" s="283"/>
      <c r="K733" s="283"/>
      <c r="L733" s="283"/>
      <c r="M733" s="283"/>
      <c r="N733" s="283"/>
      <c r="O733" s="283"/>
      <c r="P733" s="283"/>
      <c r="Q733" s="283"/>
      <c r="R733" s="283"/>
      <c r="S733" s="283"/>
      <c r="T733" s="283"/>
    </row>
    <row r="734">
      <c r="A734" s="300"/>
      <c r="B734" s="282"/>
      <c r="C734" s="283"/>
      <c r="D734" s="282"/>
      <c r="E734" s="283"/>
      <c r="F734" s="283"/>
      <c r="G734" s="284"/>
      <c r="H734" s="284"/>
      <c r="I734" s="283"/>
      <c r="J734" s="283"/>
      <c r="K734" s="283"/>
      <c r="L734" s="283"/>
      <c r="M734" s="283"/>
      <c r="N734" s="283"/>
      <c r="O734" s="283"/>
      <c r="P734" s="283"/>
      <c r="Q734" s="283"/>
      <c r="R734" s="283"/>
      <c r="S734" s="283"/>
      <c r="T734" s="283"/>
    </row>
    <row r="735">
      <c r="A735" s="300"/>
      <c r="B735" s="282"/>
      <c r="C735" s="283"/>
      <c r="D735" s="282"/>
      <c r="E735" s="283"/>
      <c r="F735" s="283"/>
      <c r="G735" s="284"/>
      <c r="H735" s="284"/>
      <c r="I735" s="283"/>
      <c r="J735" s="283"/>
      <c r="K735" s="283"/>
      <c r="L735" s="283"/>
      <c r="M735" s="283"/>
      <c r="N735" s="283"/>
      <c r="O735" s="283"/>
      <c r="P735" s="283"/>
      <c r="Q735" s="283"/>
      <c r="R735" s="283"/>
      <c r="S735" s="283"/>
      <c r="T735" s="283"/>
    </row>
    <row r="736">
      <c r="A736" s="300"/>
      <c r="B736" s="282"/>
      <c r="C736" s="283"/>
      <c r="D736" s="282"/>
      <c r="E736" s="283"/>
      <c r="F736" s="283"/>
      <c r="G736" s="284"/>
      <c r="H736" s="284"/>
      <c r="I736" s="283"/>
      <c r="J736" s="283"/>
      <c r="K736" s="283"/>
      <c r="L736" s="283"/>
      <c r="M736" s="283"/>
      <c r="N736" s="283"/>
      <c r="O736" s="283"/>
      <c r="P736" s="283"/>
      <c r="Q736" s="283"/>
      <c r="R736" s="283"/>
      <c r="S736" s="283"/>
      <c r="T736" s="283"/>
    </row>
    <row r="737">
      <c r="A737" s="300"/>
      <c r="B737" s="282"/>
      <c r="C737" s="283"/>
      <c r="D737" s="282"/>
      <c r="E737" s="283"/>
      <c r="F737" s="283"/>
      <c r="G737" s="284"/>
      <c r="H737" s="284"/>
      <c r="I737" s="283"/>
      <c r="J737" s="283"/>
      <c r="K737" s="283"/>
      <c r="L737" s="283"/>
      <c r="M737" s="283"/>
      <c r="N737" s="283"/>
      <c r="O737" s="283"/>
      <c r="P737" s="283"/>
      <c r="Q737" s="283"/>
      <c r="R737" s="283"/>
      <c r="S737" s="283"/>
      <c r="T737" s="283"/>
    </row>
    <row r="738">
      <c r="A738" s="300"/>
      <c r="B738" s="282"/>
      <c r="C738" s="283"/>
      <c r="D738" s="282"/>
      <c r="E738" s="283"/>
      <c r="F738" s="283"/>
      <c r="G738" s="284"/>
      <c r="H738" s="284"/>
      <c r="I738" s="283"/>
      <c r="J738" s="283"/>
      <c r="K738" s="283"/>
      <c r="L738" s="283"/>
      <c r="M738" s="283"/>
      <c r="N738" s="283"/>
      <c r="O738" s="283"/>
      <c r="P738" s="283"/>
      <c r="Q738" s="283"/>
      <c r="R738" s="283"/>
      <c r="S738" s="283"/>
      <c r="T738" s="283"/>
    </row>
    <row r="739">
      <c r="A739" s="300"/>
      <c r="B739" s="282"/>
      <c r="C739" s="283"/>
      <c r="D739" s="282"/>
      <c r="E739" s="283"/>
      <c r="F739" s="283"/>
      <c r="G739" s="284"/>
      <c r="H739" s="284"/>
      <c r="I739" s="283"/>
      <c r="J739" s="283"/>
      <c r="K739" s="283"/>
      <c r="L739" s="283"/>
      <c r="M739" s="283"/>
      <c r="N739" s="283"/>
      <c r="O739" s="283"/>
      <c r="P739" s="283"/>
      <c r="Q739" s="283"/>
      <c r="R739" s="283"/>
      <c r="S739" s="283"/>
      <c r="T739" s="283"/>
    </row>
    <row r="740">
      <c r="A740" s="300"/>
      <c r="B740" s="282"/>
      <c r="C740" s="283"/>
      <c r="D740" s="282"/>
      <c r="E740" s="283"/>
      <c r="F740" s="283"/>
      <c r="G740" s="284"/>
      <c r="H740" s="284"/>
      <c r="I740" s="283"/>
      <c r="J740" s="283"/>
      <c r="K740" s="283"/>
      <c r="L740" s="283"/>
      <c r="M740" s="283"/>
      <c r="N740" s="283"/>
      <c r="O740" s="283"/>
      <c r="P740" s="283"/>
      <c r="Q740" s="283"/>
      <c r="R740" s="283"/>
      <c r="S740" s="283"/>
      <c r="T740" s="283"/>
    </row>
    <row r="741">
      <c r="A741" s="300"/>
      <c r="B741" s="282"/>
      <c r="C741" s="283"/>
      <c r="D741" s="282"/>
      <c r="E741" s="283"/>
      <c r="F741" s="283"/>
      <c r="G741" s="284"/>
      <c r="H741" s="284"/>
      <c r="I741" s="283"/>
      <c r="J741" s="283"/>
      <c r="K741" s="283"/>
      <c r="L741" s="283"/>
      <c r="M741" s="283"/>
      <c r="N741" s="283"/>
      <c r="O741" s="283"/>
      <c r="P741" s="283"/>
      <c r="Q741" s="283"/>
      <c r="R741" s="283"/>
      <c r="S741" s="283"/>
      <c r="T741" s="283"/>
    </row>
    <row r="742">
      <c r="A742" s="300"/>
      <c r="B742" s="282"/>
      <c r="C742" s="283"/>
      <c r="D742" s="282"/>
      <c r="E742" s="283"/>
      <c r="F742" s="283"/>
      <c r="G742" s="284"/>
      <c r="H742" s="284"/>
      <c r="I742" s="283"/>
      <c r="J742" s="283"/>
      <c r="K742" s="283"/>
      <c r="L742" s="283"/>
      <c r="M742" s="283"/>
      <c r="N742" s="283"/>
      <c r="O742" s="283"/>
      <c r="P742" s="283"/>
      <c r="Q742" s="283"/>
      <c r="R742" s="283"/>
      <c r="S742" s="283"/>
      <c r="T742" s="283"/>
    </row>
    <row r="743">
      <c r="A743" s="300"/>
      <c r="B743" s="282"/>
      <c r="C743" s="283"/>
      <c r="D743" s="282"/>
      <c r="E743" s="283"/>
      <c r="F743" s="283"/>
      <c r="G743" s="284"/>
      <c r="H743" s="284"/>
      <c r="I743" s="283"/>
      <c r="J743" s="283"/>
      <c r="K743" s="283"/>
      <c r="L743" s="283"/>
      <c r="M743" s="283"/>
      <c r="N743" s="283"/>
      <c r="O743" s="283"/>
      <c r="P743" s="283"/>
      <c r="Q743" s="283"/>
      <c r="R743" s="283"/>
      <c r="S743" s="283"/>
      <c r="T743" s="283"/>
    </row>
    <row r="744">
      <c r="A744" s="300"/>
      <c r="B744" s="282"/>
      <c r="C744" s="283"/>
      <c r="D744" s="282"/>
      <c r="E744" s="283"/>
      <c r="F744" s="283"/>
      <c r="G744" s="284"/>
      <c r="H744" s="284"/>
      <c r="I744" s="283"/>
      <c r="J744" s="283"/>
      <c r="K744" s="283"/>
      <c r="L744" s="283"/>
      <c r="M744" s="283"/>
      <c r="N744" s="283"/>
      <c r="O744" s="283"/>
      <c r="P744" s="283"/>
      <c r="Q744" s="283"/>
      <c r="R744" s="283"/>
      <c r="S744" s="283"/>
      <c r="T744" s="283"/>
    </row>
    <row r="745">
      <c r="A745" s="300"/>
      <c r="B745" s="282"/>
      <c r="C745" s="283"/>
      <c r="D745" s="282"/>
      <c r="E745" s="283"/>
      <c r="F745" s="283"/>
      <c r="G745" s="284"/>
      <c r="H745" s="284"/>
      <c r="I745" s="283"/>
      <c r="J745" s="283"/>
      <c r="K745" s="283"/>
      <c r="L745" s="283"/>
      <c r="M745" s="283"/>
      <c r="N745" s="283"/>
      <c r="O745" s="283"/>
      <c r="P745" s="283"/>
      <c r="Q745" s="283"/>
      <c r="R745" s="283"/>
      <c r="S745" s="283"/>
      <c r="T745" s="283"/>
    </row>
    <row r="746">
      <c r="A746" s="300"/>
      <c r="B746" s="282"/>
      <c r="C746" s="283"/>
      <c r="D746" s="282"/>
      <c r="E746" s="283"/>
      <c r="F746" s="283"/>
      <c r="G746" s="284"/>
      <c r="H746" s="284"/>
      <c r="I746" s="283"/>
      <c r="J746" s="283"/>
      <c r="K746" s="283"/>
      <c r="L746" s="283"/>
      <c r="M746" s="283"/>
      <c r="N746" s="283"/>
      <c r="O746" s="283"/>
      <c r="P746" s="283"/>
      <c r="Q746" s="283"/>
      <c r="R746" s="283"/>
      <c r="S746" s="283"/>
      <c r="T746" s="283"/>
    </row>
    <row r="747">
      <c r="A747" s="300"/>
      <c r="B747" s="282"/>
      <c r="C747" s="283"/>
      <c r="D747" s="282"/>
      <c r="E747" s="283"/>
      <c r="F747" s="283"/>
      <c r="G747" s="284"/>
      <c r="H747" s="284"/>
      <c r="I747" s="283"/>
      <c r="J747" s="283"/>
      <c r="K747" s="283"/>
      <c r="L747" s="283"/>
      <c r="M747" s="283"/>
      <c r="N747" s="283"/>
      <c r="O747" s="283"/>
      <c r="P747" s="283"/>
      <c r="Q747" s="283"/>
      <c r="R747" s="283"/>
      <c r="S747" s="283"/>
      <c r="T747" s="283"/>
    </row>
    <row r="748">
      <c r="A748" s="300"/>
      <c r="B748" s="282"/>
      <c r="C748" s="283"/>
      <c r="D748" s="282"/>
      <c r="E748" s="283"/>
      <c r="F748" s="283"/>
      <c r="G748" s="284"/>
      <c r="H748" s="284"/>
      <c r="I748" s="283"/>
      <c r="J748" s="283"/>
      <c r="K748" s="283"/>
      <c r="L748" s="283"/>
      <c r="M748" s="283"/>
      <c r="N748" s="283"/>
      <c r="O748" s="283"/>
      <c r="P748" s="283"/>
      <c r="Q748" s="283"/>
      <c r="R748" s="283"/>
      <c r="S748" s="283"/>
      <c r="T748" s="283"/>
    </row>
    <row r="749">
      <c r="A749" s="300"/>
      <c r="B749" s="282"/>
      <c r="C749" s="283"/>
      <c r="D749" s="282"/>
      <c r="E749" s="283"/>
      <c r="F749" s="283"/>
      <c r="G749" s="284"/>
      <c r="H749" s="284"/>
      <c r="I749" s="283"/>
      <c r="J749" s="283"/>
      <c r="K749" s="283"/>
      <c r="L749" s="283"/>
      <c r="M749" s="283"/>
      <c r="N749" s="283"/>
      <c r="O749" s="283"/>
      <c r="P749" s="283"/>
      <c r="Q749" s="283"/>
      <c r="R749" s="283"/>
      <c r="S749" s="283"/>
      <c r="T749" s="283"/>
    </row>
    <row r="750">
      <c r="A750" s="300"/>
      <c r="B750" s="282"/>
      <c r="C750" s="283"/>
      <c r="D750" s="282"/>
      <c r="E750" s="283"/>
      <c r="F750" s="283"/>
      <c r="G750" s="284"/>
      <c r="H750" s="284"/>
      <c r="I750" s="283"/>
      <c r="J750" s="283"/>
      <c r="K750" s="283"/>
      <c r="L750" s="283"/>
      <c r="M750" s="283"/>
      <c r="N750" s="283"/>
      <c r="O750" s="283"/>
      <c r="P750" s="283"/>
      <c r="Q750" s="283"/>
      <c r="R750" s="283"/>
      <c r="S750" s="283"/>
      <c r="T750" s="283"/>
    </row>
    <row r="751">
      <c r="A751" s="300"/>
      <c r="B751" s="282"/>
      <c r="C751" s="283"/>
      <c r="D751" s="282"/>
      <c r="E751" s="283"/>
      <c r="F751" s="283"/>
      <c r="G751" s="284"/>
      <c r="H751" s="284"/>
      <c r="I751" s="283"/>
      <c r="J751" s="283"/>
      <c r="K751" s="283"/>
      <c r="L751" s="283"/>
      <c r="M751" s="283"/>
      <c r="N751" s="283"/>
      <c r="O751" s="283"/>
      <c r="P751" s="283"/>
      <c r="Q751" s="283"/>
      <c r="R751" s="283"/>
      <c r="S751" s="283"/>
      <c r="T751" s="283"/>
    </row>
    <row r="752">
      <c r="A752" s="300"/>
      <c r="B752" s="282"/>
      <c r="C752" s="283"/>
      <c r="D752" s="282"/>
      <c r="E752" s="283"/>
      <c r="F752" s="283"/>
      <c r="G752" s="284"/>
      <c r="H752" s="284"/>
      <c r="I752" s="283"/>
      <c r="J752" s="283"/>
      <c r="K752" s="283"/>
      <c r="L752" s="283"/>
      <c r="M752" s="283"/>
      <c r="N752" s="283"/>
      <c r="O752" s="283"/>
      <c r="P752" s="283"/>
      <c r="Q752" s="283"/>
      <c r="R752" s="283"/>
      <c r="S752" s="283"/>
      <c r="T752" s="283"/>
    </row>
    <row r="753">
      <c r="A753" s="300"/>
      <c r="B753" s="282"/>
      <c r="C753" s="283"/>
      <c r="D753" s="282"/>
      <c r="E753" s="283"/>
      <c r="F753" s="283"/>
      <c r="G753" s="284"/>
      <c r="H753" s="284"/>
      <c r="I753" s="283"/>
      <c r="J753" s="283"/>
      <c r="K753" s="283"/>
      <c r="L753" s="283"/>
      <c r="M753" s="283"/>
      <c r="N753" s="283"/>
      <c r="O753" s="283"/>
      <c r="P753" s="283"/>
      <c r="Q753" s="283"/>
      <c r="R753" s="283"/>
      <c r="S753" s="283"/>
      <c r="T753" s="283"/>
    </row>
    <row r="754">
      <c r="A754" s="300"/>
      <c r="B754" s="282"/>
      <c r="C754" s="283"/>
      <c r="D754" s="282"/>
      <c r="E754" s="283"/>
      <c r="F754" s="283"/>
      <c r="G754" s="284"/>
      <c r="H754" s="284"/>
      <c r="I754" s="283"/>
      <c r="J754" s="283"/>
      <c r="K754" s="283"/>
      <c r="L754" s="283"/>
      <c r="M754" s="283"/>
      <c r="N754" s="283"/>
      <c r="O754" s="283"/>
      <c r="P754" s="283"/>
      <c r="Q754" s="283"/>
      <c r="R754" s="283"/>
      <c r="S754" s="283"/>
      <c r="T754" s="283"/>
    </row>
    <row r="755">
      <c r="A755" s="300"/>
      <c r="B755" s="282"/>
      <c r="C755" s="283"/>
      <c r="D755" s="282"/>
      <c r="E755" s="283"/>
      <c r="F755" s="283"/>
      <c r="G755" s="284"/>
      <c r="H755" s="284"/>
      <c r="I755" s="283"/>
      <c r="J755" s="283"/>
      <c r="K755" s="283"/>
      <c r="L755" s="283"/>
      <c r="M755" s="283"/>
      <c r="N755" s="283"/>
      <c r="O755" s="283"/>
      <c r="P755" s="283"/>
      <c r="Q755" s="283"/>
      <c r="R755" s="283"/>
      <c r="S755" s="283"/>
      <c r="T755" s="283"/>
    </row>
    <row r="756">
      <c r="A756" s="300"/>
      <c r="B756" s="282"/>
      <c r="C756" s="283"/>
      <c r="D756" s="282"/>
      <c r="E756" s="283"/>
      <c r="F756" s="283"/>
      <c r="G756" s="284"/>
      <c r="H756" s="284"/>
      <c r="I756" s="283"/>
      <c r="J756" s="283"/>
      <c r="K756" s="283"/>
      <c r="L756" s="283"/>
      <c r="M756" s="283"/>
      <c r="N756" s="283"/>
      <c r="O756" s="283"/>
      <c r="P756" s="283"/>
      <c r="Q756" s="283"/>
      <c r="R756" s="283"/>
      <c r="S756" s="283"/>
      <c r="T756" s="283"/>
    </row>
    <row r="757">
      <c r="A757" s="300"/>
      <c r="B757" s="282"/>
      <c r="C757" s="283"/>
      <c r="D757" s="282"/>
      <c r="E757" s="283"/>
      <c r="F757" s="283"/>
      <c r="G757" s="284"/>
      <c r="H757" s="284"/>
      <c r="I757" s="283"/>
      <c r="J757" s="283"/>
      <c r="K757" s="283"/>
      <c r="L757" s="283"/>
      <c r="M757" s="283"/>
      <c r="N757" s="283"/>
      <c r="O757" s="283"/>
      <c r="P757" s="283"/>
      <c r="Q757" s="283"/>
      <c r="R757" s="283"/>
      <c r="S757" s="283"/>
      <c r="T757" s="283"/>
    </row>
    <row r="758">
      <c r="A758" s="300"/>
      <c r="B758" s="282"/>
      <c r="C758" s="283"/>
      <c r="D758" s="282"/>
      <c r="E758" s="283"/>
      <c r="F758" s="283"/>
      <c r="G758" s="284"/>
      <c r="H758" s="284"/>
      <c r="I758" s="283"/>
      <c r="J758" s="283"/>
      <c r="K758" s="283"/>
      <c r="L758" s="283"/>
      <c r="M758" s="283"/>
      <c r="N758" s="283"/>
      <c r="O758" s="283"/>
      <c r="P758" s="283"/>
      <c r="Q758" s="283"/>
      <c r="R758" s="283"/>
      <c r="S758" s="283"/>
      <c r="T758" s="283"/>
    </row>
    <row r="759">
      <c r="A759" s="300"/>
      <c r="B759" s="282"/>
      <c r="C759" s="283"/>
      <c r="D759" s="282"/>
      <c r="E759" s="283"/>
      <c r="F759" s="283"/>
      <c r="G759" s="284"/>
      <c r="H759" s="284"/>
      <c r="I759" s="283"/>
      <c r="J759" s="283"/>
      <c r="K759" s="283"/>
      <c r="L759" s="283"/>
      <c r="M759" s="283"/>
      <c r="N759" s="283"/>
      <c r="O759" s="283"/>
      <c r="P759" s="283"/>
      <c r="Q759" s="283"/>
      <c r="R759" s="283"/>
      <c r="S759" s="283"/>
      <c r="T759" s="283"/>
    </row>
    <row r="760">
      <c r="A760" s="300"/>
      <c r="B760" s="282"/>
      <c r="C760" s="283"/>
      <c r="D760" s="282"/>
      <c r="E760" s="283"/>
      <c r="F760" s="283"/>
      <c r="G760" s="284"/>
      <c r="H760" s="284"/>
      <c r="I760" s="283"/>
      <c r="J760" s="283"/>
      <c r="K760" s="283"/>
      <c r="L760" s="283"/>
      <c r="M760" s="283"/>
      <c r="N760" s="283"/>
      <c r="O760" s="283"/>
      <c r="P760" s="283"/>
      <c r="Q760" s="283"/>
      <c r="R760" s="283"/>
      <c r="S760" s="283"/>
      <c r="T760" s="283"/>
    </row>
    <row r="761">
      <c r="A761" s="300"/>
      <c r="B761" s="282"/>
      <c r="C761" s="283"/>
      <c r="D761" s="282"/>
      <c r="E761" s="283"/>
      <c r="F761" s="283"/>
      <c r="G761" s="284"/>
      <c r="H761" s="284"/>
      <c r="I761" s="283"/>
      <c r="J761" s="283"/>
      <c r="K761" s="283"/>
      <c r="L761" s="283"/>
      <c r="M761" s="283"/>
      <c r="N761" s="283"/>
      <c r="O761" s="283"/>
      <c r="P761" s="283"/>
      <c r="Q761" s="283"/>
      <c r="R761" s="283"/>
      <c r="S761" s="283"/>
      <c r="T761" s="283"/>
    </row>
    <row r="762">
      <c r="A762" s="300"/>
      <c r="B762" s="282"/>
      <c r="C762" s="283"/>
      <c r="D762" s="282"/>
      <c r="E762" s="283"/>
      <c r="F762" s="283"/>
      <c r="G762" s="284"/>
      <c r="H762" s="284"/>
      <c r="I762" s="283"/>
      <c r="J762" s="283"/>
      <c r="K762" s="283"/>
      <c r="L762" s="283"/>
      <c r="M762" s="283"/>
      <c r="N762" s="283"/>
      <c r="O762" s="283"/>
      <c r="P762" s="283"/>
      <c r="Q762" s="283"/>
      <c r="R762" s="283"/>
      <c r="S762" s="283"/>
      <c r="T762" s="283"/>
    </row>
    <row r="763">
      <c r="A763" s="300"/>
      <c r="B763" s="282"/>
      <c r="C763" s="283"/>
      <c r="D763" s="282"/>
      <c r="E763" s="283"/>
      <c r="F763" s="283"/>
      <c r="G763" s="284"/>
      <c r="H763" s="284"/>
      <c r="I763" s="283"/>
      <c r="J763" s="283"/>
      <c r="K763" s="283"/>
      <c r="L763" s="283"/>
      <c r="M763" s="283"/>
      <c r="N763" s="283"/>
      <c r="O763" s="283"/>
      <c r="P763" s="283"/>
      <c r="Q763" s="283"/>
      <c r="R763" s="283"/>
      <c r="S763" s="283"/>
      <c r="T763" s="283"/>
    </row>
    <row r="764">
      <c r="A764" s="300"/>
      <c r="B764" s="282"/>
      <c r="C764" s="283"/>
      <c r="D764" s="282"/>
      <c r="E764" s="283"/>
      <c r="F764" s="283"/>
      <c r="G764" s="284"/>
      <c r="H764" s="284"/>
      <c r="I764" s="283"/>
      <c r="J764" s="283"/>
      <c r="K764" s="283"/>
      <c r="L764" s="283"/>
      <c r="M764" s="283"/>
      <c r="N764" s="283"/>
      <c r="O764" s="283"/>
      <c r="P764" s="283"/>
      <c r="Q764" s="283"/>
      <c r="R764" s="283"/>
      <c r="S764" s="283"/>
      <c r="T764" s="283"/>
    </row>
    <row r="765">
      <c r="A765" s="300"/>
      <c r="B765" s="282"/>
      <c r="C765" s="283"/>
      <c r="D765" s="282"/>
      <c r="E765" s="283"/>
      <c r="F765" s="283"/>
      <c r="G765" s="284"/>
      <c r="H765" s="284"/>
      <c r="I765" s="283"/>
      <c r="J765" s="283"/>
      <c r="K765" s="283"/>
      <c r="L765" s="283"/>
      <c r="M765" s="283"/>
      <c r="N765" s="283"/>
      <c r="O765" s="283"/>
      <c r="P765" s="283"/>
      <c r="Q765" s="283"/>
      <c r="R765" s="283"/>
      <c r="S765" s="283"/>
      <c r="T765" s="283"/>
    </row>
    <row r="766">
      <c r="A766" s="300"/>
      <c r="B766" s="282"/>
      <c r="C766" s="283"/>
      <c r="D766" s="282"/>
      <c r="E766" s="283"/>
      <c r="F766" s="283"/>
      <c r="G766" s="284"/>
      <c r="H766" s="284"/>
      <c r="I766" s="283"/>
      <c r="J766" s="283"/>
      <c r="K766" s="283"/>
      <c r="L766" s="283"/>
      <c r="M766" s="283"/>
      <c r="N766" s="283"/>
      <c r="O766" s="283"/>
      <c r="P766" s="283"/>
      <c r="Q766" s="283"/>
      <c r="R766" s="283"/>
      <c r="S766" s="283"/>
      <c r="T766" s="283"/>
    </row>
    <row r="767">
      <c r="A767" s="300"/>
      <c r="B767" s="282"/>
      <c r="C767" s="283"/>
      <c r="D767" s="282"/>
      <c r="E767" s="283"/>
      <c r="F767" s="283"/>
      <c r="G767" s="284"/>
      <c r="H767" s="284"/>
      <c r="I767" s="283"/>
      <c r="J767" s="283"/>
      <c r="K767" s="283"/>
      <c r="L767" s="283"/>
      <c r="M767" s="283"/>
      <c r="N767" s="283"/>
      <c r="O767" s="283"/>
      <c r="P767" s="283"/>
      <c r="Q767" s="283"/>
      <c r="R767" s="283"/>
      <c r="S767" s="283"/>
      <c r="T767" s="283"/>
    </row>
    <row r="768">
      <c r="A768" s="300"/>
      <c r="B768" s="282"/>
      <c r="C768" s="283"/>
      <c r="D768" s="282"/>
      <c r="E768" s="283"/>
      <c r="F768" s="283"/>
      <c r="G768" s="284"/>
      <c r="H768" s="284"/>
      <c r="I768" s="283"/>
      <c r="J768" s="283"/>
      <c r="K768" s="283"/>
      <c r="L768" s="283"/>
      <c r="M768" s="283"/>
      <c r="N768" s="283"/>
      <c r="O768" s="283"/>
      <c r="P768" s="283"/>
      <c r="Q768" s="283"/>
      <c r="R768" s="283"/>
      <c r="S768" s="283"/>
      <c r="T768" s="283"/>
    </row>
    <row r="769">
      <c r="A769" s="300"/>
      <c r="B769" s="282"/>
      <c r="C769" s="283"/>
      <c r="D769" s="282"/>
      <c r="E769" s="283"/>
      <c r="F769" s="283"/>
      <c r="G769" s="284"/>
      <c r="H769" s="284"/>
      <c r="I769" s="283"/>
      <c r="J769" s="283"/>
      <c r="K769" s="283"/>
      <c r="L769" s="283"/>
      <c r="M769" s="283"/>
      <c r="N769" s="283"/>
      <c r="O769" s="283"/>
      <c r="P769" s="283"/>
      <c r="Q769" s="283"/>
      <c r="R769" s="283"/>
      <c r="S769" s="283"/>
      <c r="T769" s="283"/>
    </row>
    <row r="770">
      <c r="A770" s="300"/>
      <c r="B770" s="282"/>
      <c r="C770" s="283"/>
      <c r="D770" s="282"/>
      <c r="E770" s="283"/>
      <c r="F770" s="283"/>
      <c r="G770" s="284"/>
      <c r="H770" s="284"/>
      <c r="I770" s="283"/>
      <c r="J770" s="283"/>
      <c r="K770" s="283"/>
      <c r="L770" s="283"/>
      <c r="M770" s="283"/>
      <c r="N770" s="283"/>
      <c r="O770" s="283"/>
      <c r="P770" s="283"/>
      <c r="Q770" s="283"/>
      <c r="R770" s="283"/>
      <c r="S770" s="283"/>
      <c r="T770" s="283"/>
    </row>
    <row r="771">
      <c r="A771" s="300"/>
      <c r="B771" s="282"/>
      <c r="C771" s="283"/>
      <c r="D771" s="282"/>
      <c r="E771" s="283"/>
      <c r="F771" s="283"/>
      <c r="G771" s="284"/>
      <c r="H771" s="284"/>
      <c r="I771" s="283"/>
      <c r="J771" s="283"/>
      <c r="K771" s="283"/>
      <c r="L771" s="283"/>
      <c r="M771" s="283"/>
      <c r="N771" s="283"/>
      <c r="O771" s="283"/>
      <c r="P771" s="283"/>
      <c r="Q771" s="283"/>
      <c r="R771" s="283"/>
      <c r="S771" s="283"/>
      <c r="T771" s="283"/>
    </row>
    <row r="772">
      <c r="A772" s="300"/>
      <c r="B772" s="282"/>
      <c r="C772" s="283"/>
      <c r="D772" s="282"/>
      <c r="E772" s="283"/>
      <c r="F772" s="283"/>
      <c r="G772" s="284"/>
      <c r="H772" s="284"/>
      <c r="I772" s="283"/>
      <c r="J772" s="283"/>
      <c r="K772" s="283"/>
      <c r="L772" s="283"/>
      <c r="M772" s="283"/>
      <c r="N772" s="283"/>
      <c r="O772" s="283"/>
      <c r="P772" s="283"/>
      <c r="Q772" s="283"/>
      <c r="R772" s="283"/>
      <c r="S772" s="283"/>
      <c r="T772" s="283"/>
    </row>
    <row r="773">
      <c r="A773" s="300"/>
      <c r="B773" s="282"/>
      <c r="C773" s="283"/>
      <c r="D773" s="282"/>
      <c r="E773" s="283"/>
      <c r="F773" s="283"/>
      <c r="G773" s="284"/>
      <c r="H773" s="284"/>
      <c r="I773" s="283"/>
      <c r="J773" s="283"/>
      <c r="K773" s="283"/>
      <c r="L773" s="283"/>
      <c r="M773" s="283"/>
      <c r="N773" s="283"/>
      <c r="O773" s="283"/>
      <c r="P773" s="283"/>
      <c r="Q773" s="283"/>
      <c r="R773" s="283"/>
      <c r="S773" s="283"/>
      <c r="T773" s="283"/>
    </row>
    <row r="774">
      <c r="A774" s="300"/>
      <c r="B774" s="282"/>
      <c r="C774" s="283"/>
      <c r="D774" s="282"/>
      <c r="E774" s="283"/>
      <c r="F774" s="283"/>
      <c r="G774" s="284"/>
      <c r="H774" s="284"/>
      <c r="I774" s="283"/>
      <c r="J774" s="283"/>
      <c r="K774" s="283"/>
      <c r="L774" s="283"/>
      <c r="M774" s="283"/>
      <c r="N774" s="283"/>
      <c r="O774" s="283"/>
      <c r="P774" s="283"/>
      <c r="Q774" s="283"/>
      <c r="R774" s="283"/>
      <c r="S774" s="283"/>
      <c r="T774" s="283"/>
    </row>
    <row r="775">
      <c r="A775" s="300"/>
      <c r="B775" s="282"/>
      <c r="C775" s="283"/>
      <c r="D775" s="282"/>
      <c r="E775" s="283"/>
      <c r="F775" s="283"/>
      <c r="G775" s="284"/>
      <c r="H775" s="284"/>
      <c r="I775" s="283"/>
      <c r="J775" s="283"/>
      <c r="K775" s="283"/>
      <c r="L775" s="283"/>
      <c r="M775" s="283"/>
      <c r="N775" s="283"/>
      <c r="O775" s="283"/>
      <c r="P775" s="283"/>
      <c r="Q775" s="283"/>
      <c r="R775" s="283"/>
      <c r="S775" s="283"/>
      <c r="T775" s="283"/>
    </row>
    <row r="776">
      <c r="A776" s="300"/>
      <c r="B776" s="282"/>
      <c r="C776" s="283"/>
      <c r="D776" s="282"/>
      <c r="E776" s="283"/>
      <c r="F776" s="283"/>
      <c r="G776" s="284"/>
      <c r="H776" s="284"/>
      <c r="I776" s="283"/>
      <c r="J776" s="283"/>
      <c r="K776" s="283"/>
      <c r="L776" s="283"/>
      <c r="M776" s="283"/>
      <c r="N776" s="283"/>
      <c r="O776" s="283"/>
      <c r="P776" s="283"/>
      <c r="Q776" s="283"/>
      <c r="R776" s="283"/>
      <c r="S776" s="283"/>
      <c r="T776" s="283"/>
    </row>
    <row r="777">
      <c r="A777" s="300"/>
      <c r="B777" s="282"/>
      <c r="C777" s="283"/>
      <c r="D777" s="282"/>
      <c r="E777" s="283"/>
      <c r="F777" s="283"/>
      <c r="G777" s="284"/>
      <c r="H777" s="284"/>
      <c r="I777" s="283"/>
      <c r="J777" s="283"/>
      <c r="K777" s="283"/>
      <c r="L777" s="283"/>
      <c r="M777" s="283"/>
      <c r="N777" s="283"/>
      <c r="O777" s="283"/>
      <c r="P777" s="283"/>
      <c r="Q777" s="283"/>
      <c r="R777" s="283"/>
      <c r="S777" s="283"/>
      <c r="T777" s="283"/>
    </row>
    <row r="778">
      <c r="A778" s="300"/>
      <c r="B778" s="282"/>
      <c r="C778" s="283"/>
      <c r="D778" s="282"/>
      <c r="E778" s="283"/>
      <c r="F778" s="283"/>
      <c r="G778" s="284"/>
      <c r="H778" s="284"/>
      <c r="I778" s="283"/>
      <c r="J778" s="283"/>
      <c r="K778" s="283"/>
      <c r="L778" s="283"/>
      <c r="M778" s="283"/>
      <c r="N778" s="283"/>
      <c r="O778" s="283"/>
      <c r="P778" s="283"/>
      <c r="Q778" s="283"/>
      <c r="R778" s="283"/>
      <c r="S778" s="283"/>
      <c r="T778" s="283"/>
    </row>
    <row r="779">
      <c r="A779" s="300"/>
      <c r="B779" s="282"/>
      <c r="C779" s="283"/>
      <c r="D779" s="282"/>
      <c r="E779" s="283"/>
      <c r="F779" s="283"/>
      <c r="G779" s="284"/>
      <c r="H779" s="284"/>
      <c r="I779" s="283"/>
      <c r="J779" s="283"/>
      <c r="K779" s="283"/>
      <c r="L779" s="283"/>
      <c r="M779" s="283"/>
      <c r="N779" s="283"/>
      <c r="O779" s="283"/>
      <c r="P779" s="283"/>
      <c r="Q779" s="283"/>
      <c r="R779" s="283"/>
      <c r="S779" s="283"/>
      <c r="T779" s="283"/>
    </row>
    <row r="780">
      <c r="A780" s="300"/>
      <c r="B780" s="282"/>
      <c r="C780" s="283"/>
      <c r="D780" s="282"/>
      <c r="E780" s="283"/>
      <c r="F780" s="283"/>
      <c r="G780" s="284"/>
      <c r="H780" s="284"/>
      <c r="I780" s="283"/>
      <c r="J780" s="283"/>
      <c r="K780" s="283"/>
      <c r="L780" s="283"/>
      <c r="M780" s="283"/>
      <c r="N780" s="283"/>
      <c r="O780" s="283"/>
      <c r="P780" s="283"/>
      <c r="Q780" s="283"/>
      <c r="R780" s="283"/>
      <c r="S780" s="283"/>
      <c r="T780" s="283"/>
    </row>
    <row r="781">
      <c r="A781" s="300"/>
      <c r="B781" s="282"/>
      <c r="C781" s="283"/>
      <c r="D781" s="282"/>
      <c r="E781" s="283"/>
      <c r="F781" s="283"/>
      <c r="G781" s="284"/>
      <c r="H781" s="284"/>
      <c r="I781" s="283"/>
      <c r="J781" s="283"/>
      <c r="K781" s="283"/>
      <c r="L781" s="283"/>
      <c r="M781" s="283"/>
      <c r="N781" s="283"/>
      <c r="O781" s="283"/>
      <c r="P781" s="283"/>
      <c r="Q781" s="283"/>
      <c r="R781" s="283"/>
      <c r="S781" s="283"/>
      <c r="T781" s="283"/>
    </row>
    <row r="782">
      <c r="A782" s="300"/>
      <c r="B782" s="282"/>
      <c r="C782" s="283"/>
      <c r="D782" s="282"/>
      <c r="E782" s="283"/>
      <c r="F782" s="283"/>
      <c r="G782" s="284"/>
      <c r="H782" s="284"/>
      <c r="I782" s="283"/>
      <c r="J782" s="283"/>
      <c r="K782" s="283"/>
      <c r="L782" s="283"/>
      <c r="M782" s="283"/>
      <c r="N782" s="283"/>
      <c r="O782" s="283"/>
      <c r="P782" s="283"/>
      <c r="Q782" s="283"/>
      <c r="R782" s="283"/>
      <c r="S782" s="283"/>
      <c r="T782" s="283"/>
    </row>
    <row r="783">
      <c r="A783" s="300"/>
      <c r="B783" s="282"/>
      <c r="C783" s="283"/>
      <c r="D783" s="282"/>
      <c r="E783" s="283"/>
      <c r="F783" s="283"/>
      <c r="G783" s="284"/>
      <c r="H783" s="284"/>
      <c r="I783" s="283"/>
      <c r="J783" s="283"/>
      <c r="K783" s="283"/>
      <c r="L783" s="283"/>
      <c r="M783" s="283"/>
      <c r="N783" s="283"/>
      <c r="O783" s="283"/>
      <c r="P783" s="283"/>
      <c r="Q783" s="283"/>
      <c r="R783" s="283"/>
      <c r="S783" s="283"/>
      <c r="T783" s="283"/>
    </row>
    <row r="784">
      <c r="A784" s="300"/>
      <c r="B784" s="282"/>
      <c r="C784" s="283"/>
      <c r="D784" s="282"/>
      <c r="E784" s="283"/>
      <c r="F784" s="283"/>
      <c r="G784" s="284"/>
      <c r="H784" s="284"/>
      <c r="I784" s="283"/>
      <c r="J784" s="283"/>
      <c r="K784" s="283"/>
      <c r="L784" s="283"/>
      <c r="M784" s="283"/>
      <c r="N784" s="283"/>
      <c r="O784" s="283"/>
      <c r="P784" s="283"/>
      <c r="Q784" s="283"/>
      <c r="R784" s="283"/>
      <c r="S784" s="283"/>
      <c r="T784" s="283"/>
    </row>
    <row r="785">
      <c r="A785" s="300"/>
      <c r="B785" s="282"/>
      <c r="C785" s="283"/>
      <c r="D785" s="282"/>
      <c r="E785" s="283"/>
      <c r="F785" s="283"/>
      <c r="G785" s="284"/>
      <c r="H785" s="284"/>
      <c r="I785" s="283"/>
      <c r="J785" s="283"/>
      <c r="K785" s="283"/>
      <c r="L785" s="283"/>
      <c r="M785" s="283"/>
      <c r="N785" s="283"/>
      <c r="O785" s="283"/>
      <c r="P785" s="283"/>
      <c r="Q785" s="283"/>
      <c r="R785" s="283"/>
      <c r="S785" s="283"/>
      <c r="T785" s="283"/>
    </row>
    <row r="786">
      <c r="A786" s="300"/>
      <c r="B786" s="282"/>
      <c r="C786" s="283"/>
      <c r="D786" s="282"/>
      <c r="E786" s="283"/>
      <c r="F786" s="283"/>
      <c r="G786" s="284"/>
      <c r="H786" s="284"/>
      <c r="I786" s="283"/>
      <c r="J786" s="283"/>
      <c r="K786" s="283"/>
      <c r="L786" s="283"/>
      <c r="M786" s="283"/>
      <c r="N786" s="283"/>
      <c r="O786" s="283"/>
      <c r="P786" s="283"/>
      <c r="Q786" s="283"/>
      <c r="R786" s="283"/>
      <c r="S786" s="283"/>
      <c r="T786" s="283"/>
    </row>
    <row r="787">
      <c r="A787" s="300"/>
      <c r="B787" s="282"/>
      <c r="C787" s="283"/>
      <c r="D787" s="282"/>
      <c r="E787" s="283"/>
      <c r="F787" s="283"/>
      <c r="G787" s="284"/>
      <c r="H787" s="284"/>
      <c r="I787" s="283"/>
      <c r="J787" s="283"/>
      <c r="K787" s="283"/>
      <c r="L787" s="283"/>
      <c r="M787" s="283"/>
      <c r="N787" s="283"/>
      <c r="O787" s="283"/>
      <c r="P787" s="283"/>
      <c r="Q787" s="283"/>
      <c r="R787" s="283"/>
      <c r="S787" s="283"/>
      <c r="T787" s="283"/>
    </row>
    <row r="788">
      <c r="A788" s="300"/>
      <c r="B788" s="282"/>
      <c r="C788" s="283"/>
      <c r="D788" s="282"/>
      <c r="E788" s="283"/>
      <c r="F788" s="283"/>
      <c r="G788" s="284"/>
      <c r="H788" s="284"/>
      <c r="I788" s="283"/>
      <c r="J788" s="283"/>
      <c r="K788" s="283"/>
      <c r="L788" s="283"/>
      <c r="M788" s="283"/>
      <c r="N788" s="283"/>
      <c r="O788" s="283"/>
      <c r="P788" s="283"/>
      <c r="Q788" s="283"/>
      <c r="R788" s="283"/>
      <c r="S788" s="283"/>
      <c r="T788" s="283"/>
    </row>
    <row r="789">
      <c r="A789" s="300"/>
      <c r="B789" s="282"/>
      <c r="C789" s="283"/>
      <c r="D789" s="282"/>
      <c r="E789" s="283"/>
      <c r="F789" s="283"/>
      <c r="G789" s="284"/>
      <c r="H789" s="284"/>
      <c r="I789" s="283"/>
      <c r="J789" s="283"/>
      <c r="K789" s="283"/>
      <c r="L789" s="283"/>
      <c r="M789" s="283"/>
      <c r="N789" s="283"/>
      <c r="O789" s="283"/>
      <c r="P789" s="283"/>
      <c r="Q789" s="283"/>
      <c r="R789" s="283"/>
      <c r="S789" s="283"/>
      <c r="T789" s="283"/>
    </row>
    <row r="790">
      <c r="A790" s="300"/>
      <c r="B790" s="282"/>
      <c r="C790" s="283"/>
      <c r="D790" s="282"/>
      <c r="E790" s="283"/>
      <c r="F790" s="283"/>
      <c r="G790" s="284"/>
      <c r="H790" s="284"/>
      <c r="I790" s="283"/>
      <c r="J790" s="283"/>
      <c r="K790" s="283"/>
      <c r="L790" s="283"/>
      <c r="M790" s="283"/>
      <c r="N790" s="283"/>
      <c r="O790" s="283"/>
      <c r="P790" s="283"/>
      <c r="Q790" s="283"/>
      <c r="R790" s="283"/>
      <c r="S790" s="283"/>
      <c r="T790" s="283"/>
    </row>
    <row r="791">
      <c r="A791" s="300"/>
      <c r="B791" s="282"/>
      <c r="C791" s="283"/>
      <c r="D791" s="282"/>
      <c r="E791" s="283"/>
      <c r="F791" s="283"/>
      <c r="G791" s="284"/>
      <c r="H791" s="284"/>
      <c r="I791" s="283"/>
      <c r="J791" s="283"/>
      <c r="K791" s="283"/>
      <c r="L791" s="283"/>
      <c r="M791" s="283"/>
      <c r="N791" s="283"/>
      <c r="O791" s="283"/>
      <c r="P791" s="283"/>
      <c r="Q791" s="283"/>
      <c r="R791" s="283"/>
      <c r="S791" s="283"/>
      <c r="T791" s="283"/>
    </row>
    <row r="792">
      <c r="A792" s="300"/>
      <c r="B792" s="282"/>
      <c r="C792" s="283"/>
      <c r="D792" s="282"/>
      <c r="E792" s="283"/>
      <c r="F792" s="283"/>
      <c r="G792" s="284"/>
      <c r="H792" s="284"/>
      <c r="I792" s="283"/>
      <c r="J792" s="283"/>
      <c r="K792" s="283"/>
      <c r="L792" s="283"/>
      <c r="M792" s="283"/>
      <c r="N792" s="283"/>
      <c r="O792" s="283"/>
      <c r="P792" s="283"/>
      <c r="Q792" s="283"/>
      <c r="R792" s="283"/>
      <c r="S792" s="283"/>
      <c r="T792" s="283"/>
    </row>
    <row r="793">
      <c r="A793" s="300"/>
      <c r="B793" s="282"/>
      <c r="C793" s="283"/>
      <c r="D793" s="282"/>
      <c r="E793" s="283"/>
      <c r="F793" s="283"/>
      <c r="G793" s="284"/>
      <c r="H793" s="284"/>
      <c r="I793" s="283"/>
      <c r="J793" s="283"/>
      <c r="K793" s="283"/>
      <c r="L793" s="283"/>
      <c r="M793" s="283"/>
      <c r="N793" s="283"/>
      <c r="O793" s="283"/>
      <c r="P793" s="283"/>
      <c r="Q793" s="283"/>
      <c r="R793" s="283"/>
      <c r="S793" s="283"/>
      <c r="T793" s="283"/>
    </row>
    <row r="794">
      <c r="A794" s="300"/>
      <c r="B794" s="282"/>
      <c r="C794" s="283"/>
      <c r="D794" s="282"/>
      <c r="E794" s="283"/>
      <c r="F794" s="283"/>
      <c r="G794" s="284"/>
      <c r="H794" s="284"/>
      <c r="I794" s="283"/>
      <c r="J794" s="283"/>
      <c r="K794" s="283"/>
      <c r="L794" s="283"/>
      <c r="M794" s="283"/>
      <c r="N794" s="283"/>
      <c r="O794" s="283"/>
      <c r="P794" s="283"/>
      <c r="Q794" s="283"/>
      <c r="R794" s="283"/>
      <c r="S794" s="283"/>
      <c r="T794" s="283"/>
    </row>
    <row r="795">
      <c r="A795" s="300"/>
      <c r="B795" s="282"/>
      <c r="C795" s="283"/>
      <c r="D795" s="282"/>
      <c r="E795" s="283"/>
      <c r="F795" s="283"/>
      <c r="G795" s="284"/>
      <c r="H795" s="284"/>
      <c r="I795" s="283"/>
      <c r="J795" s="283"/>
      <c r="K795" s="283"/>
      <c r="L795" s="283"/>
      <c r="M795" s="283"/>
      <c r="N795" s="283"/>
      <c r="O795" s="283"/>
      <c r="P795" s="283"/>
      <c r="Q795" s="283"/>
      <c r="R795" s="283"/>
      <c r="S795" s="283"/>
      <c r="T795" s="283"/>
    </row>
    <row r="796">
      <c r="A796" s="300"/>
      <c r="B796" s="282"/>
      <c r="C796" s="283"/>
      <c r="D796" s="282"/>
      <c r="E796" s="283"/>
      <c r="F796" s="283"/>
      <c r="G796" s="284"/>
      <c r="H796" s="284"/>
      <c r="I796" s="283"/>
      <c r="J796" s="283"/>
      <c r="K796" s="283"/>
      <c r="L796" s="283"/>
      <c r="M796" s="283"/>
      <c r="N796" s="283"/>
      <c r="O796" s="283"/>
      <c r="P796" s="283"/>
      <c r="Q796" s="283"/>
      <c r="R796" s="283"/>
      <c r="S796" s="283"/>
      <c r="T796" s="283"/>
    </row>
    <row r="797">
      <c r="A797" s="300"/>
      <c r="B797" s="282"/>
      <c r="C797" s="283"/>
      <c r="D797" s="282"/>
      <c r="E797" s="283"/>
      <c r="F797" s="283"/>
      <c r="G797" s="284"/>
      <c r="H797" s="284"/>
      <c r="I797" s="283"/>
      <c r="J797" s="283"/>
      <c r="K797" s="283"/>
      <c r="L797" s="283"/>
      <c r="M797" s="283"/>
      <c r="N797" s="283"/>
      <c r="O797" s="283"/>
      <c r="P797" s="283"/>
      <c r="Q797" s="283"/>
      <c r="R797" s="283"/>
      <c r="S797" s="283"/>
      <c r="T797" s="283"/>
    </row>
    <row r="798">
      <c r="A798" s="300"/>
      <c r="B798" s="282"/>
      <c r="C798" s="283"/>
      <c r="D798" s="282"/>
      <c r="E798" s="283"/>
      <c r="F798" s="283"/>
      <c r="G798" s="284"/>
      <c r="H798" s="284"/>
      <c r="I798" s="283"/>
      <c r="J798" s="283"/>
      <c r="K798" s="283"/>
      <c r="L798" s="283"/>
      <c r="M798" s="283"/>
      <c r="N798" s="283"/>
      <c r="O798" s="283"/>
      <c r="P798" s="283"/>
      <c r="Q798" s="283"/>
      <c r="R798" s="283"/>
      <c r="S798" s="283"/>
      <c r="T798" s="283"/>
    </row>
    <row r="799">
      <c r="A799" s="300"/>
      <c r="B799" s="282"/>
      <c r="C799" s="283"/>
      <c r="D799" s="282"/>
      <c r="E799" s="283"/>
      <c r="F799" s="283"/>
      <c r="G799" s="284"/>
      <c r="H799" s="284"/>
      <c r="I799" s="283"/>
      <c r="J799" s="283"/>
      <c r="K799" s="283"/>
      <c r="L799" s="283"/>
      <c r="M799" s="283"/>
      <c r="N799" s="283"/>
      <c r="O799" s="283"/>
      <c r="P799" s="283"/>
      <c r="Q799" s="283"/>
      <c r="R799" s="283"/>
      <c r="S799" s="283"/>
      <c r="T799" s="283"/>
    </row>
    <row r="800">
      <c r="A800" s="300"/>
      <c r="B800" s="282"/>
      <c r="C800" s="283"/>
      <c r="D800" s="282"/>
      <c r="E800" s="283"/>
      <c r="F800" s="283"/>
      <c r="G800" s="284"/>
      <c r="H800" s="284"/>
      <c r="I800" s="283"/>
      <c r="J800" s="283"/>
      <c r="K800" s="283"/>
      <c r="L800" s="283"/>
      <c r="M800" s="283"/>
      <c r="N800" s="283"/>
      <c r="O800" s="283"/>
      <c r="P800" s="283"/>
      <c r="Q800" s="283"/>
      <c r="R800" s="283"/>
      <c r="S800" s="283"/>
      <c r="T800" s="283"/>
    </row>
    <row r="801">
      <c r="A801" s="300"/>
      <c r="B801" s="282"/>
      <c r="C801" s="283"/>
      <c r="D801" s="282"/>
      <c r="E801" s="283"/>
      <c r="F801" s="283"/>
      <c r="G801" s="284"/>
      <c r="H801" s="284"/>
      <c r="I801" s="283"/>
      <c r="J801" s="283"/>
      <c r="K801" s="283"/>
      <c r="L801" s="283"/>
      <c r="M801" s="283"/>
      <c r="N801" s="283"/>
      <c r="O801" s="283"/>
      <c r="P801" s="283"/>
      <c r="Q801" s="283"/>
      <c r="R801" s="283"/>
      <c r="S801" s="283"/>
      <c r="T801" s="283"/>
    </row>
    <row r="802">
      <c r="A802" s="300"/>
      <c r="B802" s="282"/>
      <c r="C802" s="283"/>
      <c r="D802" s="282"/>
      <c r="E802" s="283"/>
      <c r="F802" s="283"/>
      <c r="G802" s="284"/>
      <c r="H802" s="284"/>
      <c r="I802" s="283"/>
      <c r="J802" s="283"/>
      <c r="K802" s="283"/>
      <c r="L802" s="283"/>
      <c r="M802" s="283"/>
      <c r="N802" s="283"/>
      <c r="O802" s="283"/>
      <c r="P802" s="283"/>
      <c r="Q802" s="283"/>
      <c r="R802" s="283"/>
      <c r="S802" s="283"/>
      <c r="T802" s="283"/>
    </row>
    <row r="803">
      <c r="A803" s="300"/>
      <c r="B803" s="282"/>
      <c r="C803" s="283"/>
      <c r="D803" s="282"/>
      <c r="E803" s="283"/>
      <c r="F803" s="283"/>
      <c r="G803" s="284"/>
      <c r="H803" s="284"/>
      <c r="I803" s="283"/>
      <c r="J803" s="283"/>
      <c r="K803" s="283"/>
      <c r="L803" s="283"/>
      <c r="M803" s="283"/>
      <c r="N803" s="283"/>
      <c r="O803" s="283"/>
      <c r="P803" s="283"/>
      <c r="Q803" s="283"/>
      <c r="R803" s="283"/>
      <c r="S803" s="283"/>
      <c r="T803" s="283"/>
    </row>
    <row r="804">
      <c r="A804" s="300"/>
      <c r="B804" s="282"/>
      <c r="C804" s="283"/>
      <c r="D804" s="282"/>
      <c r="E804" s="283"/>
      <c r="F804" s="283"/>
      <c r="G804" s="284"/>
      <c r="H804" s="284"/>
      <c r="I804" s="283"/>
      <c r="J804" s="283"/>
      <c r="K804" s="283"/>
      <c r="L804" s="283"/>
      <c r="M804" s="283"/>
      <c r="N804" s="283"/>
      <c r="O804" s="283"/>
      <c r="P804" s="283"/>
      <c r="Q804" s="283"/>
      <c r="R804" s="283"/>
      <c r="S804" s="283"/>
      <c r="T804" s="283"/>
    </row>
    <row r="805">
      <c r="A805" s="300"/>
      <c r="B805" s="282"/>
      <c r="C805" s="283"/>
      <c r="D805" s="282"/>
      <c r="E805" s="283"/>
      <c r="F805" s="283"/>
      <c r="G805" s="284"/>
      <c r="H805" s="284"/>
      <c r="I805" s="283"/>
      <c r="J805" s="283"/>
      <c r="K805" s="283"/>
      <c r="L805" s="283"/>
      <c r="M805" s="283"/>
      <c r="N805" s="283"/>
      <c r="O805" s="283"/>
      <c r="P805" s="283"/>
      <c r="Q805" s="283"/>
      <c r="R805" s="283"/>
      <c r="S805" s="283"/>
      <c r="T805" s="283"/>
    </row>
    <row r="806">
      <c r="A806" s="300"/>
      <c r="B806" s="282"/>
      <c r="C806" s="283"/>
      <c r="D806" s="282"/>
      <c r="E806" s="283"/>
      <c r="F806" s="283"/>
      <c r="G806" s="284"/>
      <c r="H806" s="284"/>
      <c r="I806" s="283"/>
      <c r="J806" s="283"/>
      <c r="K806" s="283"/>
      <c r="L806" s="283"/>
      <c r="M806" s="283"/>
      <c r="N806" s="283"/>
      <c r="O806" s="283"/>
      <c r="P806" s="283"/>
      <c r="Q806" s="283"/>
      <c r="R806" s="283"/>
      <c r="S806" s="283"/>
      <c r="T806" s="283"/>
    </row>
    <row r="807">
      <c r="A807" s="300"/>
      <c r="B807" s="282"/>
      <c r="C807" s="283"/>
      <c r="D807" s="282"/>
      <c r="E807" s="283"/>
      <c r="F807" s="283"/>
      <c r="G807" s="284"/>
      <c r="H807" s="284"/>
      <c r="I807" s="283"/>
      <c r="J807" s="283"/>
      <c r="K807" s="283"/>
      <c r="L807" s="283"/>
      <c r="M807" s="283"/>
      <c r="N807" s="283"/>
      <c r="O807" s="283"/>
      <c r="P807" s="283"/>
      <c r="Q807" s="283"/>
      <c r="R807" s="283"/>
      <c r="S807" s="283"/>
      <c r="T807" s="283"/>
    </row>
    <row r="808">
      <c r="A808" s="300"/>
      <c r="B808" s="282"/>
      <c r="C808" s="283"/>
      <c r="D808" s="282"/>
      <c r="E808" s="283"/>
      <c r="F808" s="283"/>
      <c r="G808" s="284"/>
      <c r="H808" s="284"/>
      <c r="I808" s="283"/>
      <c r="J808" s="283"/>
      <c r="K808" s="283"/>
      <c r="L808" s="283"/>
      <c r="M808" s="283"/>
      <c r="N808" s="283"/>
      <c r="O808" s="283"/>
      <c r="P808" s="283"/>
      <c r="Q808" s="283"/>
      <c r="R808" s="283"/>
      <c r="S808" s="283"/>
      <c r="T808" s="283"/>
    </row>
    <row r="809">
      <c r="A809" s="300"/>
      <c r="B809" s="282"/>
      <c r="C809" s="283"/>
      <c r="D809" s="282"/>
      <c r="E809" s="283"/>
      <c r="F809" s="283"/>
      <c r="G809" s="284"/>
      <c r="H809" s="284"/>
      <c r="I809" s="283"/>
      <c r="J809" s="283"/>
      <c r="K809" s="283"/>
      <c r="L809" s="283"/>
      <c r="M809" s="283"/>
      <c r="N809" s="283"/>
      <c r="O809" s="283"/>
      <c r="P809" s="283"/>
      <c r="Q809" s="283"/>
      <c r="R809" s="283"/>
      <c r="S809" s="283"/>
      <c r="T809" s="283"/>
    </row>
    <row r="810">
      <c r="A810" s="300"/>
      <c r="B810" s="282"/>
      <c r="C810" s="283"/>
      <c r="D810" s="282"/>
      <c r="E810" s="283"/>
      <c r="F810" s="283"/>
      <c r="G810" s="284"/>
      <c r="H810" s="284"/>
      <c r="I810" s="283"/>
      <c r="J810" s="283"/>
      <c r="K810" s="283"/>
      <c r="L810" s="283"/>
      <c r="M810" s="283"/>
      <c r="N810" s="283"/>
      <c r="O810" s="283"/>
      <c r="P810" s="283"/>
      <c r="Q810" s="283"/>
      <c r="R810" s="283"/>
      <c r="S810" s="283"/>
      <c r="T810" s="283"/>
    </row>
    <row r="811">
      <c r="A811" s="300"/>
      <c r="B811" s="282"/>
      <c r="C811" s="283"/>
      <c r="D811" s="282"/>
      <c r="E811" s="283"/>
      <c r="F811" s="283"/>
      <c r="G811" s="284"/>
      <c r="H811" s="284"/>
      <c r="I811" s="283"/>
      <c r="J811" s="283"/>
      <c r="K811" s="283"/>
      <c r="L811" s="283"/>
      <c r="M811" s="283"/>
      <c r="N811" s="283"/>
      <c r="O811" s="283"/>
      <c r="P811" s="283"/>
      <c r="Q811" s="283"/>
      <c r="R811" s="283"/>
      <c r="S811" s="283"/>
      <c r="T811" s="283"/>
    </row>
    <row r="812">
      <c r="A812" s="300"/>
      <c r="B812" s="282"/>
      <c r="C812" s="283"/>
      <c r="D812" s="282"/>
      <c r="E812" s="283"/>
      <c r="F812" s="283"/>
      <c r="G812" s="284"/>
      <c r="H812" s="284"/>
      <c r="I812" s="283"/>
      <c r="J812" s="283"/>
      <c r="K812" s="283"/>
      <c r="L812" s="283"/>
      <c r="M812" s="283"/>
      <c r="N812" s="283"/>
      <c r="O812" s="283"/>
      <c r="P812" s="283"/>
      <c r="Q812" s="283"/>
      <c r="R812" s="283"/>
      <c r="S812" s="283"/>
      <c r="T812" s="283"/>
    </row>
    <row r="813">
      <c r="A813" s="300"/>
      <c r="B813" s="282"/>
      <c r="C813" s="283"/>
      <c r="D813" s="282"/>
      <c r="E813" s="283"/>
      <c r="F813" s="283"/>
      <c r="G813" s="284"/>
      <c r="H813" s="284"/>
      <c r="I813" s="283"/>
      <c r="J813" s="283"/>
      <c r="K813" s="283"/>
      <c r="L813" s="283"/>
      <c r="M813" s="283"/>
      <c r="N813" s="283"/>
      <c r="O813" s="283"/>
      <c r="P813" s="283"/>
      <c r="Q813" s="283"/>
      <c r="R813" s="283"/>
      <c r="S813" s="283"/>
      <c r="T813" s="283"/>
    </row>
    <row r="814">
      <c r="A814" s="300"/>
      <c r="B814" s="282"/>
      <c r="C814" s="283"/>
      <c r="D814" s="282"/>
      <c r="E814" s="283"/>
      <c r="F814" s="283"/>
      <c r="G814" s="284"/>
      <c r="H814" s="284"/>
      <c r="I814" s="283"/>
      <c r="J814" s="283"/>
      <c r="K814" s="283"/>
      <c r="L814" s="283"/>
      <c r="M814" s="283"/>
      <c r="N814" s="283"/>
      <c r="O814" s="283"/>
      <c r="P814" s="283"/>
      <c r="Q814" s="283"/>
      <c r="R814" s="283"/>
      <c r="S814" s="283"/>
      <c r="T814" s="283"/>
    </row>
    <row r="815">
      <c r="A815" s="300"/>
      <c r="B815" s="282"/>
      <c r="C815" s="283"/>
      <c r="D815" s="282"/>
      <c r="E815" s="283"/>
      <c r="F815" s="283"/>
      <c r="G815" s="284"/>
      <c r="H815" s="284"/>
      <c r="I815" s="283"/>
      <c r="J815" s="283"/>
      <c r="K815" s="283"/>
      <c r="L815" s="283"/>
      <c r="M815" s="283"/>
      <c r="N815" s="283"/>
      <c r="O815" s="283"/>
      <c r="P815" s="283"/>
      <c r="Q815" s="283"/>
      <c r="R815" s="283"/>
      <c r="S815" s="283"/>
      <c r="T815" s="283"/>
    </row>
    <row r="816">
      <c r="A816" s="300"/>
      <c r="B816" s="282"/>
      <c r="C816" s="283"/>
      <c r="D816" s="282"/>
      <c r="E816" s="283"/>
      <c r="F816" s="283"/>
      <c r="G816" s="284"/>
      <c r="H816" s="284"/>
      <c r="I816" s="283"/>
      <c r="J816" s="283"/>
      <c r="K816" s="283"/>
      <c r="L816" s="283"/>
      <c r="M816" s="283"/>
      <c r="N816" s="283"/>
      <c r="O816" s="283"/>
      <c r="P816" s="283"/>
      <c r="Q816" s="283"/>
      <c r="R816" s="283"/>
      <c r="S816" s="283"/>
      <c r="T816" s="283"/>
    </row>
    <row r="817">
      <c r="A817" s="300"/>
      <c r="B817" s="282"/>
      <c r="C817" s="283"/>
      <c r="D817" s="282"/>
      <c r="E817" s="283"/>
      <c r="F817" s="283"/>
      <c r="G817" s="284"/>
      <c r="H817" s="284"/>
      <c r="I817" s="283"/>
      <c r="J817" s="283"/>
      <c r="K817" s="283"/>
      <c r="L817" s="283"/>
      <c r="M817" s="283"/>
      <c r="N817" s="283"/>
      <c r="O817" s="283"/>
      <c r="P817" s="283"/>
      <c r="Q817" s="283"/>
      <c r="R817" s="283"/>
      <c r="S817" s="283"/>
      <c r="T817" s="283"/>
    </row>
    <row r="818">
      <c r="A818" s="300"/>
      <c r="B818" s="282"/>
      <c r="C818" s="283"/>
      <c r="D818" s="282"/>
      <c r="E818" s="283"/>
      <c r="F818" s="283"/>
      <c r="G818" s="284"/>
      <c r="H818" s="284"/>
      <c r="I818" s="283"/>
      <c r="J818" s="283"/>
      <c r="K818" s="283"/>
      <c r="L818" s="283"/>
      <c r="M818" s="283"/>
      <c r="N818" s="283"/>
      <c r="O818" s="283"/>
      <c r="P818" s="283"/>
      <c r="Q818" s="283"/>
      <c r="R818" s="283"/>
      <c r="S818" s="283"/>
      <c r="T818" s="283"/>
    </row>
    <row r="819">
      <c r="A819" s="300"/>
      <c r="B819" s="282"/>
      <c r="C819" s="283"/>
      <c r="D819" s="282"/>
      <c r="E819" s="283"/>
      <c r="F819" s="283"/>
      <c r="G819" s="284"/>
      <c r="H819" s="284"/>
      <c r="I819" s="283"/>
      <c r="J819" s="283"/>
      <c r="K819" s="283"/>
      <c r="L819" s="283"/>
      <c r="M819" s="283"/>
      <c r="N819" s="283"/>
      <c r="O819" s="283"/>
      <c r="P819" s="283"/>
      <c r="Q819" s="283"/>
      <c r="R819" s="283"/>
      <c r="S819" s="283"/>
      <c r="T819" s="283"/>
    </row>
    <row r="820">
      <c r="A820" s="300"/>
      <c r="B820" s="282"/>
      <c r="C820" s="283"/>
      <c r="D820" s="282"/>
      <c r="E820" s="283"/>
      <c r="F820" s="283"/>
      <c r="G820" s="284"/>
      <c r="H820" s="284"/>
      <c r="I820" s="283"/>
      <c r="J820" s="283"/>
      <c r="K820" s="283"/>
      <c r="L820" s="283"/>
      <c r="M820" s="283"/>
      <c r="N820" s="283"/>
      <c r="O820" s="283"/>
      <c r="P820" s="283"/>
      <c r="Q820" s="283"/>
      <c r="R820" s="283"/>
      <c r="S820" s="283"/>
      <c r="T820" s="283"/>
    </row>
    <row r="821">
      <c r="A821" s="300"/>
      <c r="B821" s="282"/>
      <c r="C821" s="283"/>
      <c r="D821" s="282"/>
      <c r="E821" s="283"/>
      <c r="F821" s="283"/>
      <c r="G821" s="284"/>
      <c r="H821" s="284"/>
      <c r="I821" s="283"/>
      <c r="J821" s="283"/>
      <c r="K821" s="283"/>
      <c r="L821" s="283"/>
      <c r="M821" s="283"/>
      <c r="N821" s="283"/>
      <c r="O821" s="283"/>
      <c r="P821" s="283"/>
      <c r="Q821" s="283"/>
      <c r="R821" s="283"/>
      <c r="S821" s="283"/>
      <c r="T821" s="283"/>
    </row>
    <row r="822">
      <c r="A822" s="300"/>
      <c r="B822" s="282"/>
      <c r="C822" s="283"/>
      <c r="D822" s="282"/>
      <c r="E822" s="283"/>
      <c r="F822" s="283"/>
      <c r="G822" s="284"/>
      <c r="H822" s="284"/>
      <c r="I822" s="283"/>
      <c r="J822" s="283"/>
      <c r="K822" s="283"/>
      <c r="L822" s="283"/>
      <c r="M822" s="283"/>
      <c r="N822" s="283"/>
      <c r="O822" s="283"/>
      <c r="P822" s="283"/>
      <c r="Q822" s="283"/>
      <c r="R822" s="283"/>
      <c r="S822" s="283"/>
      <c r="T822" s="283"/>
    </row>
    <row r="823">
      <c r="A823" s="300"/>
      <c r="B823" s="282"/>
      <c r="C823" s="283"/>
      <c r="D823" s="282"/>
      <c r="E823" s="283"/>
      <c r="F823" s="283"/>
      <c r="G823" s="284"/>
      <c r="H823" s="284"/>
      <c r="I823" s="283"/>
      <c r="J823" s="283"/>
      <c r="K823" s="283"/>
      <c r="L823" s="283"/>
      <c r="M823" s="283"/>
      <c r="N823" s="283"/>
      <c r="O823" s="283"/>
      <c r="P823" s="283"/>
      <c r="Q823" s="283"/>
      <c r="R823" s="283"/>
      <c r="S823" s="283"/>
      <c r="T823" s="283"/>
    </row>
    <row r="824">
      <c r="A824" s="300"/>
      <c r="B824" s="282"/>
      <c r="C824" s="283"/>
      <c r="D824" s="282"/>
      <c r="E824" s="283"/>
      <c r="F824" s="283"/>
      <c r="G824" s="284"/>
      <c r="H824" s="284"/>
      <c r="I824" s="283"/>
      <c r="J824" s="283"/>
      <c r="K824" s="283"/>
      <c r="L824" s="283"/>
      <c r="M824" s="283"/>
      <c r="N824" s="283"/>
      <c r="O824" s="283"/>
      <c r="P824" s="283"/>
      <c r="Q824" s="283"/>
      <c r="R824" s="283"/>
      <c r="S824" s="283"/>
      <c r="T824" s="283"/>
    </row>
    <row r="825">
      <c r="A825" s="300"/>
      <c r="B825" s="282"/>
      <c r="C825" s="283"/>
      <c r="D825" s="282"/>
      <c r="E825" s="283"/>
      <c r="F825" s="283"/>
      <c r="G825" s="284"/>
      <c r="H825" s="284"/>
      <c r="I825" s="283"/>
      <c r="J825" s="283"/>
      <c r="K825" s="283"/>
      <c r="L825" s="283"/>
      <c r="M825" s="283"/>
      <c r="N825" s="283"/>
      <c r="O825" s="283"/>
      <c r="P825" s="283"/>
      <c r="Q825" s="283"/>
      <c r="R825" s="283"/>
      <c r="S825" s="283"/>
      <c r="T825" s="283"/>
    </row>
    <row r="826">
      <c r="A826" s="300"/>
      <c r="B826" s="282"/>
      <c r="C826" s="283"/>
      <c r="D826" s="282"/>
      <c r="E826" s="283"/>
      <c r="F826" s="283"/>
      <c r="G826" s="284"/>
      <c r="H826" s="284"/>
      <c r="I826" s="283"/>
      <c r="J826" s="283"/>
      <c r="K826" s="283"/>
      <c r="L826" s="283"/>
      <c r="M826" s="283"/>
      <c r="N826" s="283"/>
      <c r="O826" s="283"/>
      <c r="P826" s="283"/>
      <c r="Q826" s="283"/>
      <c r="R826" s="283"/>
      <c r="S826" s="283"/>
      <c r="T826" s="283"/>
    </row>
    <row r="827">
      <c r="A827" s="300"/>
      <c r="B827" s="282"/>
      <c r="C827" s="283"/>
      <c r="D827" s="282"/>
      <c r="E827" s="283"/>
      <c r="F827" s="283"/>
      <c r="G827" s="284"/>
      <c r="H827" s="284"/>
      <c r="I827" s="283"/>
      <c r="J827" s="283"/>
      <c r="K827" s="283"/>
      <c r="L827" s="283"/>
      <c r="M827" s="283"/>
      <c r="N827" s="283"/>
      <c r="O827" s="283"/>
      <c r="P827" s="283"/>
      <c r="Q827" s="283"/>
      <c r="R827" s="283"/>
      <c r="S827" s="283"/>
      <c r="T827" s="283"/>
    </row>
    <row r="828">
      <c r="A828" s="300"/>
      <c r="B828" s="282"/>
      <c r="C828" s="283"/>
      <c r="D828" s="282"/>
      <c r="E828" s="283"/>
      <c r="F828" s="283"/>
      <c r="G828" s="284"/>
      <c r="H828" s="284"/>
      <c r="I828" s="283"/>
      <c r="J828" s="283"/>
      <c r="K828" s="283"/>
      <c r="L828" s="283"/>
      <c r="M828" s="283"/>
      <c r="N828" s="283"/>
      <c r="O828" s="283"/>
      <c r="P828" s="283"/>
      <c r="Q828" s="283"/>
      <c r="R828" s="283"/>
      <c r="S828" s="283"/>
      <c r="T828" s="283"/>
    </row>
    <row r="829">
      <c r="A829" s="300"/>
      <c r="B829" s="282"/>
      <c r="C829" s="283"/>
      <c r="D829" s="282"/>
      <c r="E829" s="283"/>
      <c r="F829" s="283"/>
      <c r="G829" s="284"/>
      <c r="H829" s="284"/>
      <c r="I829" s="283"/>
      <c r="J829" s="283"/>
      <c r="K829" s="283"/>
      <c r="L829" s="283"/>
      <c r="M829" s="283"/>
      <c r="N829" s="283"/>
      <c r="O829" s="283"/>
      <c r="P829" s="283"/>
      <c r="Q829" s="283"/>
      <c r="R829" s="283"/>
      <c r="S829" s="283"/>
      <c r="T829" s="283"/>
    </row>
    <row r="830">
      <c r="A830" s="300"/>
      <c r="B830" s="282"/>
      <c r="C830" s="283"/>
      <c r="D830" s="282"/>
      <c r="E830" s="283"/>
      <c r="F830" s="283"/>
      <c r="G830" s="284"/>
      <c r="H830" s="284"/>
      <c r="I830" s="283"/>
      <c r="J830" s="283"/>
      <c r="K830" s="283"/>
      <c r="L830" s="283"/>
      <c r="M830" s="283"/>
      <c r="N830" s="283"/>
      <c r="O830" s="283"/>
      <c r="P830" s="283"/>
      <c r="Q830" s="283"/>
      <c r="R830" s="283"/>
      <c r="S830" s="283"/>
      <c r="T830" s="283"/>
    </row>
    <row r="831">
      <c r="A831" s="300"/>
      <c r="B831" s="282"/>
      <c r="C831" s="283"/>
      <c r="D831" s="282"/>
      <c r="E831" s="283"/>
      <c r="F831" s="283"/>
      <c r="G831" s="284"/>
      <c r="H831" s="284"/>
      <c r="I831" s="283"/>
      <c r="J831" s="283"/>
      <c r="K831" s="283"/>
      <c r="L831" s="283"/>
      <c r="M831" s="283"/>
      <c r="N831" s="283"/>
      <c r="O831" s="283"/>
      <c r="P831" s="283"/>
      <c r="Q831" s="283"/>
      <c r="R831" s="283"/>
      <c r="S831" s="283"/>
      <c r="T831" s="283"/>
    </row>
    <row r="832">
      <c r="A832" s="300"/>
      <c r="B832" s="282"/>
      <c r="C832" s="283"/>
      <c r="D832" s="282"/>
      <c r="E832" s="283"/>
      <c r="F832" s="283"/>
      <c r="G832" s="284"/>
      <c r="H832" s="284"/>
      <c r="I832" s="283"/>
      <c r="J832" s="283"/>
      <c r="K832" s="283"/>
      <c r="L832" s="283"/>
      <c r="M832" s="283"/>
      <c r="N832" s="283"/>
      <c r="O832" s="283"/>
      <c r="P832" s="283"/>
      <c r="Q832" s="283"/>
      <c r="R832" s="283"/>
      <c r="S832" s="283"/>
      <c r="T832" s="283"/>
    </row>
    <row r="833">
      <c r="A833" s="300"/>
      <c r="B833" s="282"/>
      <c r="C833" s="283"/>
      <c r="D833" s="282"/>
      <c r="E833" s="283"/>
      <c r="F833" s="283"/>
      <c r="G833" s="284"/>
      <c r="H833" s="284"/>
      <c r="I833" s="283"/>
      <c r="J833" s="283"/>
      <c r="K833" s="283"/>
      <c r="L833" s="283"/>
      <c r="M833" s="283"/>
      <c r="N833" s="283"/>
      <c r="O833" s="283"/>
      <c r="P833" s="283"/>
      <c r="Q833" s="283"/>
      <c r="R833" s="283"/>
      <c r="S833" s="283"/>
      <c r="T833" s="283"/>
    </row>
    <row r="834">
      <c r="A834" s="300"/>
      <c r="B834" s="282"/>
      <c r="C834" s="283"/>
      <c r="D834" s="282"/>
      <c r="E834" s="283"/>
      <c r="F834" s="283"/>
      <c r="G834" s="284"/>
      <c r="H834" s="284"/>
      <c r="I834" s="283"/>
      <c r="J834" s="283"/>
      <c r="K834" s="283"/>
      <c r="L834" s="283"/>
      <c r="M834" s="283"/>
      <c r="N834" s="283"/>
      <c r="O834" s="283"/>
      <c r="P834" s="283"/>
      <c r="Q834" s="283"/>
      <c r="R834" s="283"/>
      <c r="S834" s="283"/>
      <c r="T834" s="283"/>
    </row>
    <row r="835">
      <c r="A835" s="300"/>
      <c r="B835" s="282"/>
      <c r="C835" s="283"/>
      <c r="D835" s="282"/>
      <c r="E835" s="283"/>
      <c r="F835" s="283"/>
      <c r="G835" s="284"/>
      <c r="H835" s="284"/>
      <c r="I835" s="283"/>
      <c r="J835" s="283"/>
      <c r="K835" s="283"/>
      <c r="L835" s="283"/>
      <c r="M835" s="283"/>
      <c r="N835" s="283"/>
      <c r="O835" s="283"/>
      <c r="P835" s="283"/>
      <c r="Q835" s="283"/>
      <c r="R835" s="283"/>
      <c r="S835" s="283"/>
      <c r="T835" s="283"/>
    </row>
    <row r="836">
      <c r="A836" s="300"/>
      <c r="B836" s="282"/>
      <c r="C836" s="283"/>
      <c r="D836" s="282"/>
      <c r="E836" s="283"/>
      <c r="F836" s="283"/>
      <c r="G836" s="284"/>
      <c r="H836" s="284"/>
      <c r="I836" s="283"/>
      <c r="J836" s="283"/>
      <c r="K836" s="283"/>
      <c r="L836" s="283"/>
      <c r="M836" s="283"/>
      <c r="N836" s="283"/>
      <c r="O836" s="283"/>
      <c r="P836" s="283"/>
      <c r="Q836" s="283"/>
      <c r="R836" s="283"/>
      <c r="S836" s="283"/>
      <c r="T836" s="283"/>
    </row>
    <row r="837">
      <c r="A837" s="300"/>
      <c r="B837" s="282"/>
      <c r="C837" s="283"/>
      <c r="D837" s="282"/>
      <c r="E837" s="283"/>
      <c r="F837" s="283"/>
      <c r="G837" s="284"/>
      <c r="H837" s="284"/>
      <c r="I837" s="283"/>
      <c r="J837" s="283"/>
      <c r="K837" s="283"/>
      <c r="L837" s="283"/>
      <c r="M837" s="283"/>
      <c r="N837" s="283"/>
      <c r="O837" s="283"/>
      <c r="P837" s="283"/>
      <c r="Q837" s="283"/>
      <c r="R837" s="283"/>
      <c r="S837" s="283"/>
      <c r="T837" s="283"/>
    </row>
    <row r="838">
      <c r="A838" s="300"/>
      <c r="B838" s="282"/>
      <c r="C838" s="283"/>
      <c r="D838" s="282"/>
      <c r="E838" s="283"/>
      <c r="F838" s="283"/>
      <c r="G838" s="284"/>
      <c r="H838" s="284"/>
      <c r="I838" s="283"/>
      <c r="J838" s="283"/>
      <c r="K838" s="283"/>
      <c r="L838" s="283"/>
      <c r="M838" s="283"/>
      <c r="N838" s="283"/>
      <c r="O838" s="283"/>
      <c r="P838" s="283"/>
      <c r="Q838" s="283"/>
      <c r="R838" s="283"/>
      <c r="S838" s="283"/>
      <c r="T838" s="283"/>
    </row>
    <row r="839">
      <c r="A839" s="300"/>
      <c r="B839" s="282"/>
      <c r="C839" s="283"/>
      <c r="D839" s="282"/>
      <c r="E839" s="283"/>
      <c r="F839" s="283"/>
      <c r="G839" s="284"/>
      <c r="H839" s="284"/>
      <c r="I839" s="283"/>
      <c r="J839" s="283"/>
      <c r="K839" s="283"/>
      <c r="L839" s="283"/>
      <c r="M839" s="283"/>
      <c r="N839" s="283"/>
      <c r="O839" s="283"/>
      <c r="P839" s="283"/>
      <c r="Q839" s="283"/>
      <c r="R839" s="283"/>
      <c r="S839" s="283"/>
      <c r="T839" s="283"/>
    </row>
    <row r="840">
      <c r="A840" s="300"/>
      <c r="B840" s="282"/>
      <c r="C840" s="283"/>
      <c r="D840" s="282"/>
      <c r="E840" s="283"/>
      <c r="F840" s="283"/>
      <c r="G840" s="284"/>
      <c r="H840" s="284"/>
      <c r="I840" s="283"/>
      <c r="J840" s="283"/>
      <c r="K840" s="283"/>
      <c r="L840" s="283"/>
      <c r="M840" s="283"/>
      <c r="N840" s="283"/>
      <c r="O840" s="283"/>
      <c r="P840" s="283"/>
      <c r="Q840" s="283"/>
      <c r="R840" s="283"/>
      <c r="S840" s="283"/>
      <c r="T840" s="283"/>
    </row>
    <row r="841">
      <c r="A841" s="300"/>
      <c r="B841" s="282"/>
      <c r="C841" s="283"/>
      <c r="D841" s="282"/>
      <c r="E841" s="283"/>
      <c r="F841" s="283"/>
      <c r="G841" s="284"/>
      <c r="H841" s="284"/>
      <c r="I841" s="283"/>
      <c r="J841" s="283"/>
      <c r="K841" s="283"/>
      <c r="L841" s="283"/>
      <c r="M841" s="283"/>
      <c r="N841" s="283"/>
      <c r="O841" s="283"/>
      <c r="P841" s="283"/>
      <c r="Q841" s="283"/>
      <c r="R841" s="283"/>
      <c r="S841" s="283"/>
      <c r="T841" s="283"/>
    </row>
    <row r="842">
      <c r="A842" s="300"/>
      <c r="B842" s="282"/>
      <c r="C842" s="283"/>
      <c r="D842" s="282"/>
      <c r="E842" s="283"/>
      <c r="F842" s="283"/>
      <c r="G842" s="284"/>
      <c r="H842" s="284"/>
      <c r="I842" s="283"/>
      <c r="J842" s="283"/>
      <c r="K842" s="283"/>
      <c r="L842" s="283"/>
      <c r="M842" s="283"/>
      <c r="N842" s="283"/>
      <c r="O842" s="283"/>
      <c r="P842" s="283"/>
      <c r="Q842" s="283"/>
      <c r="R842" s="283"/>
      <c r="S842" s="283"/>
      <c r="T842" s="283"/>
    </row>
    <row r="843">
      <c r="A843" s="300"/>
      <c r="B843" s="282"/>
      <c r="C843" s="283"/>
      <c r="D843" s="282"/>
      <c r="E843" s="283"/>
      <c r="F843" s="283"/>
      <c r="G843" s="284"/>
      <c r="H843" s="284"/>
      <c r="I843" s="283"/>
      <c r="J843" s="283"/>
      <c r="K843" s="283"/>
      <c r="L843" s="283"/>
      <c r="M843" s="283"/>
      <c r="N843" s="283"/>
      <c r="O843" s="283"/>
      <c r="P843" s="283"/>
      <c r="Q843" s="283"/>
      <c r="R843" s="283"/>
      <c r="S843" s="283"/>
      <c r="T843" s="283"/>
    </row>
    <row r="844">
      <c r="A844" s="300"/>
      <c r="B844" s="282"/>
      <c r="C844" s="283"/>
      <c r="D844" s="282"/>
      <c r="E844" s="283"/>
      <c r="F844" s="283"/>
      <c r="G844" s="284"/>
      <c r="H844" s="284"/>
      <c r="I844" s="283"/>
      <c r="J844" s="283"/>
      <c r="K844" s="283"/>
      <c r="L844" s="283"/>
      <c r="M844" s="283"/>
      <c r="N844" s="283"/>
      <c r="O844" s="283"/>
      <c r="P844" s="283"/>
      <c r="Q844" s="283"/>
      <c r="R844" s="283"/>
      <c r="S844" s="283"/>
      <c r="T844" s="283"/>
    </row>
    <row r="845">
      <c r="A845" s="300"/>
      <c r="B845" s="282"/>
      <c r="C845" s="283"/>
      <c r="D845" s="282"/>
      <c r="E845" s="283"/>
      <c r="F845" s="283"/>
      <c r="G845" s="284"/>
      <c r="H845" s="284"/>
      <c r="I845" s="283"/>
      <c r="J845" s="283"/>
      <c r="K845" s="283"/>
      <c r="L845" s="283"/>
      <c r="M845" s="283"/>
      <c r="N845" s="283"/>
      <c r="O845" s="283"/>
      <c r="P845" s="283"/>
      <c r="Q845" s="283"/>
      <c r="R845" s="283"/>
      <c r="S845" s="283"/>
      <c r="T845" s="283"/>
    </row>
    <row r="846">
      <c r="A846" s="300"/>
      <c r="B846" s="282"/>
      <c r="C846" s="283"/>
      <c r="D846" s="282"/>
      <c r="E846" s="283"/>
      <c r="F846" s="283"/>
      <c r="G846" s="284"/>
      <c r="H846" s="284"/>
      <c r="I846" s="283"/>
      <c r="J846" s="283"/>
      <c r="K846" s="283"/>
      <c r="L846" s="283"/>
      <c r="M846" s="283"/>
      <c r="N846" s="283"/>
      <c r="O846" s="283"/>
      <c r="P846" s="283"/>
      <c r="Q846" s="283"/>
      <c r="R846" s="283"/>
      <c r="S846" s="283"/>
      <c r="T846" s="283"/>
    </row>
    <row r="847">
      <c r="A847" s="300"/>
      <c r="B847" s="282"/>
      <c r="C847" s="283"/>
      <c r="D847" s="282"/>
      <c r="E847" s="283"/>
      <c r="F847" s="283"/>
      <c r="G847" s="284"/>
      <c r="H847" s="284"/>
      <c r="I847" s="283"/>
      <c r="J847" s="283"/>
      <c r="K847" s="283"/>
      <c r="L847" s="283"/>
      <c r="M847" s="283"/>
      <c r="N847" s="283"/>
      <c r="O847" s="283"/>
      <c r="P847" s="283"/>
      <c r="Q847" s="283"/>
      <c r="R847" s="283"/>
      <c r="S847" s="283"/>
      <c r="T847" s="283"/>
    </row>
    <row r="848">
      <c r="A848" s="300"/>
      <c r="B848" s="282"/>
      <c r="C848" s="283"/>
      <c r="D848" s="282"/>
      <c r="E848" s="283"/>
      <c r="F848" s="283"/>
      <c r="G848" s="284"/>
      <c r="H848" s="284"/>
      <c r="I848" s="283"/>
      <c r="J848" s="283"/>
      <c r="K848" s="283"/>
      <c r="L848" s="283"/>
      <c r="M848" s="283"/>
      <c r="N848" s="283"/>
      <c r="O848" s="283"/>
      <c r="P848" s="283"/>
      <c r="Q848" s="283"/>
      <c r="R848" s="283"/>
      <c r="S848" s="283"/>
      <c r="T848" s="283"/>
    </row>
    <row r="849">
      <c r="A849" s="300"/>
      <c r="B849" s="282"/>
      <c r="C849" s="283"/>
      <c r="D849" s="282"/>
      <c r="E849" s="283"/>
      <c r="F849" s="283"/>
      <c r="G849" s="284"/>
      <c r="H849" s="284"/>
      <c r="I849" s="283"/>
      <c r="J849" s="283"/>
      <c r="K849" s="283"/>
      <c r="L849" s="283"/>
      <c r="M849" s="283"/>
      <c r="N849" s="283"/>
      <c r="O849" s="283"/>
      <c r="P849" s="283"/>
      <c r="Q849" s="283"/>
      <c r="R849" s="283"/>
      <c r="S849" s="283"/>
      <c r="T849" s="283"/>
    </row>
    <row r="850">
      <c r="A850" s="300"/>
      <c r="B850" s="282"/>
      <c r="C850" s="283"/>
      <c r="D850" s="282"/>
      <c r="E850" s="283"/>
      <c r="F850" s="283"/>
      <c r="G850" s="284"/>
      <c r="H850" s="284"/>
      <c r="I850" s="283"/>
      <c r="J850" s="283"/>
      <c r="K850" s="283"/>
      <c r="L850" s="283"/>
      <c r="M850" s="283"/>
      <c r="N850" s="283"/>
      <c r="O850" s="283"/>
      <c r="P850" s="283"/>
      <c r="Q850" s="283"/>
      <c r="R850" s="283"/>
      <c r="S850" s="283"/>
      <c r="T850" s="283"/>
    </row>
    <row r="851">
      <c r="A851" s="300"/>
      <c r="B851" s="282"/>
      <c r="C851" s="283"/>
      <c r="D851" s="282"/>
      <c r="E851" s="283"/>
      <c r="F851" s="283"/>
      <c r="G851" s="284"/>
      <c r="H851" s="284"/>
      <c r="I851" s="283"/>
      <c r="J851" s="283"/>
      <c r="K851" s="283"/>
      <c r="L851" s="283"/>
      <c r="M851" s="283"/>
      <c r="N851" s="283"/>
      <c r="O851" s="283"/>
      <c r="P851" s="283"/>
      <c r="Q851" s="283"/>
      <c r="R851" s="283"/>
      <c r="S851" s="283"/>
      <c r="T851" s="283"/>
    </row>
    <row r="852">
      <c r="A852" s="300"/>
      <c r="B852" s="282"/>
      <c r="C852" s="283"/>
      <c r="D852" s="282"/>
      <c r="E852" s="283"/>
      <c r="F852" s="283"/>
      <c r="G852" s="284"/>
      <c r="H852" s="284"/>
      <c r="I852" s="283"/>
      <c r="J852" s="283"/>
      <c r="K852" s="283"/>
      <c r="L852" s="283"/>
      <c r="M852" s="283"/>
      <c r="N852" s="283"/>
      <c r="O852" s="283"/>
      <c r="P852" s="283"/>
      <c r="Q852" s="283"/>
      <c r="R852" s="283"/>
      <c r="S852" s="283"/>
      <c r="T852" s="283"/>
    </row>
    <row r="853">
      <c r="A853" s="300"/>
      <c r="B853" s="282"/>
      <c r="C853" s="283"/>
      <c r="D853" s="282"/>
      <c r="E853" s="283"/>
      <c r="F853" s="283"/>
      <c r="G853" s="284"/>
      <c r="H853" s="284"/>
      <c r="I853" s="283"/>
      <c r="J853" s="283"/>
      <c r="K853" s="283"/>
      <c r="L853" s="283"/>
      <c r="M853" s="283"/>
      <c r="N853" s="283"/>
      <c r="O853" s="283"/>
      <c r="P853" s="283"/>
      <c r="Q853" s="283"/>
      <c r="R853" s="283"/>
      <c r="S853" s="283"/>
      <c r="T853" s="283"/>
    </row>
    <row r="854">
      <c r="A854" s="300"/>
      <c r="B854" s="282"/>
      <c r="C854" s="283"/>
      <c r="D854" s="282"/>
      <c r="E854" s="283"/>
      <c r="F854" s="283"/>
      <c r="G854" s="284"/>
      <c r="H854" s="284"/>
      <c r="I854" s="283"/>
      <c r="J854" s="283"/>
      <c r="K854" s="283"/>
      <c r="L854" s="283"/>
      <c r="M854" s="283"/>
      <c r="N854" s="283"/>
      <c r="O854" s="283"/>
      <c r="P854" s="283"/>
      <c r="Q854" s="283"/>
      <c r="R854" s="283"/>
      <c r="S854" s="283"/>
      <c r="T854" s="283"/>
    </row>
    <row r="855">
      <c r="A855" s="300"/>
      <c r="B855" s="282"/>
      <c r="C855" s="283"/>
      <c r="D855" s="282"/>
      <c r="E855" s="283"/>
      <c r="F855" s="283"/>
      <c r="G855" s="284"/>
      <c r="H855" s="284"/>
      <c r="I855" s="283"/>
      <c r="J855" s="283"/>
      <c r="K855" s="283"/>
      <c r="L855" s="283"/>
      <c r="M855" s="283"/>
      <c r="N855" s="283"/>
      <c r="O855" s="283"/>
      <c r="P855" s="283"/>
      <c r="Q855" s="283"/>
      <c r="R855" s="283"/>
      <c r="S855" s="283"/>
      <c r="T855" s="283"/>
    </row>
    <row r="856">
      <c r="A856" s="300"/>
      <c r="B856" s="282"/>
      <c r="C856" s="283"/>
      <c r="D856" s="282"/>
      <c r="E856" s="283"/>
      <c r="F856" s="283"/>
      <c r="G856" s="284"/>
      <c r="H856" s="284"/>
      <c r="I856" s="283"/>
      <c r="J856" s="283"/>
      <c r="K856" s="283"/>
      <c r="L856" s="283"/>
      <c r="M856" s="283"/>
      <c r="N856" s="283"/>
      <c r="O856" s="283"/>
      <c r="P856" s="283"/>
      <c r="Q856" s="283"/>
      <c r="R856" s="283"/>
      <c r="S856" s="283"/>
      <c r="T856" s="283"/>
    </row>
    <row r="857">
      <c r="A857" s="300"/>
      <c r="B857" s="282"/>
      <c r="C857" s="283"/>
      <c r="D857" s="282"/>
      <c r="E857" s="283"/>
      <c r="F857" s="283"/>
      <c r="G857" s="284"/>
      <c r="H857" s="284"/>
      <c r="I857" s="283"/>
      <c r="J857" s="283"/>
      <c r="K857" s="283"/>
      <c r="L857" s="283"/>
      <c r="M857" s="283"/>
      <c r="N857" s="283"/>
      <c r="O857" s="283"/>
      <c r="P857" s="283"/>
      <c r="Q857" s="283"/>
      <c r="R857" s="283"/>
      <c r="S857" s="283"/>
      <c r="T857" s="283"/>
    </row>
    <row r="858">
      <c r="A858" s="300"/>
      <c r="B858" s="282"/>
      <c r="C858" s="283"/>
      <c r="D858" s="282"/>
      <c r="E858" s="283"/>
      <c r="F858" s="283"/>
      <c r="G858" s="284"/>
      <c r="H858" s="284"/>
      <c r="I858" s="283"/>
      <c r="J858" s="283"/>
      <c r="K858" s="283"/>
      <c r="L858" s="283"/>
      <c r="M858" s="283"/>
      <c r="N858" s="283"/>
      <c r="O858" s="283"/>
      <c r="P858" s="283"/>
      <c r="Q858" s="283"/>
      <c r="R858" s="283"/>
      <c r="S858" s="283"/>
      <c r="T858" s="283"/>
    </row>
    <row r="859">
      <c r="A859" s="300"/>
      <c r="B859" s="282"/>
      <c r="C859" s="283"/>
      <c r="D859" s="282"/>
      <c r="E859" s="283"/>
      <c r="F859" s="283"/>
      <c r="G859" s="284"/>
      <c r="H859" s="284"/>
      <c r="I859" s="283"/>
      <c r="J859" s="283"/>
      <c r="K859" s="283"/>
      <c r="L859" s="283"/>
      <c r="M859" s="283"/>
      <c r="N859" s="283"/>
      <c r="O859" s="283"/>
      <c r="P859" s="283"/>
      <c r="Q859" s="283"/>
      <c r="R859" s="283"/>
      <c r="S859" s="283"/>
      <c r="T859" s="283"/>
    </row>
    <row r="860">
      <c r="A860" s="300"/>
      <c r="B860" s="282"/>
      <c r="C860" s="283"/>
      <c r="D860" s="282"/>
      <c r="E860" s="283"/>
      <c r="F860" s="283"/>
      <c r="G860" s="284"/>
      <c r="H860" s="284"/>
      <c r="I860" s="283"/>
      <c r="J860" s="283"/>
      <c r="K860" s="283"/>
      <c r="L860" s="283"/>
      <c r="M860" s="283"/>
      <c r="N860" s="283"/>
      <c r="O860" s="283"/>
      <c r="P860" s="283"/>
      <c r="Q860" s="283"/>
      <c r="R860" s="283"/>
      <c r="S860" s="283"/>
      <c r="T860" s="283"/>
    </row>
    <row r="861">
      <c r="A861" s="300"/>
      <c r="B861" s="282"/>
      <c r="C861" s="283"/>
      <c r="D861" s="282"/>
      <c r="E861" s="283"/>
      <c r="F861" s="283"/>
      <c r="G861" s="284"/>
      <c r="H861" s="284"/>
      <c r="I861" s="283"/>
      <c r="J861" s="283"/>
      <c r="K861" s="283"/>
      <c r="L861" s="283"/>
      <c r="M861" s="283"/>
      <c r="N861" s="283"/>
      <c r="O861" s="283"/>
      <c r="P861" s="283"/>
      <c r="Q861" s="283"/>
      <c r="R861" s="283"/>
      <c r="S861" s="283"/>
      <c r="T861" s="283"/>
    </row>
    <row r="862">
      <c r="A862" s="300"/>
      <c r="B862" s="282"/>
      <c r="C862" s="283"/>
      <c r="D862" s="282"/>
      <c r="E862" s="283"/>
      <c r="F862" s="283"/>
      <c r="G862" s="284"/>
      <c r="H862" s="284"/>
      <c r="I862" s="283"/>
      <c r="J862" s="283"/>
      <c r="K862" s="283"/>
      <c r="L862" s="283"/>
      <c r="M862" s="283"/>
      <c r="N862" s="283"/>
      <c r="O862" s="283"/>
      <c r="P862" s="283"/>
      <c r="Q862" s="283"/>
      <c r="R862" s="283"/>
      <c r="S862" s="283"/>
      <c r="T862" s="283"/>
    </row>
    <row r="863">
      <c r="A863" s="300"/>
      <c r="B863" s="282"/>
      <c r="C863" s="283"/>
      <c r="D863" s="282"/>
      <c r="E863" s="283"/>
      <c r="F863" s="283"/>
      <c r="G863" s="284"/>
      <c r="H863" s="284"/>
      <c r="I863" s="283"/>
      <c r="J863" s="283"/>
      <c r="K863" s="283"/>
      <c r="L863" s="283"/>
      <c r="M863" s="283"/>
      <c r="N863" s="283"/>
      <c r="O863" s="283"/>
      <c r="P863" s="283"/>
      <c r="Q863" s="283"/>
      <c r="R863" s="283"/>
      <c r="S863" s="283"/>
      <c r="T863" s="283"/>
    </row>
    <row r="864">
      <c r="A864" s="300"/>
      <c r="B864" s="282"/>
      <c r="C864" s="283"/>
      <c r="D864" s="282"/>
      <c r="E864" s="283"/>
      <c r="F864" s="283"/>
      <c r="G864" s="284"/>
      <c r="H864" s="284"/>
      <c r="I864" s="283"/>
      <c r="J864" s="283"/>
      <c r="K864" s="283"/>
      <c r="L864" s="283"/>
      <c r="M864" s="283"/>
      <c r="N864" s="283"/>
      <c r="O864" s="283"/>
      <c r="P864" s="283"/>
      <c r="Q864" s="283"/>
      <c r="R864" s="283"/>
      <c r="S864" s="283"/>
      <c r="T864" s="283"/>
    </row>
    <row r="865">
      <c r="A865" s="300"/>
      <c r="B865" s="282"/>
      <c r="C865" s="283"/>
      <c r="D865" s="282"/>
      <c r="E865" s="283"/>
      <c r="F865" s="283"/>
      <c r="G865" s="284"/>
      <c r="H865" s="284"/>
      <c r="I865" s="283"/>
      <c r="J865" s="283"/>
      <c r="K865" s="283"/>
      <c r="L865" s="283"/>
      <c r="M865" s="283"/>
      <c r="N865" s="283"/>
      <c r="O865" s="283"/>
      <c r="P865" s="283"/>
      <c r="Q865" s="283"/>
      <c r="R865" s="283"/>
      <c r="S865" s="283"/>
      <c r="T865" s="283"/>
    </row>
    <row r="866">
      <c r="A866" s="300"/>
      <c r="B866" s="282"/>
      <c r="C866" s="283"/>
      <c r="D866" s="282"/>
      <c r="E866" s="283"/>
      <c r="F866" s="283"/>
      <c r="G866" s="284"/>
      <c r="H866" s="284"/>
      <c r="I866" s="283"/>
      <c r="J866" s="283"/>
      <c r="K866" s="283"/>
      <c r="L866" s="283"/>
      <c r="M866" s="283"/>
      <c r="N866" s="283"/>
      <c r="O866" s="283"/>
      <c r="P866" s="283"/>
      <c r="Q866" s="283"/>
      <c r="R866" s="283"/>
      <c r="S866" s="283"/>
      <c r="T866" s="283"/>
    </row>
    <row r="867">
      <c r="A867" s="300"/>
      <c r="B867" s="282"/>
      <c r="C867" s="283"/>
      <c r="D867" s="282"/>
      <c r="E867" s="283"/>
      <c r="F867" s="283"/>
      <c r="G867" s="284"/>
      <c r="H867" s="284"/>
      <c r="I867" s="283"/>
      <c r="J867" s="283"/>
      <c r="K867" s="283"/>
      <c r="L867" s="283"/>
      <c r="M867" s="283"/>
      <c r="N867" s="283"/>
      <c r="O867" s="283"/>
      <c r="P867" s="283"/>
      <c r="Q867" s="283"/>
      <c r="R867" s="283"/>
      <c r="S867" s="283"/>
      <c r="T867" s="283"/>
    </row>
    <row r="868">
      <c r="A868" s="300"/>
      <c r="B868" s="282"/>
      <c r="C868" s="283"/>
      <c r="D868" s="282"/>
      <c r="E868" s="283"/>
      <c r="F868" s="283"/>
      <c r="G868" s="284"/>
      <c r="H868" s="284"/>
      <c r="I868" s="283"/>
      <c r="J868" s="283"/>
      <c r="K868" s="283"/>
      <c r="L868" s="283"/>
      <c r="M868" s="283"/>
      <c r="N868" s="283"/>
      <c r="O868" s="283"/>
      <c r="P868" s="283"/>
      <c r="Q868" s="283"/>
      <c r="R868" s="283"/>
      <c r="S868" s="283"/>
      <c r="T868" s="283"/>
    </row>
    <row r="869">
      <c r="A869" s="300"/>
      <c r="B869" s="282"/>
      <c r="C869" s="283"/>
      <c r="D869" s="282"/>
      <c r="E869" s="283"/>
      <c r="F869" s="283"/>
      <c r="G869" s="284"/>
      <c r="H869" s="284"/>
      <c r="I869" s="283"/>
      <c r="J869" s="283"/>
      <c r="K869" s="283"/>
      <c r="L869" s="283"/>
      <c r="M869" s="283"/>
      <c r="N869" s="283"/>
      <c r="O869" s="283"/>
      <c r="P869" s="283"/>
      <c r="Q869" s="283"/>
      <c r="R869" s="283"/>
      <c r="S869" s="283"/>
      <c r="T869" s="283"/>
    </row>
    <row r="870">
      <c r="A870" s="300"/>
      <c r="B870" s="282"/>
      <c r="C870" s="283"/>
      <c r="D870" s="282"/>
      <c r="E870" s="283"/>
      <c r="F870" s="283"/>
      <c r="G870" s="284"/>
      <c r="H870" s="284"/>
      <c r="I870" s="283"/>
      <c r="J870" s="283"/>
      <c r="K870" s="283"/>
      <c r="L870" s="283"/>
      <c r="M870" s="283"/>
      <c r="N870" s="283"/>
      <c r="O870" s="283"/>
      <c r="P870" s="283"/>
      <c r="Q870" s="283"/>
      <c r="R870" s="283"/>
      <c r="S870" s="283"/>
      <c r="T870" s="283"/>
    </row>
    <row r="871">
      <c r="A871" s="300"/>
      <c r="B871" s="282"/>
      <c r="C871" s="283"/>
      <c r="D871" s="282"/>
      <c r="E871" s="283"/>
      <c r="F871" s="283"/>
      <c r="G871" s="284"/>
      <c r="H871" s="284"/>
      <c r="I871" s="283"/>
      <c r="J871" s="283"/>
      <c r="K871" s="283"/>
      <c r="L871" s="283"/>
      <c r="M871" s="283"/>
      <c r="N871" s="283"/>
      <c r="O871" s="283"/>
      <c r="P871" s="283"/>
      <c r="Q871" s="283"/>
      <c r="R871" s="283"/>
      <c r="S871" s="283"/>
      <c r="T871" s="283"/>
    </row>
    <row r="872">
      <c r="A872" s="300"/>
      <c r="B872" s="282"/>
      <c r="C872" s="283"/>
      <c r="D872" s="282"/>
      <c r="E872" s="283"/>
      <c r="F872" s="283"/>
      <c r="G872" s="284"/>
      <c r="H872" s="284"/>
      <c r="I872" s="283"/>
      <c r="J872" s="283"/>
      <c r="K872" s="283"/>
      <c r="L872" s="283"/>
      <c r="M872" s="283"/>
      <c r="N872" s="283"/>
      <c r="O872" s="283"/>
      <c r="P872" s="283"/>
      <c r="Q872" s="283"/>
      <c r="R872" s="283"/>
      <c r="S872" s="283"/>
      <c r="T872" s="283"/>
    </row>
    <row r="873">
      <c r="A873" s="300"/>
      <c r="B873" s="282"/>
      <c r="C873" s="283"/>
      <c r="D873" s="282"/>
      <c r="E873" s="283"/>
      <c r="F873" s="283"/>
      <c r="G873" s="284"/>
      <c r="H873" s="284"/>
      <c r="I873" s="283"/>
      <c r="J873" s="283"/>
      <c r="K873" s="283"/>
      <c r="L873" s="283"/>
      <c r="M873" s="283"/>
      <c r="N873" s="283"/>
      <c r="O873" s="283"/>
      <c r="P873" s="283"/>
      <c r="Q873" s="283"/>
      <c r="R873" s="283"/>
      <c r="S873" s="283"/>
      <c r="T873" s="283"/>
    </row>
    <row r="874">
      <c r="A874" s="300"/>
      <c r="B874" s="282"/>
      <c r="C874" s="283"/>
      <c r="D874" s="282"/>
      <c r="E874" s="283"/>
      <c r="F874" s="283"/>
      <c r="G874" s="284"/>
      <c r="H874" s="284"/>
      <c r="I874" s="283"/>
      <c r="J874" s="283"/>
      <c r="K874" s="283"/>
      <c r="L874" s="283"/>
      <c r="M874" s="283"/>
      <c r="N874" s="283"/>
      <c r="O874" s="283"/>
      <c r="P874" s="283"/>
      <c r="Q874" s="283"/>
      <c r="R874" s="283"/>
      <c r="S874" s="283"/>
      <c r="T874" s="283"/>
    </row>
    <row r="875">
      <c r="A875" s="300"/>
      <c r="B875" s="282"/>
      <c r="C875" s="283"/>
      <c r="D875" s="282"/>
      <c r="E875" s="283"/>
      <c r="F875" s="283"/>
      <c r="G875" s="284"/>
      <c r="H875" s="284"/>
      <c r="I875" s="283"/>
      <c r="J875" s="283"/>
      <c r="K875" s="283"/>
      <c r="L875" s="283"/>
      <c r="M875" s="283"/>
      <c r="N875" s="283"/>
      <c r="O875" s="283"/>
      <c r="P875" s="283"/>
      <c r="Q875" s="283"/>
      <c r="R875" s="283"/>
      <c r="S875" s="283"/>
      <c r="T875" s="283"/>
    </row>
    <row r="876">
      <c r="A876" s="300"/>
      <c r="B876" s="282"/>
      <c r="C876" s="283"/>
      <c r="D876" s="282"/>
      <c r="E876" s="283"/>
      <c r="F876" s="283"/>
      <c r="G876" s="284"/>
      <c r="H876" s="284"/>
      <c r="I876" s="283"/>
      <c r="J876" s="283"/>
      <c r="K876" s="283"/>
      <c r="L876" s="283"/>
      <c r="M876" s="283"/>
      <c r="N876" s="283"/>
      <c r="O876" s="283"/>
      <c r="P876" s="283"/>
      <c r="Q876" s="283"/>
      <c r="R876" s="283"/>
      <c r="S876" s="283"/>
      <c r="T876" s="283"/>
    </row>
    <row r="877">
      <c r="A877" s="300"/>
      <c r="B877" s="282"/>
      <c r="C877" s="283"/>
      <c r="D877" s="282"/>
      <c r="E877" s="283"/>
      <c r="F877" s="283"/>
      <c r="G877" s="284"/>
      <c r="H877" s="284"/>
      <c r="I877" s="283"/>
      <c r="J877" s="283"/>
      <c r="K877" s="283"/>
      <c r="L877" s="283"/>
      <c r="M877" s="283"/>
      <c r="N877" s="283"/>
      <c r="O877" s="283"/>
      <c r="P877" s="283"/>
      <c r="Q877" s="283"/>
      <c r="R877" s="283"/>
      <c r="S877" s="283"/>
      <c r="T877" s="283"/>
    </row>
    <row r="878">
      <c r="A878" s="300"/>
      <c r="B878" s="282"/>
      <c r="C878" s="283"/>
      <c r="D878" s="282"/>
      <c r="E878" s="283"/>
      <c r="F878" s="283"/>
      <c r="G878" s="284"/>
      <c r="H878" s="284"/>
      <c r="I878" s="283"/>
      <c r="J878" s="283"/>
      <c r="K878" s="283"/>
      <c r="L878" s="283"/>
      <c r="M878" s="283"/>
      <c r="N878" s="283"/>
      <c r="O878" s="283"/>
      <c r="P878" s="283"/>
      <c r="Q878" s="283"/>
      <c r="R878" s="283"/>
      <c r="S878" s="283"/>
      <c r="T878" s="283"/>
    </row>
    <row r="879">
      <c r="A879" s="300"/>
      <c r="B879" s="282"/>
      <c r="C879" s="283"/>
      <c r="D879" s="282"/>
      <c r="E879" s="283"/>
      <c r="F879" s="283"/>
      <c r="G879" s="284"/>
      <c r="H879" s="284"/>
      <c r="I879" s="283"/>
      <c r="J879" s="283"/>
      <c r="K879" s="283"/>
      <c r="L879" s="283"/>
      <c r="M879" s="283"/>
      <c r="N879" s="283"/>
      <c r="O879" s="283"/>
      <c r="P879" s="283"/>
      <c r="Q879" s="283"/>
      <c r="R879" s="283"/>
      <c r="S879" s="283"/>
      <c r="T879" s="283"/>
    </row>
    <row r="880">
      <c r="A880" s="300"/>
      <c r="B880" s="282"/>
      <c r="C880" s="283"/>
      <c r="D880" s="282"/>
      <c r="E880" s="283"/>
      <c r="F880" s="283"/>
      <c r="G880" s="284"/>
      <c r="H880" s="284"/>
      <c r="I880" s="283"/>
      <c r="J880" s="283"/>
      <c r="K880" s="283"/>
      <c r="L880" s="283"/>
      <c r="M880" s="283"/>
      <c r="N880" s="283"/>
      <c r="O880" s="283"/>
      <c r="P880" s="283"/>
      <c r="Q880" s="283"/>
      <c r="R880" s="283"/>
      <c r="S880" s="283"/>
      <c r="T880" s="283"/>
    </row>
    <row r="881">
      <c r="A881" s="300"/>
      <c r="B881" s="282"/>
      <c r="C881" s="283"/>
      <c r="D881" s="282"/>
      <c r="E881" s="283"/>
      <c r="F881" s="283"/>
      <c r="G881" s="284"/>
      <c r="H881" s="284"/>
      <c r="I881" s="283"/>
      <c r="J881" s="283"/>
      <c r="K881" s="283"/>
      <c r="L881" s="283"/>
      <c r="M881" s="283"/>
      <c r="N881" s="283"/>
      <c r="O881" s="283"/>
      <c r="P881" s="283"/>
      <c r="Q881" s="283"/>
      <c r="R881" s="283"/>
      <c r="S881" s="283"/>
      <c r="T881" s="283"/>
    </row>
    <row r="882">
      <c r="A882" s="300"/>
      <c r="B882" s="282"/>
      <c r="C882" s="283"/>
      <c r="D882" s="282"/>
      <c r="E882" s="283"/>
      <c r="F882" s="283"/>
      <c r="G882" s="284"/>
      <c r="H882" s="284"/>
      <c r="I882" s="283"/>
      <c r="J882" s="283"/>
      <c r="K882" s="283"/>
      <c r="L882" s="283"/>
      <c r="M882" s="283"/>
      <c r="N882" s="283"/>
      <c r="O882" s="283"/>
      <c r="P882" s="283"/>
      <c r="Q882" s="283"/>
      <c r="R882" s="283"/>
      <c r="S882" s="283"/>
      <c r="T882" s="283"/>
    </row>
    <row r="883">
      <c r="A883" s="300"/>
      <c r="B883" s="282"/>
      <c r="C883" s="283"/>
      <c r="D883" s="282"/>
      <c r="E883" s="283"/>
      <c r="F883" s="283"/>
      <c r="G883" s="284"/>
      <c r="H883" s="284"/>
      <c r="I883" s="283"/>
      <c r="J883" s="283"/>
      <c r="K883" s="283"/>
      <c r="L883" s="283"/>
      <c r="M883" s="283"/>
      <c r="N883" s="283"/>
      <c r="O883" s="283"/>
      <c r="P883" s="283"/>
      <c r="Q883" s="283"/>
      <c r="R883" s="283"/>
      <c r="S883" s="283"/>
      <c r="T883" s="283"/>
    </row>
    <row r="884">
      <c r="A884" s="300"/>
      <c r="B884" s="282"/>
      <c r="C884" s="283"/>
      <c r="D884" s="282"/>
      <c r="E884" s="283"/>
      <c r="F884" s="283"/>
      <c r="G884" s="284"/>
      <c r="H884" s="284"/>
      <c r="I884" s="283"/>
      <c r="J884" s="283"/>
      <c r="K884" s="283"/>
      <c r="L884" s="283"/>
      <c r="M884" s="283"/>
      <c r="N884" s="283"/>
      <c r="O884" s="283"/>
      <c r="P884" s="283"/>
      <c r="Q884" s="283"/>
      <c r="R884" s="283"/>
      <c r="S884" s="283"/>
      <c r="T884" s="283"/>
    </row>
    <row r="885">
      <c r="A885" s="300"/>
      <c r="B885" s="282"/>
      <c r="C885" s="283"/>
      <c r="D885" s="282"/>
      <c r="E885" s="283"/>
      <c r="F885" s="283"/>
      <c r="G885" s="284"/>
      <c r="H885" s="284"/>
      <c r="I885" s="283"/>
      <c r="J885" s="283"/>
      <c r="K885" s="283"/>
      <c r="L885" s="283"/>
      <c r="M885" s="283"/>
      <c r="N885" s="283"/>
      <c r="O885" s="283"/>
      <c r="P885" s="283"/>
      <c r="Q885" s="283"/>
      <c r="R885" s="283"/>
      <c r="S885" s="283"/>
      <c r="T885" s="283"/>
    </row>
    <row r="886">
      <c r="A886" s="300"/>
      <c r="B886" s="282"/>
      <c r="C886" s="283"/>
      <c r="D886" s="282"/>
      <c r="E886" s="283"/>
      <c r="F886" s="283"/>
      <c r="G886" s="284"/>
      <c r="H886" s="284"/>
      <c r="I886" s="283"/>
      <c r="J886" s="283"/>
      <c r="K886" s="283"/>
      <c r="L886" s="283"/>
      <c r="M886" s="283"/>
      <c r="N886" s="283"/>
      <c r="O886" s="283"/>
      <c r="P886" s="283"/>
      <c r="Q886" s="283"/>
      <c r="R886" s="283"/>
      <c r="S886" s="283"/>
      <c r="T886" s="283"/>
    </row>
    <row r="887">
      <c r="A887" s="300"/>
      <c r="B887" s="282"/>
      <c r="C887" s="283"/>
      <c r="D887" s="282"/>
      <c r="E887" s="283"/>
      <c r="F887" s="283"/>
      <c r="G887" s="284"/>
      <c r="H887" s="284"/>
      <c r="I887" s="283"/>
      <c r="J887" s="283"/>
      <c r="K887" s="283"/>
      <c r="L887" s="283"/>
      <c r="M887" s="283"/>
      <c r="N887" s="283"/>
      <c r="O887" s="283"/>
      <c r="P887" s="283"/>
      <c r="Q887" s="283"/>
      <c r="R887" s="283"/>
      <c r="S887" s="283"/>
      <c r="T887" s="283"/>
    </row>
    <row r="888">
      <c r="A888" s="300"/>
      <c r="B888" s="282"/>
      <c r="C888" s="283"/>
      <c r="D888" s="282"/>
      <c r="E888" s="283"/>
      <c r="F888" s="283"/>
      <c r="G888" s="284"/>
      <c r="H888" s="284"/>
      <c r="I888" s="283"/>
      <c r="J888" s="283"/>
      <c r="K888" s="283"/>
      <c r="L888" s="283"/>
      <c r="M888" s="283"/>
      <c r="N888" s="283"/>
      <c r="O888" s="283"/>
      <c r="P888" s="283"/>
      <c r="Q888" s="283"/>
      <c r="R888" s="283"/>
      <c r="S888" s="283"/>
      <c r="T888" s="283"/>
    </row>
    <row r="889">
      <c r="A889" s="300"/>
      <c r="B889" s="282"/>
      <c r="C889" s="283"/>
      <c r="D889" s="282"/>
      <c r="E889" s="283"/>
      <c r="F889" s="283"/>
      <c r="G889" s="284"/>
      <c r="H889" s="284"/>
      <c r="I889" s="283"/>
      <c r="J889" s="283"/>
      <c r="K889" s="283"/>
      <c r="L889" s="283"/>
      <c r="M889" s="283"/>
      <c r="N889" s="283"/>
      <c r="O889" s="283"/>
      <c r="P889" s="283"/>
      <c r="Q889" s="283"/>
      <c r="R889" s="283"/>
      <c r="S889" s="283"/>
      <c r="T889" s="283"/>
    </row>
    <row r="890">
      <c r="A890" s="300"/>
      <c r="B890" s="282"/>
      <c r="C890" s="283"/>
      <c r="D890" s="282"/>
      <c r="E890" s="283"/>
      <c r="F890" s="283"/>
      <c r="G890" s="284"/>
      <c r="H890" s="284"/>
      <c r="I890" s="283"/>
      <c r="J890" s="283"/>
      <c r="K890" s="283"/>
      <c r="L890" s="283"/>
      <c r="M890" s="283"/>
      <c r="N890" s="283"/>
      <c r="O890" s="283"/>
      <c r="P890" s="283"/>
      <c r="Q890" s="283"/>
      <c r="R890" s="283"/>
      <c r="S890" s="283"/>
      <c r="T890" s="283"/>
    </row>
    <row r="891">
      <c r="A891" s="300"/>
      <c r="B891" s="282"/>
      <c r="C891" s="283"/>
      <c r="D891" s="282"/>
      <c r="E891" s="283"/>
      <c r="F891" s="283"/>
      <c r="G891" s="284"/>
      <c r="H891" s="284"/>
      <c r="I891" s="283"/>
      <c r="J891" s="283"/>
      <c r="K891" s="283"/>
      <c r="L891" s="283"/>
      <c r="M891" s="283"/>
      <c r="N891" s="283"/>
      <c r="O891" s="283"/>
      <c r="P891" s="283"/>
      <c r="Q891" s="283"/>
      <c r="R891" s="283"/>
      <c r="S891" s="283"/>
      <c r="T891" s="283"/>
    </row>
    <row r="892">
      <c r="A892" s="300"/>
      <c r="B892" s="282"/>
      <c r="C892" s="283"/>
      <c r="D892" s="282"/>
      <c r="E892" s="283"/>
      <c r="F892" s="283"/>
      <c r="G892" s="284"/>
      <c r="H892" s="284"/>
      <c r="I892" s="283"/>
      <c r="J892" s="283"/>
      <c r="K892" s="283"/>
      <c r="L892" s="283"/>
      <c r="M892" s="283"/>
      <c r="N892" s="283"/>
      <c r="O892" s="283"/>
      <c r="P892" s="283"/>
      <c r="Q892" s="283"/>
      <c r="R892" s="283"/>
      <c r="S892" s="283"/>
      <c r="T892" s="283"/>
    </row>
    <row r="893">
      <c r="A893" s="300"/>
      <c r="B893" s="282"/>
      <c r="C893" s="283"/>
      <c r="D893" s="282"/>
      <c r="E893" s="283"/>
      <c r="F893" s="283"/>
      <c r="G893" s="284"/>
      <c r="H893" s="284"/>
      <c r="I893" s="283"/>
      <c r="J893" s="283"/>
      <c r="K893" s="283"/>
      <c r="L893" s="283"/>
      <c r="M893" s="283"/>
      <c r="N893" s="283"/>
      <c r="O893" s="283"/>
      <c r="P893" s="283"/>
      <c r="Q893" s="283"/>
      <c r="R893" s="283"/>
      <c r="S893" s="283"/>
      <c r="T893" s="283"/>
    </row>
    <row r="894">
      <c r="A894" s="300"/>
      <c r="B894" s="282"/>
      <c r="C894" s="283"/>
      <c r="D894" s="282"/>
      <c r="E894" s="283"/>
      <c r="F894" s="283"/>
      <c r="G894" s="284"/>
      <c r="H894" s="284"/>
      <c r="I894" s="283"/>
      <c r="J894" s="283"/>
      <c r="K894" s="283"/>
      <c r="L894" s="283"/>
      <c r="M894" s="283"/>
      <c r="N894" s="283"/>
      <c r="O894" s="283"/>
      <c r="P894" s="283"/>
      <c r="Q894" s="283"/>
      <c r="R894" s="283"/>
      <c r="S894" s="283"/>
      <c r="T894" s="283"/>
    </row>
    <row r="895">
      <c r="A895" s="300"/>
      <c r="B895" s="282"/>
      <c r="C895" s="283"/>
      <c r="D895" s="282"/>
      <c r="E895" s="283"/>
      <c r="F895" s="283"/>
      <c r="G895" s="284"/>
      <c r="H895" s="284"/>
      <c r="I895" s="283"/>
      <c r="J895" s="283"/>
      <c r="K895" s="283"/>
      <c r="L895" s="283"/>
      <c r="M895" s="283"/>
      <c r="N895" s="283"/>
      <c r="O895" s="283"/>
      <c r="P895" s="283"/>
      <c r="Q895" s="283"/>
      <c r="R895" s="283"/>
      <c r="S895" s="283"/>
      <c r="T895" s="283"/>
    </row>
    <row r="896">
      <c r="A896" s="300"/>
      <c r="B896" s="282"/>
      <c r="C896" s="283"/>
      <c r="D896" s="282"/>
      <c r="E896" s="283"/>
      <c r="F896" s="283"/>
      <c r="G896" s="284"/>
      <c r="H896" s="284"/>
      <c r="I896" s="283"/>
      <c r="J896" s="283"/>
      <c r="K896" s="283"/>
      <c r="L896" s="283"/>
      <c r="M896" s="283"/>
      <c r="N896" s="283"/>
      <c r="O896" s="283"/>
      <c r="P896" s="283"/>
      <c r="Q896" s="283"/>
      <c r="R896" s="283"/>
      <c r="S896" s="283"/>
      <c r="T896" s="283"/>
    </row>
    <row r="897">
      <c r="A897" s="300"/>
      <c r="B897" s="282"/>
      <c r="C897" s="283"/>
      <c r="D897" s="282"/>
      <c r="E897" s="283"/>
      <c r="F897" s="283"/>
      <c r="G897" s="284"/>
      <c r="H897" s="284"/>
      <c r="I897" s="283"/>
      <c r="J897" s="283"/>
      <c r="K897" s="283"/>
      <c r="L897" s="283"/>
      <c r="M897" s="283"/>
      <c r="N897" s="283"/>
      <c r="O897" s="283"/>
      <c r="P897" s="283"/>
      <c r="Q897" s="283"/>
      <c r="R897" s="283"/>
      <c r="S897" s="283"/>
      <c r="T897" s="283"/>
    </row>
    <row r="898">
      <c r="A898" s="300"/>
      <c r="B898" s="282"/>
      <c r="C898" s="283"/>
      <c r="D898" s="282"/>
      <c r="E898" s="283"/>
      <c r="F898" s="283"/>
      <c r="G898" s="284"/>
      <c r="H898" s="284"/>
      <c r="I898" s="283"/>
      <c r="J898" s="283"/>
      <c r="K898" s="283"/>
      <c r="L898" s="283"/>
      <c r="M898" s="283"/>
      <c r="N898" s="283"/>
      <c r="O898" s="283"/>
      <c r="P898" s="283"/>
      <c r="Q898" s="283"/>
      <c r="R898" s="283"/>
      <c r="S898" s="283"/>
      <c r="T898" s="283"/>
    </row>
    <row r="899">
      <c r="A899" s="300"/>
      <c r="B899" s="282"/>
      <c r="C899" s="283"/>
      <c r="D899" s="282"/>
      <c r="E899" s="283"/>
      <c r="F899" s="283"/>
      <c r="G899" s="284"/>
      <c r="H899" s="284"/>
      <c r="I899" s="283"/>
      <c r="J899" s="283"/>
      <c r="K899" s="283"/>
      <c r="L899" s="283"/>
      <c r="M899" s="283"/>
      <c r="N899" s="283"/>
      <c r="O899" s="283"/>
      <c r="P899" s="283"/>
      <c r="Q899" s="283"/>
      <c r="R899" s="283"/>
      <c r="S899" s="283"/>
      <c r="T899" s="283"/>
    </row>
    <row r="900">
      <c r="A900" s="300"/>
      <c r="B900" s="282"/>
      <c r="C900" s="283"/>
      <c r="D900" s="282"/>
      <c r="E900" s="283"/>
      <c r="F900" s="283"/>
      <c r="G900" s="284"/>
      <c r="H900" s="284"/>
      <c r="I900" s="283"/>
      <c r="J900" s="283"/>
      <c r="K900" s="283"/>
      <c r="L900" s="283"/>
      <c r="M900" s="283"/>
      <c r="N900" s="283"/>
      <c r="O900" s="283"/>
      <c r="P900" s="283"/>
      <c r="Q900" s="283"/>
      <c r="R900" s="283"/>
      <c r="S900" s="283"/>
      <c r="T900" s="283"/>
    </row>
    <row r="901">
      <c r="A901" s="300"/>
      <c r="B901" s="282"/>
      <c r="C901" s="283"/>
      <c r="D901" s="282"/>
      <c r="E901" s="283"/>
      <c r="F901" s="283"/>
      <c r="G901" s="284"/>
      <c r="H901" s="284"/>
      <c r="I901" s="283"/>
      <c r="J901" s="283"/>
      <c r="K901" s="283"/>
      <c r="L901" s="283"/>
      <c r="M901" s="283"/>
      <c r="N901" s="283"/>
      <c r="O901" s="283"/>
      <c r="P901" s="283"/>
      <c r="Q901" s="283"/>
      <c r="R901" s="283"/>
      <c r="S901" s="283"/>
      <c r="T901" s="283"/>
    </row>
    <row r="902">
      <c r="A902" s="300"/>
      <c r="B902" s="282"/>
      <c r="C902" s="283"/>
      <c r="D902" s="282"/>
      <c r="E902" s="283"/>
      <c r="F902" s="283"/>
      <c r="G902" s="284"/>
      <c r="H902" s="284"/>
      <c r="I902" s="283"/>
      <c r="J902" s="283"/>
      <c r="K902" s="283"/>
      <c r="L902" s="283"/>
      <c r="M902" s="283"/>
      <c r="N902" s="283"/>
      <c r="O902" s="283"/>
      <c r="P902" s="283"/>
      <c r="Q902" s="283"/>
      <c r="R902" s="283"/>
      <c r="S902" s="283"/>
      <c r="T902" s="283"/>
    </row>
    <row r="903">
      <c r="A903" s="300"/>
      <c r="B903" s="282"/>
      <c r="C903" s="283"/>
      <c r="D903" s="282"/>
      <c r="E903" s="283"/>
      <c r="F903" s="283"/>
      <c r="G903" s="284"/>
      <c r="H903" s="284"/>
      <c r="I903" s="283"/>
      <c r="J903" s="283"/>
      <c r="K903" s="283"/>
      <c r="L903" s="283"/>
      <c r="M903" s="283"/>
      <c r="N903" s="283"/>
      <c r="O903" s="283"/>
      <c r="P903" s="283"/>
      <c r="Q903" s="283"/>
      <c r="R903" s="283"/>
      <c r="S903" s="283"/>
      <c r="T903" s="283"/>
    </row>
    <row r="904">
      <c r="A904" s="300"/>
      <c r="B904" s="282"/>
      <c r="C904" s="283"/>
      <c r="D904" s="282"/>
      <c r="E904" s="283"/>
      <c r="F904" s="283"/>
      <c r="G904" s="284"/>
      <c r="H904" s="284"/>
      <c r="I904" s="283"/>
      <c r="J904" s="283"/>
      <c r="K904" s="283"/>
      <c r="L904" s="283"/>
      <c r="M904" s="283"/>
      <c r="N904" s="283"/>
      <c r="O904" s="283"/>
      <c r="P904" s="283"/>
      <c r="Q904" s="283"/>
      <c r="R904" s="283"/>
      <c r="S904" s="283"/>
      <c r="T904" s="283"/>
    </row>
    <row r="905">
      <c r="A905" s="300"/>
      <c r="B905" s="282"/>
      <c r="C905" s="283"/>
      <c r="D905" s="282"/>
      <c r="E905" s="283"/>
      <c r="F905" s="283"/>
      <c r="G905" s="284"/>
      <c r="H905" s="284"/>
      <c r="I905" s="283"/>
      <c r="J905" s="283"/>
      <c r="K905" s="283"/>
      <c r="L905" s="283"/>
      <c r="M905" s="283"/>
      <c r="N905" s="283"/>
      <c r="O905" s="283"/>
      <c r="P905" s="283"/>
      <c r="Q905" s="283"/>
      <c r="R905" s="283"/>
      <c r="S905" s="283"/>
      <c r="T905" s="283"/>
    </row>
    <row r="906">
      <c r="A906" s="300"/>
      <c r="B906" s="282"/>
      <c r="C906" s="283"/>
      <c r="D906" s="282"/>
      <c r="E906" s="283"/>
      <c r="F906" s="283"/>
      <c r="G906" s="284"/>
      <c r="H906" s="284"/>
      <c r="I906" s="283"/>
      <c r="J906" s="283"/>
      <c r="K906" s="283"/>
      <c r="L906" s="283"/>
      <c r="M906" s="283"/>
      <c r="N906" s="283"/>
      <c r="O906" s="283"/>
      <c r="P906" s="283"/>
      <c r="Q906" s="283"/>
      <c r="R906" s="283"/>
      <c r="S906" s="283"/>
      <c r="T906" s="283"/>
    </row>
    <row r="907">
      <c r="A907" s="300"/>
      <c r="B907" s="282"/>
      <c r="C907" s="283"/>
      <c r="D907" s="282"/>
      <c r="E907" s="283"/>
      <c r="F907" s="283"/>
      <c r="G907" s="284"/>
      <c r="H907" s="284"/>
      <c r="I907" s="283"/>
      <c r="J907" s="283"/>
      <c r="K907" s="283"/>
      <c r="L907" s="283"/>
      <c r="M907" s="283"/>
      <c r="N907" s="283"/>
      <c r="O907" s="283"/>
      <c r="P907" s="283"/>
      <c r="Q907" s="283"/>
      <c r="R907" s="283"/>
      <c r="S907" s="283"/>
      <c r="T907" s="283"/>
    </row>
    <row r="908">
      <c r="A908" s="300"/>
      <c r="B908" s="282"/>
      <c r="C908" s="283"/>
      <c r="D908" s="282"/>
      <c r="E908" s="283"/>
      <c r="F908" s="283"/>
      <c r="G908" s="284"/>
      <c r="H908" s="284"/>
      <c r="I908" s="283"/>
      <c r="J908" s="283"/>
      <c r="K908" s="283"/>
      <c r="L908" s="283"/>
      <c r="M908" s="283"/>
      <c r="N908" s="283"/>
      <c r="O908" s="283"/>
      <c r="P908" s="283"/>
      <c r="Q908" s="283"/>
      <c r="R908" s="283"/>
      <c r="S908" s="283"/>
      <c r="T908" s="283"/>
    </row>
    <row r="909">
      <c r="A909" s="300"/>
      <c r="B909" s="282"/>
      <c r="C909" s="283"/>
      <c r="D909" s="282"/>
      <c r="E909" s="283"/>
      <c r="F909" s="283"/>
      <c r="G909" s="284"/>
      <c r="H909" s="284"/>
      <c r="I909" s="283"/>
      <c r="J909" s="283"/>
      <c r="K909" s="283"/>
      <c r="L909" s="283"/>
      <c r="M909" s="283"/>
      <c r="N909" s="283"/>
      <c r="O909" s="283"/>
      <c r="P909" s="283"/>
      <c r="Q909" s="283"/>
      <c r="R909" s="283"/>
      <c r="S909" s="283"/>
      <c r="T909" s="283"/>
    </row>
    <row r="910">
      <c r="A910" s="300"/>
      <c r="B910" s="282"/>
      <c r="C910" s="283"/>
      <c r="D910" s="282"/>
      <c r="E910" s="283"/>
      <c r="F910" s="283"/>
      <c r="G910" s="284"/>
      <c r="H910" s="284"/>
      <c r="I910" s="283"/>
      <c r="J910" s="283"/>
      <c r="K910" s="283"/>
      <c r="L910" s="283"/>
      <c r="M910" s="283"/>
      <c r="N910" s="283"/>
      <c r="O910" s="283"/>
      <c r="P910" s="283"/>
      <c r="Q910" s="283"/>
      <c r="R910" s="283"/>
      <c r="S910" s="283"/>
      <c r="T910" s="283"/>
    </row>
    <row r="911">
      <c r="A911" s="300"/>
      <c r="B911" s="282"/>
      <c r="C911" s="283"/>
      <c r="D911" s="282"/>
      <c r="E911" s="283"/>
      <c r="F911" s="283"/>
      <c r="G911" s="284"/>
      <c r="H911" s="284"/>
      <c r="I911" s="283"/>
      <c r="J911" s="283"/>
      <c r="K911" s="283"/>
      <c r="L911" s="283"/>
      <c r="M911" s="283"/>
      <c r="N911" s="283"/>
      <c r="O911" s="283"/>
      <c r="P911" s="283"/>
      <c r="Q911" s="283"/>
      <c r="R911" s="283"/>
      <c r="S911" s="283"/>
      <c r="T911" s="283"/>
    </row>
    <row r="912">
      <c r="A912" s="300"/>
      <c r="B912" s="282"/>
      <c r="C912" s="283"/>
      <c r="D912" s="282"/>
      <c r="E912" s="283"/>
      <c r="F912" s="283"/>
      <c r="G912" s="284"/>
      <c r="H912" s="284"/>
      <c r="I912" s="283"/>
      <c r="J912" s="283"/>
      <c r="K912" s="283"/>
      <c r="L912" s="283"/>
      <c r="M912" s="283"/>
      <c r="N912" s="283"/>
      <c r="O912" s="283"/>
      <c r="P912" s="283"/>
      <c r="Q912" s="283"/>
      <c r="R912" s="283"/>
      <c r="S912" s="283"/>
      <c r="T912" s="283"/>
    </row>
    <row r="913">
      <c r="A913" s="300"/>
      <c r="B913" s="282"/>
      <c r="C913" s="283"/>
      <c r="D913" s="282"/>
      <c r="E913" s="283"/>
      <c r="F913" s="283"/>
      <c r="G913" s="284"/>
      <c r="H913" s="284"/>
      <c r="I913" s="283"/>
      <c r="J913" s="283"/>
      <c r="K913" s="283"/>
      <c r="L913" s="283"/>
      <c r="M913" s="283"/>
      <c r="N913" s="283"/>
      <c r="O913" s="283"/>
      <c r="P913" s="283"/>
      <c r="Q913" s="283"/>
      <c r="R913" s="283"/>
      <c r="S913" s="283"/>
      <c r="T913" s="283"/>
    </row>
    <row r="914">
      <c r="A914" s="300"/>
      <c r="B914" s="282"/>
      <c r="C914" s="283"/>
      <c r="D914" s="282"/>
      <c r="E914" s="283"/>
      <c r="F914" s="283"/>
      <c r="G914" s="284"/>
      <c r="H914" s="284"/>
      <c r="I914" s="283"/>
      <c r="J914" s="283"/>
      <c r="K914" s="283"/>
      <c r="L914" s="283"/>
      <c r="M914" s="283"/>
      <c r="N914" s="283"/>
      <c r="O914" s="283"/>
      <c r="P914" s="283"/>
      <c r="Q914" s="283"/>
      <c r="R914" s="283"/>
      <c r="S914" s="283"/>
      <c r="T914" s="283"/>
    </row>
    <row r="915">
      <c r="A915" s="300"/>
      <c r="B915" s="282"/>
      <c r="C915" s="283"/>
      <c r="D915" s="282"/>
      <c r="E915" s="283"/>
      <c r="F915" s="283"/>
      <c r="G915" s="284"/>
      <c r="H915" s="284"/>
      <c r="I915" s="283"/>
      <c r="J915" s="283"/>
      <c r="K915" s="283"/>
      <c r="L915" s="283"/>
      <c r="M915" s="283"/>
      <c r="N915" s="283"/>
      <c r="O915" s="283"/>
      <c r="P915" s="283"/>
      <c r="Q915" s="283"/>
      <c r="R915" s="283"/>
      <c r="S915" s="283"/>
      <c r="T915" s="283"/>
    </row>
    <row r="916">
      <c r="A916" s="300"/>
      <c r="B916" s="282"/>
      <c r="C916" s="283"/>
      <c r="D916" s="282"/>
      <c r="E916" s="283"/>
      <c r="F916" s="283"/>
      <c r="G916" s="284"/>
      <c r="H916" s="284"/>
      <c r="I916" s="283"/>
      <c r="J916" s="283"/>
      <c r="K916" s="283"/>
      <c r="L916" s="283"/>
      <c r="M916" s="283"/>
      <c r="N916" s="283"/>
      <c r="O916" s="283"/>
      <c r="P916" s="283"/>
      <c r="Q916" s="283"/>
      <c r="R916" s="283"/>
      <c r="S916" s="283"/>
      <c r="T916" s="283"/>
    </row>
    <row r="917">
      <c r="A917" s="300"/>
      <c r="B917" s="282"/>
      <c r="C917" s="283"/>
      <c r="D917" s="282"/>
      <c r="E917" s="283"/>
      <c r="F917" s="283"/>
      <c r="G917" s="284"/>
      <c r="H917" s="284"/>
      <c r="I917" s="283"/>
      <c r="J917" s="283"/>
      <c r="K917" s="283"/>
      <c r="L917" s="283"/>
      <c r="M917" s="283"/>
      <c r="N917" s="283"/>
      <c r="O917" s="283"/>
      <c r="P917" s="283"/>
      <c r="Q917" s="283"/>
      <c r="R917" s="283"/>
      <c r="S917" s="283"/>
      <c r="T917" s="283"/>
    </row>
    <row r="918">
      <c r="A918" s="300"/>
      <c r="B918" s="282"/>
      <c r="C918" s="283"/>
      <c r="D918" s="282"/>
      <c r="E918" s="283"/>
      <c r="F918" s="283"/>
      <c r="G918" s="284"/>
      <c r="H918" s="284"/>
      <c r="I918" s="283"/>
      <c r="J918" s="283"/>
      <c r="K918" s="283"/>
      <c r="L918" s="283"/>
      <c r="M918" s="283"/>
      <c r="N918" s="283"/>
      <c r="O918" s="283"/>
      <c r="P918" s="283"/>
      <c r="Q918" s="283"/>
      <c r="R918" s="283"/>
      <c r="S918" s="283"/>
      <c r="T918" s="283"/>
    </row>
    <row r="919">
      <c r="A919" s="300"/>
      <c r="B919" s="282"/>
      <c r="C919" s="283"/>
      <c r="D919" s="282"/>
      <c r="E919" s="283"/>
      <c r="F919" s="283"/>
      <c r="G919" s="284"/>
      <c r="H919" s="284"/>
      <c r="I919" s="283"/>
      <c r="J919" s="283"/>
      <c r="K919" s="283"/>
      <c r="L919" s="283"/>
      <c r="M919" s="283"/>
      <c r="N919" s="283"/>
      <c r="O919" s="283"/>
      <c r="P919" s="283"/>
      <c r="Q919" s="283"/>
      <c r="R919" s="283"/>
      <c r="S919" s="283"/>
      <c r="T919" s="283"/>
    </row>
    <row r="920">
      <c r="A920" s="300"/>
      <c r="B920" s="282"/>
      <c r="C920" s="283"/>
      <c r="D920" s="282"/>
      <c r="E920" s="283"/>
      <c r="F920" s="283"/>
      <c r="G920" s="284"/>
      <c r="H920" s="284"/>
      <c r="I920" s="283"/>
      <c r="J920" s="283"/>
      <c r="K920" s="283"/>
      <c r="L920" s="283"/>
      <c r="M920" s="283"/>
      <c r="N920" s="283"/>
      <c r="O920" s="283"/>
      <c r="P920" s="283"/>
      <c r="Q920" s="283"/>
      <c r="R920" s="283"/>
      <c r="S920" s="283"/>
      <c r="T920" s="283"/>
    </row>
    <row r="921">
      <c r="A921" s="300"/>
      <c r="B921" s="282"/>
      <c r="C921" s="283"/>
      <c r="D921" s="282"/>
      <c r="E921" s="283"/>
      <c r="F921" s="283"/>
      <c r="G921" s="284"/>
      <c r="H921" s="284"/>
      <c r="I921" s="283"/>
      <c r="J921" s="283"/>
      <c r="K921" s="283"/>
      <c r="L921" s="283"/>
      <c r="M921" s="283"/>
      <c r="N921" s="283"/>
      <c r="O921" s="283"/>
      <c r="P921" s="283"/>
      <c r="Q921" s="283"/>
      <c r="R921" s="283"/>
      <c r="S921" s="283"/>
      <c r="T921" s="283"/>
    </row>
    <row r="922">
      <c r="A922" s="300"/>
      <c r="B922" s="282"/>
      <c r="C922" s="283"/>
      <c r="D922" s="282"/>
      <c r="E922" s="283"/>
      <c r="F922" s="283"/>
      <c r="G922" s="284"/>
      <c r="H922" s="284"/>
      <c r="I922" s="283"/>
      <c r="J922" s="283"/>
      <c r="K922" s="283"/>
      <c r="L922" s="283"/>
      <c r="M922" s="283"/>
      <c r="N922" s="283"/>
      <c r="O922" s="283"/>
      <c r="P922" s="283"/>
      <c r="Q922" s="283"/>
      <c r="R922" s="283"/>
      <c r="S922" s="283"/>
      <c r="T922" s="283"/>
    </row>
    <row r="923">
      <c r="A923" s="300"/>
      <c r="B923" s="282"/>
      <c r="C923" s="283"/>
      <c r="D923" s="282"/>
      <c r="E923" s="283"/>
      <c r="F923" s="283"/>
      <c r="G923" s="284"/>
      <c r="H923" s="284"/>
      <c r="I923" s="283"/>
      <c r="J923" s="283"/>
      <c r="K923" s="283"/>
      <c r="L923" s="283"/>
      <c r="M923" s="283"/>
      <c r="N923" s="283"/>
      <c r="O923" s="283"/>
      <c r="P923" s="283"/>
      <c r="Q923" s="283"/>
      <c r="R923" s="283"/>
      <c r="S923" s="283"/>
      <c r="T923" s="283"/>
    </row>
    <row r="924">
      <c r="A924" s="300"/>
      <c r="B924" s="282"/>
      <c r="C924" s="283"/>
      <c r="D924" s="282"/>
      <c r="E924" s="283"/>
      <c r="F924" s="283"/>
      <c r="G924" s="284"/>
      <c r="H924" s="284"/>
      <c r="I924" s="283"/>
      <c r="J924" s="283"/>
      <c r="K924" s="283"/>
      <c r="L924" s="283"/>
      <c r="M924" s="283"/>
      <c r="N924" s="283"/>
      <c r="O924" s="283"/>
      <c r="P924" s="283"/>
      <c r="Q924" s="283"/>
      <c r="R924" s="283"/>
      <c r="S924" s="283"/>
      <c r="T924" s="283"/>
    </row>
    <row r="925">
      <c r="A925" s="300"/>
      <c r="B925" s="282"/>
      <c r="C925" s="283"/>
      <c r="D925" s="282"/>
      <c r="E925" s="283"/>
      <c r="F925" s="283"/>
      <c r="G925" s="284"/>
      <c r="H925" s="284"/>
      <c r="I925" s="283"/>
      <c r="J925" s="283"/>
      <c r="K925" s="283"/>
      <c r="L925" s="283"/>
      <c r="M925" s="283"/>
      <c r="N925" s="283"/>
      <c r="O925" s="283"/>
      <c r="P925" s="283"/>
      <c r="Q925" s="283"/>
      <c r="R925" s="283"/>
      <c r="S925" s="283"/>
      <c r="T925" s="283"/>
    </row>
    <row r="926">
      <c r="A926" s="300"/>
      <c r="B926" s="282"/>
      <c r="C926" s="283"/>
      <c r="D926" s="282"/>
      <c r="E926" s="283"/>
      <c r="F926" s="283"/>
      <c r="G926" s="284"/>
      <c r="H926" s="284"/>
      <c r="I926" s="283"/>
      <c r="J926" s="283"/>
      <c r="K926" s="283"/>
      <c r="L926" s="283"/>
      <c r="M926" s="283"/>
      <c r="N926" s="283"/>
      <c r="O926" s="283"/>
      <c r="P926" s="283"/>
      <c r="Q926" s="283"/>
      <c r="R926" s="283"/>
      <c r="S926" s="283"/>
      <c r="T926" s="283"/>
    </row>
    <row r="927">
      <c r="A927" s="300"/>
      <c r="B927" s="282"/>
      <c r="C927" s="283"/>
      <c r="D927" s="282"/>
      <c r="E927" s="283"/>
      <c r="F927" s="283"/>
      <c r="G927" s="284"/>
      <c r="H927" s="284"/>
      <c r="I927" s="283"/>
      <c r="J927" s="283"/>
      <c r="K927" s="283"/>
      <c r="L927" s="283"/>
      <c r="M927" s="283"/>
      <c r="N927" s="283"/>
      <c r="O927" s="283"/>
      <c r="P927" s="283"/>
      <c r="Q927" s="283"/>
      <c r="R927" s="283"/>
      <c r="S927" s="283"/>
      <c r="T927" s="283"/>
    </row>
    <row r="928">
      <c r="A928" s="300"/>
      <c r="B928" s="282"/>
      <c r="C928" s="283"/>
      <c r="D928" s="282"/>
      <c r="E928" s="283"/>
      <c r="F928" s="283"/>
      <c r="G928" s="284"/>
      <c r="H928" s="284"/>
      <c r="I928" s="283"/>
      <c r="J928" s="283"/>
      <c r="K928" s="283"/>
      <c r="L928" s="283"/>
      <c r="M928" s="283"/>
      <c r="N928" s="283"/>
      <c r="O928" s="283"/>
      <c r="P928" s="283"/>
      <c r="Q928" s="283"/>
      <c r="R928" s="283"/>
      <c r="S928" s="283"/>
      <c r="T928" s="283"/>
    </row>
    <row r="929">
      <c r="A929" s="300"/>
      <c r="B929" s="282"/>
      <c r="C929" s="283"/>
      <c r="D929" s="282"/>
      <c r="E929" s="283"/>
      <c r="F929" s="283"/>
      <c r="G929" s="284"/>
      <c r="H929" s="284"/>
      <c r="I929" s="283"/>
      <c r="J929" s="283"/>
      <c r="K929" s="283"/>
      <c r="L929" s="283"/>
      <c r="M929" s="283"/>
      <c r="N929" s="283"/>
      <c r="O929" s="283"/>
      <c r="P929" s="283"/>
      <c r="Q929" s="283"/>
      <c r="R929" s="283"/>
      <c r="S929" s="283"/>
      <c r="T929" s="283"/>
    </row>
    <row r="930">
      <c r="A930" s="300"/>
      <c r="B930" s="282"/>
      <c r="C930" s="283"/>
      <c r="D930" s="282"/>
      <c r="E930" s="283"/>
      <c r="F930" s="283"/>
      <c r="G930" s="284"/>
      <c r="H930" s="284"/>
      <c r="I930" s="283"/>
      <c r="J930" s="283"/>
      <c r="K930" s="283"/>
      <c r="L930" s="283"/>
      <c r="M930" s="283"/>
      <c r="N930" s="283"/>
      <c r="O930" s="283"/>
      <c r="P930" s="283"/>
      <c r="Q930" s="283"/>
      <c r="R930" s="283"/>
      <c r="S930" s="283"/>
      <c r="T930" s="283"/>
    </row>
    <row r="931">
      <c r="A931" s="300"/>
      <c r="B931" s="282"/>
      <c r="C931" s="283"/>
      <c r="D931" s="282"/>
      <c r="E931" s="283"/>
      <c r="F931" s="283"/>
      <c r="G931" s="284"/>
      <c r="H931" s="284"/>
      <c r="I931" s="283"/>
      <c r="J931" s="283"/>
      <c r="K931" s="283"/>
      <c r="L931" s="283"/>
      <c r="M931" s="283"/>
      <c r="N931" s="283"/>
      <c r="O931" s="283"/>
      <c r="P931" s="283"/>
      <c r="Q931" s="283"/>
      <c r="R931" s="283"/>
      <c r="S931" s="283"/>
      <c r="T931" s="283"/>
    </row>
    <row r="932">
      <c r="A932" s="300"/>
      <c r="B932" s="282"/>
      <c r="C932" s="283"/>
      <c r="D932" s="282"/>
      <c r="E932" s="283"/>
      <c r="F932" s="283"/>
      <c r="G932" s="284"/>
      <c r="H932" s="284"/>
      <c r="I932" s="283"/>
      <c r="J932" s="283"/>
      <c r="K932" s="283"/>
      <c r="L932" s="283"/>
      <c r="M932" s="283"/>
      <c r="N932" s="283"/>
      <c r="O932" s="283"/>
      <c r="P932" s="283"/>
      <c r="Q932" s="283"/>
      <c r="R932" s="283"/>
      <c r="S932" s="283"/>
      <c r="T932" s="283"/>
    </row>
    <row r="933">
      <c r="A933" s="300"/>
      <c r="B933" s="282"/>
      <c r="C933" s="283"/>
      <c r="D933" s="282"/>
      <c r="E933" s="283"/>
      <c r="F933" s="283"/>
      <c r="G933" s="284"/>
      <c r="H933" s="284"/>
      <c r="I933" s="283"/>
      <c r="J933" s="283"/>
      <c r="K933" s="283"/>
      <c r="L933" s="283"/>
      <c r="M933" s="283"/>
      <c r="N933" s="283"/>
      <c r="O933" s="283"/>
      <c r="P933" s="283"/>
      <c r="Q933" s="283"/>
      <c r="R933" s="283"/>
      <c r="S933" s="283"/>
      <c r="T933" s="283"/>
    </row>
    <row r="934">
      <c r="A934" s="300"/>
      <c r="B934" s="282"/>
      <c r="C934" s="283"/>
      <c r="D934" s="282"/>
      <c r="E934" s="283"/>
      <c r="F934" s="283"/>
      <c r="G934" s="284"/>
      <c r="H934" s="284"/>
      <c r="I934" s="283"/>
      <c r="J934" s="283"/>
      <c r="K934" s="283"/>
      <c r="L934" s="283"/>
      <c r="M934" s="283"/>
      <c r="N934" s="283"/>
      <c r="O934" s="283"/>
      <c r="P934" s="283"/>
      <c r="Q934" s="283"/>
      <c r="R934" s="283"/>
      <c r="S934" s="283"/>
      <c r="T934" s="283"/>
    </row>
    <row r="935">
      <c r="A935" s="300"/>
      <c r="B935" s="282"/>
      <c r="C935" s="283"/>
      <c r="D935" s="282"/>
      <c r="E935" s="283"/>
      <c r="F935" s="283"/>
      <c r="G935" s="284"/>
      <c r="H935" s="284"/>
      <c r="I935" s="283"/>
      <c r="J935" s="283"/>
      <c r="K935" s="283"/>
      <c r="L935" s="283"/>
      <c r="M935" s="283"/>
      <c r="N935" s="283"/>
      <c r="O935" s="283"/>
      <c r="P935" s="283"/>
      <c r="Q935" s="283"/>
      <c r="R935" s="283"/>
      <c r="S935" s="283"/>
      <c r="T935" s="283"/>
    </row>
    <row r="936">
      <c r="A936" s="300"/>
      <c r="B936" s="282"/>
      <c r="C936" s="283"/>
      <c r="D936" s="282"/>
      <c r="E936" s="283"/>
      <c r="F936" s="283"/>
      <c r="G936" s="284"/>
      <c r="H936" s="284"/>
      <c r="I936" s="283"/>
      <c r="J936" s="283"/>
      <c r="K936" s="283"/>
      <c r="L936" s="283"/>
      <c r="M936" s="283"/>
      <c r="N936" s="283"/>
      <c r="O936" s="283"/>
      <c r="P936" s="283"/>
      <c r="Q936" s="283"/>
      <c r="R936" s="283"/>
      <c r="S936" s="283"/>
      <c r="T936" s="283"/>
    </row>
    <row r="937">
      <c r="A937" s="300"/>
      <c r="B937" s="282"/>
      <c r="C937" s="283"/>
      <c r="D937" s="282"/>
      <c r="E937" s="283"/>
      <c r="F937" s="283"/>
      <c r="G937" s="284"/>
      <c r="H937" s="284"/>
      <c r="I937" s="283"/>
      <c r="J937" s="283"/>
      <c r="K937" s="283"/>
      <c r="L937" s="283"/>
      <c r="M937" s="283"/>
      <c r="N937" s="283"/>
      <c r="O937" s="283"/>
      <c r="P937" s="283"/>
      <c r="Q937" s="283"/>
      <c r="R937" s="283"/>
      <c r="S937" s="283"/>
      <c r="T937" s="283"/>
    </row>
    <row r="938">
      <c r="A938" s="300"/>
      <c r="B938" s="282"/>
      <c r="C938" s="283"/>
      <c r="D938" s="282"/>
      <c r="E938" s="283"/>
      <c r="F938" s="283"/>
      <c r="G938" s="284"/>
      <c r="H938" s="284"/>
      <c r="I938" s="283"/>
      <c r="J938" s="283"/>
      <c r="K938" s="283"/>
      <c r="L938" s="283"/>
      <c r="M938" s="283"/>
      <c r="N938" s="283"/>
      <c r="O938" s="283"/>
      <c r="P938" s="283"/>
      <c r="Q938" s="283"/>
      <c r="R938" s="283"/>
      <c r="S938" s="283"/>
      <c r="T938" s="283"/>
    </row>
    <row r="939">
      <c r="A939" s="300"/>
      <c r="B939" s="282"/>
      <c r="C939" s="283"/>
      <c r="D939" s="282"/>
      <c r="E939" s="283"/>
      <c r="F939" s="283"/>
      <c r="G939" s="284"/>
      <c r="H939" s="284"/>
      <c r="I939" s="283"/>
      <c r="J939" s="283"/>
      <c r="K939" s="283"/>
      <c r="L939" s="283"/>
      <c r="M939" s="283"/>
      <c r="N939" s="283"/>
      <c r="O939" s="283"/>
      <c r="P939" s="283"/>
      <c r="Q939" s="283"/>
      <c r="R939" s="283"/>
      <c r="S939" s="283"/>
      <c r="T939" s="283"/>
    </row>
    <row r="940">
      <c r="A940" s="300"/>
      <c r="B940" s="282"/>
      <c r="C940" s="283"/>
      <c r="D940" s="282"/>
      <c r="E940" s="283"/>
      <c r="F940" s="283"/>
      <c r="G940" s="284"/>
      <c r="H940" s="284"/>
      <c r="I940" s="283"/>
      <c r="J940" s="283"/>
      <c r="K940" s="283"/>
      <c r="L940" s="283"/>
      <c r="M940" s="283"/>
      <c r="N940" s="283"/>
      <c r="O940" s="283"/>
      <c r="P940" s="283"/>
      <c r="Q940" s="283"/>
      <c r="R940" s="283"/>
      <c r="S940" s="283"/>
      <c r="T940" s="283"/>
    </row>
    <row r="941">
      <c r="A941" s="300"/>
      <c r="B941" s="282"/>
      <c r="C941" s="283"/>
      <c r="D941" s="282"/>
      <c r="E941" s="283"/>
      <c r="F941" s="283"/>
      <c r="G941" s="284"/>
      <c r="H941" s="284"/>
      <c r="I941" s="283"/>
      <c r="J941" s="283"/>
      <c r="K941" s="283"/>
      <c r="L941" s="283"/>
      <c r="M941" s="283"/>
      <c r="N941" s="283"/>
      <c r="O941" s="283"/>
      <c r="P941" s="283"/>
      <c r="Q941" s="283"/>
      <c r="R941" s="283"/>
      <c r="S941" s="283"/>
      <c r="T941" s="283"/>
    </row>
    <row r="942">
      <c r="A942" s="300"/>
      <c r="B942" s="282"/>
      <c r="C942" s="283"/>
      <c r="D942" s="282"/>
      <c r="E942" s="283"/>
      <c r="F942" s="283"/>
      <c r="G942" s="284"/>
      <c r="H942" s="284"/>
      <c r="I942" s="283"/>
      <c r="J942" s="283"/>
      <c r="K942" s="283"/>
      <c r="L942" s="283"/>
      <c r="M942" s="283"/>
      <c r="N942" s="283"/>
      <c r="O942" s="283"/>
      <c r="P942" s="283"/>
      <c r="Q942" s="283"/>
      <c r="R942" s="283"/>
      <c r="S942" s="283"/>
      <c r="T942" s="283"/>
    </row>
    <row r="943">
      <c r="A943" s="300"/>
      <c r="B943" s="282"/>
      <c r="C943" s="283"/>
      <c r="D943" s="282"/>
      <c r="E943" s="283"/>
      <c r="F943" s="283"/>
      <c r="G943" s="284"/>
      <c r="H943" s="284"/>
      <c r="I943" s="283"/>
      <c r="J943" s="283"/>
      <c r="K943" s="283"/>
      <c r="L943" s="283"/>
      <c r="M943" s="283"/>
      <c r="N943" s="283"/>
      <c r="O943" s="283"/>
      <c r="P943" s="283"/>
      <c r="Q943" s="283"/>
      <c r="R943" s="283"/>
      <c r="S943" s="283"/>
      <c r="T943" s="283"/>
    </row>
    <row r="944">
      <c r="A944" s="300"/>
      <c r="B944" s="282"/>
      <c r="C944" s="283"/>
      <c r="D944" s="282"/>
      <c r="E944" s="283"/>
      <c r="F944" s="283"/>
      <c r="G944" s="284"/>
      <c r="H944" s="284"/>
      <c r="I944" s="283"/>
      <c r="J944" s="283"/>
      <c r="K944" s="283"/>
      <c r="L944" s="283"/>
      <c r="M944" s="283"/>
      <c r="N944" s="283"/>
      <c r="O944" s="283"/>
      <c r="P944" s="283"/>
      <c r="Q944" s="283"/>
      <c r="R944" s="283"/>
      <c r="S944" s="283"/>
      <c r="T944" s="283"/>
    </row>
    <row r="945">
      <c r="A945" s="300"/>
      <c r="B945" s="282"/>
      <c r="C945" s="283"/>
      <c r="D945" s="282"/>
      <c r="E945" s="283"/>
      <c r="F945" s="283"/>
      <c r="G945" s="284"/>
      <c r="H945" s="284"/>
      <c r="I945" s="283"/>
      <c r="J945" s="283"/>
      <c r="K945" s="283"/>
      <c r="L945" s="283"/>
      <c r="M945" s="283"/>
      <c r="N945" s="283"/>
      <c r="O945" s="283"/>
      <c r="P945" s="283"/>
      <c r="Q945" s="283"/>
      <c r="R945" s="283"/>
      <c r="S945" s="283"/>
      <c r="T945" s="283"/>
    </row>
    <row r="946">
      <c r="A946" s="300"/>
      <c r="B946" s="282"/>
      <c r="C946" s="283"/>
      <c r="D946" s="282"/>
      <c r="E946" s="283"/>
      <c r="F946" s="283"/>
      <c r="G946" s="284"/>
      <c r="H946" s="284"/>
      <c r="I946" s="283"/>
      <c r="J946" s="283"/>
      <c r="K946" s="283"/>
      <c r="L946" s="283"/>
      <c r="M946" s="283"/>
      <c r="N946" s="283"/>
      <c r="O946" s="283"/>
      <c r="P946" s="283"/>
      <c r="Q946" s="283"/>
      <c r="R946" s="283"/>
      <c r="S946" s="283"/>
      <c r="T946" s="283"/>
    </row>
    <row r="947">
      <c r="A947" s="300"/>
      <c r="B947" s="282"/>
      <c r="C947" s="283"/>
      <c r="D947" s="282"/>
      <c r="E947" s="283"/>
      <c r="F947" s="283"/>
      <c r="G947" s="284"/>
      <c r="H947" s="284"/>
      <c r="I947" s="283"/>
      <c r="J947" s="283"/>
      <c r="K947" s="283"/>
      <c r="L947" s="283"/>
      <c r="M947" s="283"/>
      <c r="N947" s="283"/>
      <c r="O947" s="283"/>
      <c r="P947" s="283"/>
      <c r="Q947" s="283"/>
      <c r="R947" s="283"/>
      <c r="S947" s="283"/>
      <c r="T947" s="283"/>
    </row>
    <row r="948">
      <c r="A948" s="300"/>
      <c r="B948" s="282"/>
      <c r="C948" s="283"/>
      <c r="D948" s="282"/>
      <c r="E948" s="283"/>
      <c r="F948" s="283"/>
      <c r="G948" s="284"/>
      <c r="H948" s="284"/>
      <c r="I948" s="283"/>
      <c r="J948" s="283"/>
      <c r="K948" s="283"/>
      <c r="L948" s="283"/>
      <c r="M948" s="283"/>
      <c r="N948" s="283"/>
      <c r="O948" s="283"/>
      <c r="P948" s="283"/>
      <c r="Q948" s="283"/>
      <c r="R948" s="283"/>
      <c r="S948" s="283"/>
      <c r="T948" s="283"/>
    </row>
    <row r="949">
      <c r="A949" s="300"/>
      <c r="B949" s="282"/>
      <c r="C949" s="283"/>
      <c r="D949" s="282"/>
      <c r="E949" s="283"/>
      <c r="F949" s="283"/>
      <c r="G949" s="284"/>
      <c r="H949" s="284"/>
      <c r="I949" s="283"/>
      <c r="J949" s="283"/>
      <c r="K949" s="283"/>
      <c r="L949" s="283"/>
      <c r="M949" s="283"/>
      <c r="N949" s="283"/>
      <c r="O949" s="283"/>
      <c r="P949" s="283"/>
      <c r="Q949" s="283"/>
      <c r="R949" s="283"/>
      <c r="S949" s="283"/>
      <c r="T949" s="283"/>
    </row>
    <row r="950">
      <c r="A950" s="300"/>
      <c r="B950" s="282"/>
      <c r="C950" s="283"/>
      <c r="D950" s="282"/>
      <c r="E950" s="283"/>
      <c r="F950" s="283"/>
      <c r="G950" s="284"/>
      <c r="H950" s="284"/>
      <c r="I950" s="283"/>
      <c r="J950" s="283"/>
      <c r="K950" s="283"/>
      <c r="L950" s="283"/>
      <c r="M950" s="283"/>
      <c r="N950" s="283"/>
      <c r="O950" s="283"/>
      <c r="P950" s="283"/>
      <c r="Q950" s="283"/>
      <c r="R950" s="283"/>
      <c r="S950" s="283"/>
      <c r="T950" s="283"/>
    </row>
    <row r="951">
      <c r="A951" s="300"/>
      <c r="B951" s="282"/>
      <c r="C951" s="283"/>
      <c r="D951" s="282"/>
      <c r="E951" s="283"/>
      <c r="F951" s="283"/>
      <c r="G951" s="284"/>
      <c r="H951" s="284"/>
      <c r="I951" s="283"/>
      <c r="J951" s="283"/>
      <c r="K951" s="283"/>
      <c r="L951" s="283"/>
      <c r="M951" s="283"/>
      <c r="N951" s="283"/>
      <c r="O951" s="283"/>
      <c r="P951" s="283"/>
      <c r="Q951" s="283"/>
      <c r="R951" s="283"/>
      <c r="S951" s="283"/>
      <c r="T951" s="283"/>
    </row>
    <row r="952">
      <c r="A952" s="300"/>
      <c r="B952" s="282"/>
      <c r="C952" s="283"/>
      <c r="D952" s="282"/>
      <c r="E952" s="283"/>
      <c r="F952" s="283"/>
      <c r="G952" s="284"/>
      <c r="H952" s="284"/>
      <c r="I952" s="283"/>
      <c r="J952" s="283"/>
      <c r="K952" s="283"/>
      <c r="L952" s="283"/>
      <c r="M952" s="283"/>
      <c r="N952" s="283"/>
      <c r="O952" s="283"/>
      <c r="P952" s="283"/>
      <c r="Q952" s="283"/>
      <c r="R952" s="283"/>
      <c r="S952" s="283"/>
      <c r="T952" s="283"/>
    </row>
    <row r="953">
      <c r="A953" s="300"/>
      <c r="B953" s="282"/>
      <c r="C953" s="283"/>
      <c r="D953" s="282"/>
      <c r="E953" s="283"/>
      <c r="F953" s="283"/>
      <c r="G953" s="284"/>
      <c r="H953" s="284"/>
      <c r="I953" s="283"/>
      <c r="J953" s="283"/>
      <c r="K953" s="283"/>
      <c r="L953" s="283"/>
      <c r="M953" s="283"/>
      <c r="N953" s="283"/>
      <c r="O953" s="283"/>
      <c r="P953" s="283"/>
      <c r="Q953" s="283"/>
      <c r="R953" s="283"/>
      <c r="S953" s="283"/>
      <c r="T953" s="283"/>
    </row>
    <row r="954">
      <c r="A954" s="300"/>
      <c r="B954" s="282"/>
      <c r="C954" s="283"/>
      <c r="D954" s="282"/>
      <c r="E954" s="283"/>
      <c r="F954" s="283"/>
      <c r="G954" s="284"/>
      <c r="H954" s="284"/>
      <c r="I954" s="283"/>
      <c r="J954" s="283"/>
      <c r="K954" s="283"/>
      <c r="L954" s="283"/>
      <c r="M954" s="283"/>
      <c r="N954" s="283"/>
      <c r="O954" s="283"/>
      <c r="P954" s="283"/>
      <c r="Q954" s="283"/>
      <c r="R954" s="283"/>
      <c r="S954" s="283"/>
      <c r="T954" s="283"/>
    </row>
    <row r="955">
      <c r="A955" s="300"/>
      <c r="B955" s="282"/>
      <c r="C955" s="283"/>
      <c r="D955" s="282"/>
      <c r="E955" s="283"/>
      <c r="F955" s="283"/>
      <c r="G955" s="284"/>
      <c r="H955" s="284"/>
      <c r="I955" s="283"/>
      <c r="J955" s="283"/>
      <c r="K955" s="283"/>
      <c r="L955" s="283"/>
      <c r="M955" s="283"/>
      <c r="N955" s="283"/>
      <c r="O955" s="283"/>
      <c r="P955" s="283"/>
      <c r="Q955" s="283"/>
      <c r="R955" s="283"/>
      <c r="S955" s="283"/>
      <c r="T955" s="283"/>
    </row>
    <row r="956">
      <c r="A956" s="300"/>
      <c r="B956" s="282"/>
      <c r="C956" s="283"/>
      <c r="D956" s="282"/>
      <c r="E956" s="283"/>
      <c r="F956" s="283"/>
      <c r="G956" s="284"/>
      <c r="H956" s="284"/>
      <c r="I956" s="283"/>
      <c r="J956" s="283"/>
      <c r="K956" s="283"/>
      <c r="L956" s="283"/>
      <c r="M956" s="283"/>
      <c r="N956" s="283"/>
      <c r="O956" s="283"/>
      <c r="P956" s="283"/>
      <c r="Q956" s="283"/>
      <c r="R956" s="283"/>
      <c r="S956" s="283"/>
      <c r="T956" s="283"/>
    </row>
    <row r="957">
      <c r="A957" s="300"/>
      <c r="B957" s="282"/>
      <c r="C957" s="283"/>
      <c r="D957" s="282"/>
      <c r="E957" s="283"/>
      <c r="F957" s="283"/>
      <c r="G957" s="284"/>
      <c r="H957" s="284"/>
      <c r="I957" s="283"/>
      <c r="J957" s="283"/>
      <c r="K957" s="283"/>
      <c r="L957" s="283"/>
      <c r="M957" s="283"/>
      <c r="N957" s="283"/>
      <c r="O957" s="283"/>
      <c r="P957" s="283"/>
      <c r="Q957" s="283"/>
      <c r="R957" s="283"/>
      <c r="S957" s="283"/>
      <c r="T957" s="283"/>
    </row>
    <row r="958">
      <c r="A958" s="300"/>
      <c r="B958" s="282"/>
      <c r="C958" s="283"/>
      <c r="D958" s="282"/>
      <c r="E958" s="283"/>
      <c r="F958" s="283"/>
      <c r="G958" s="284"/>
      <c r="H958" s="284"/>
      <c r="I958" s="283"/>
      <c r="J958" s="283"/>
      <c r="K958" s="283"/>
      <c r="L958" s="283"/>
      <c r="M958" s="283"/>
      <c r="N958" s="283"/>
      <c r="O958" s="283"/>
      <c r="P958" s="283"/>
      <c r="Q958" s="283"/>
      <c r="R958" s="283"/>
      <c r="S958" s="283"/>
      <c r="T958" s="283"/>
    </row>
    <row r="959">
      <c r="A959" s="300"/>
      <c r="B959" s="282"/>
      <c r="C959" s="283"/>
      <c r="D959" s="282"/>
      <c r="E959" s="283"/>
      <c r="F959" s="283"/>
      <c r="G959" s="284"/>
      <c r="H959" s="284"/>
      <c r="I959" s="283"/>
      <c r="J959" s="283"/>
      <c r="K959" s="283"/>
      <c r="L959" s="283"/>
      <c r="M959" s="283"/>
      <c r="N959" s="283"/>
      <c r="O959" s="283"/>
      <c r="P959" s="283"/>
      <c r="Q959" s="283"/>
      <c r="R959" s="283"/>
      <c r="S959" s="283"/>
      <c r="T959" s="283"/>
    </row>
    <row r="960">
      <c r="A960" s="300"/>
      <c r="B960" s="282"/>
      <c r="C960" s="283"/>
      <c r="D960" s="282"/>
      <c r="E960" s="283"/>
      <c r="F960" s="283"/>
      <c r="G960" s="284"/>
      <c r="H960" s="284"/>
      <c r="I960" s="283"/>
      <c r="J960" s="283"/>
      <c r="K960" s="283"/>
      <c r="L960" s="283"/>
      <c r="M960" s="283"/>
      <c r="N960" s="283"/>
      <c r="O960" s="283"/>
      <c r="P960" s="283"/>
      <c r="Q960" s="283"/>
      <c r="R960" s="283"/>
      <c r="S960" s="283"/>
      <c r="T960" s="283"/>
    </row>
    <row r="961">
      <c r="A961" s="300"/>
      <c r="B961" s="282"/>
      <c r="C961" s="283"/>
      <c r="D961" s="282"/>
      <c r="E961" s="283"/>
      <c r="F961" s="283"/>
      <c r="G961" s="284"/>
      <c r="H961" s="284"/>
      <c r="I961" s="283"/>
      <c r="J961" s="283"/>
      <c r="K961" s="283"/>
      <c r="L961" s="283"/>
      <c r="M961" s="283"/>
      <c r="N961" s="283"/>
      <c r="O961" s="283"/>
      <c r="P961" s="283"/>
      <c r="Q961" s="283"/>
      <c r="R961" s="283"/>
      <c r="S961" s="283"/>
      <c r="T961" s="283"/>
    </row>
    <row r="962">
      <c r="A962" s="300"/>
      <c r="B962" s="282"/>
      <c r="C962" s="283"/>
      <c r="D962" s="282"/>
      <c r="E962" s="283"/>
      <c r="F962" s="283"/>
      <c r="G962" s="284"/>
      <c r="H962" s="284"/>
      <c r="I962" s="283"/>
      <c r="J962" s="283"/>
      <c r="K962" s="283"/>
      <c r="L962" s="283"/>
      <c r="M962" s="283"/>
      <c r="N962" s="283"/>
      <c r="O962" s="283"/>
      <c r="P962" s="283"/>
      <c r="Q962" s="283"/>
      <c r="R962" s="283"/>
      <c r="S962" s="283"/>
      <c r="T962" s="283"/>
    </row>
    <row r="963">
      <c r="A963" s="300"/>
      <c r="B963" s="282"/>
      <c r="C963" s="283"/>
      <c r="D963" s="282"/>
      <c r="E963" s="283"/>
      <c r="F963" s="283"/>
      <c r="G963" s="284"/>
      <c r="H963" s="284"/>
      <c r="I963" s="283"/>
      <c r="J963" s="283"/>
      <c r="K963" s="283"/>
      <c r="L963" s="283"/>
      <c r="M963" s="283"/>
      <c r="N963" s="283"/>
      <c r="O963" s="283"/>
      <c r="P963" s="283"/>
      <c r="Q963" s="283"/>
      <c r="R963" s="283"/>
      <c r="S963" s="283"/>
      <c r="T963" s="283"/>
    </row>
    <row r="964">
      <c r="A964" s="300"/>
      <c r="B964" s="282"/>
      <c r="C964" s="283"/>
      <c r="D964" s="282"/>
      <c r="E964" s="283"/>
      <c r="F964" s="283"/>
      <c r="G964" s="284"/>
      <c r="H964" s="284"/>
      <c r="I964" s="283"/>
      <c r="J964" s="283"/>
      <c r="K964" s="283"/>
      <c r="L964" s="283"/>
      <c r="M964" s="283"/>
      <c r="N964" s="283"/>
      <c r="O964" s="283"/>
      <c r="P964" s="283"/>
      <c r="Q964" s="283"/>
      <c r="R964" s="283"/>
      <c r="S964" s="283"/>
      <c r="T964" s="283"/>
    </row>
    <row r="965">
      <c r="A965" s="300"/>
      <c r="B965" s="282"/>
      <c r="C965" s="283"/>
      <c r="D965" s="282"/>
      <c r="E965" s="283"/>
      <c r="F965" s="283"/>
      <c r="G965" s="284"/>
      <c r="H965" s="284"/>
      <c r="I965" s="283"/>
      <c r="J965" s="283"/>
      <c r="K965" s="283"/>
      <c r="L965" s="283"/>
      <c r="M965" s="283"/>
      <c r="N965" s="283"/>
      <c r="O965" s="283"/>
      <c r="P965" s="283"/>
      <c r="Q965" s="283"/>
      <c r="R965" s="283"/>
      <c r="S965" s="283"/>
      <c r="T965" s="283"/>
    </row>
    <row r="966">
      <c r="A966" s="300"/>
      <c r="B966" s="282"/>
      <c r="C966" s="283"/>
      <c r="D966" s="282"/>
      <c r="E966" s="283"/>
      <c r="F966" s="283"/>
      <c r="G966" s="284"/>
      <c r="H966" s="284"/>
      <c r="I966" s="283"/>
      <c r="J966" s="283"/>
      <c r="K966" s="283"/>
      <c r="L966" s="283"/>
      <c r="M966" s="283"/>
      <c r="N966" s="283"/>
      <c r="O966" s="283"/>
      <c r="P966" s="283"/>
      <c r="Q966" s="283"/>
      <c r="R966" s="283"/>
      <c r="S966" s="283"/>
      <c r="T966" s="283"/>
    </row>
    <row r="967">
      <c r="A967" s="300"/>
      <c r="B967" s="282"/>
      <c r="C967" s="283"/>
      <c r="D967" s="282"/>
      <c r="E967" s="283"/>
      <c r="F967" s="283"/>
      <c r="G967" s="284"/>
      <c r="H967" s="284"/>
      <c r="I967" s="283"/>
      <c r="J967" s="283"/>
      <c r="K967" s="283"/>
      <c r="L967" s="283"/>
      <c r="M967" s="283"/>
      <c r="N967" s="283"/>
      <c r="O967" s="283"/>
      <c r="P967" s="283"/>
      <c r="Q967" s="283"/>
      <c r="R967" s="283"/>
      <c r="S967" s="283"/>
      <c r="T967" s="283"/>
    </row>
    <row r="968">
      <c r="A968" s="300"/>
      <c r="B968" s="282"/>
      <c r="C968" s="283"/>
      <c r="D968" s="282"/>
      <c r="E968" s="283"/>
      <c r="F968" s="283"/>
      <c r="G968" s="284"/>
      <c r="H968" s="284"/>
      <c r="I968" s="283"/>
      <c r="J968" s="283"/>
      <c r="K968" s="283"/>
      <c r="L968" s="283"/>
      <c r="M968" s="283"/>
      <c r="N968" s="283"/>
      <c r="O968" s="283"/>
      <c r="P968" s="283"/>
      <c r="Q968" s="283"/>
      <c r="R968" s="283"/>
      <c r="S968" s="283"/>
      <c r="T968" s="283"/>
    </row>
    <row r="969">
      <c r="A969" s="300"/>
      <c r="B969" s="282"/>
      <c r="C969" s="283"/>
      <c r="D969" s="282"/>
      <c r="E969" s="283"/>
      <c r="F969" s="283"/>
      <c r="G969" s="284"/>
      <c r="H969" s="284"/>
      <c r="I969" s="283"/>
      <c r="J969" s="283"/>
      <c r="K969" s="283"/>
      <c r="L969" s="283"/>
      <c r="M969" s="283"/>
      <c r="N969" s="283"/>
      <c r="O969" s="283"/>
      <c r="P969" s="283"/>
      <c r="Q969" s="283"/>
      <c r="R969" s="283"/>
      <c r="S969" s="283"/>
      <c r="T969" s="283"/>
    </row>
    <row r="970">
      <c r="A970" s="300"/>
      <c r="B970" s="282"/>
      <c r="C970" s="283"/>
      <c r="D970" s="282"/>
      <c r="E970" s="283"/>
      <c r="F970" s="283"/>
      <c r="G970" s="284"/>
      <c r="H970" s="284"/>
      <c r="I970" s="283"/>
      <c r="J970" s="283"/>
      <c r="K970" s="283"/>
      <c r="L970" s="283"/>
      <c r="M970" s="283"/>
      <c r="N970" s="283"/>
      <c r="O970" s="283"/>
      <c r="P970" s="283"/>
      <c r="Q970" s="283"/>
      <c r="R970" s="283"/>
      <c r="S970" s="283"/>
      <c r="T970" s="283"/>
    </row>
    <row r="971">
      <c r="A971" s="300"/>
      <c r="B971" s="282"/>
      <c r="C971" s="283"/>
      <c r="D971" s="282"/>
      <c r="E971" s="283"/>
      <c r="F971" s="283"/>
      <c r="G971" s="284"/>
      <c r="H971" s="284"/>
      <c r="I971" s="283"/>
      <c r="J971" s="283"/>
      <c r="K971" s="283"/>
      <c r="L971" s="283"/>
      <c r="M971" s="283"/>
      <c r="N971" s="283"/>
      <c r="O971" s="283"/>
      <c r="P971" s="283"/>
      <c r="Q971" s="283"/>
      <c r="R971" s="283"/>
      <c r="S971" s="283"/>
      <c r="T971" s="283"/>
    </row>
    <row r="972">
      <c r="A972" s="300"/>
      <c r="B972" s="282"/>
      <c r="C972" s="283"/>
      <c r="D972" s="282"/>
      <c r="E972" s="283"/>
      <c r="F972" s="283"/>
      <c r="G972" s="284"/>
      <c r="H972" s="284"/>
      <c r="I972" s="283"/>
      <c r="J972" s="283"/>
      <c r="K972" s="283"/>
      <c r="L972" s="283"/>
      <c r="M972" s="283"/>
      <c r="N972" s="283"/>
      <c r="O972" s="283"/>
      <c r="P972" s="283"/>
      <c r="Q972" s="283"/>
      <c r="R972" s="283"/>
      <c r="S972" s="283"/>
      <c r="T972" s="283"/>
    </row>
    <row r="973">
      <c r="A973" s="300"/>
      <c r="B973" s="282"/>
      <c r="C973" s="283"/>
      <c r="D973" s="282"/>
      <c r="E973" s="283"/>
      <c r="F973" s="283"/>
      <c r="G973" s="284"/>
      <c r="H973" s="284"/>
      <c r="I973" s="283"/>
      <c r="J973" s="283"/>
      <c r="K973" s="283"/>
      <c r="L973" s="283"/>
      <c r="M973" s="283"/>
      <c r="N973" s="283"/>
      <c r="O973" s="283"/>
      <c r="P973" s="283"/>
      <c r="Q973" s="283"/>
      <c r="R973" s="283"/>
      <c r="S973" s="283"/>
      <c r="T973" s="283"/>
    </row>
    <row r="974">
      <c r="A974" s="300"/>
      <c r="B974" s="282"/>
      <c r="C974" s="283"/>
      <c r="D974" s="282"/>
      <c r="E974" s="283"/>
      <c r="F974" s="283"/>
      <c r="G974" s="284"/>
      <c r="H974" s="284"/>
      <c r="I974" s="283"/>
      <c r="J974" s="283"/>
      <c r="K974" s="283"/>
      <c r="L974" s="283"/>
      <c r="M974" s="283"/>
      <c r="N974" s="283"/>
      <c r="O974" s="283"/>
      <c r="P974" s="283"/>
      <c r="Q974" s="283"/>
      <c r="R974" s="283"/>
      <c r="S974" s="283"/>
      <c r="T974" s="283"/>
    </row>
    <row r="975">
      <c r="A975" s="300"/>
      <c r="B975" s="282"/>
      <c r="C975" s="283"/>
      <c r="D975" s="282"/>
      <c r="E975" s="283"/>
      <c r="F975" s="283"/>
      <c r="G975" s="284"/>
      <c r="H975" s="284"/>
      <c r="I975" s="283"/>
      <c r="J975" s="283"/>
      <c r="K975" s="283"/>
      <c r="L975" s="283"/>
      <c r="M975" s="283"/>
      <c r="N975" s="283"/>
      <c r="O975" s="283"/>
      <c r="P975" s="283"/>
      <c r="Q975" s="283"/>
      <c r="R975" s="283"/>
      <c r="S975" s="283"/>
      <c r="T975" s="283"/>
    </row>
    <row r="976">
      <c r="A976" s="300"/>
      <c r="B976" s="282"/>
      <c r="C976" s="283"/>
      <c r="D976" s="282"/>
      <c r="E976" s="283"/>
      <c r="F976" s="283"/>
      <c r="G976" s="284"/>
      <c r="H976" s="284"/>
      <c r="I976" s="283"/>
      <c r="J976" s="283"/>
      <c r="K976" s="283"/>
      <c r="L976" s="283"/>
      <c r="M976" s="283"/>
      <c r="N976" s="283"/>
      <c r="O976" s="283"/>
      <c r="P976" s="283"/>
      <c r="Q976" s="283"/>
      <c r="R976" s="283"/>
      <c r="S976" s="283"/>
      <c r="T976" s="283"/>
    </row>
    <row r="977">
      <c r="A977" s="300"/>
      <c r="B977" s="282"/>
      <c r="C977" s="283"/>
      <c r="D977" s="282"/>
      <c r="E977" s="283"/>
      <c r="F977" s="283"/>
      <c r="G977" s="284"/>
      <c r="H977" s="284"/>
      <c r="I977" s="283"/>
      <c r="J977" s="283"/>
      <c r="K977" s="283"/>
      <c r="L977" s="283"/>
      <c r="M977" s="283"/>
      <c r="N977" s="283"/>
      <c r="O977" s="283"/>
      <c r="P977" s="283"/>
      <c r="Q977" s="283"/>
      <c r="R977" s="283"/>
      <c r="S977" s="283"/>
      <c r="T977" s="283"/>
    </row>
    <row r="978">
      <c r="A978" s="300"/>
      <c r="B978" s="282"/>
      <c r="C978" s="283"/>
      <c r="D978" s="282"/>
      <c r="E978" s="283"/>
      <c r="F978" s="283"/>
      <c r="G978" s="284"/>
      <c r="H978" s="284"/>
      <c r="I978" s="283"/>
      <c r="J978" s="283"/>
      <c r="K978" s="283"/>
      <c r="L978" s="283"/>
      <c r="M978" s="283"/>
      <c r="N978" s="283"/>
      <c r="O978" s="283"/>
      <c r="P978" s="283"/>
      <c r="Q978" s="283"/>
      <c r="R978" s="283"/>
      <c r="S978" s="283"/>
      <c r="T978" s="283"/>
    </row>
    <row r="979">
      <c r="A979" s="300"/>
      <c r="B979" s="282"/>
      <c r="C979" s="283"/>
      <c r="D979" s="282"/>
      <c r="E979" s="283"/>
      <c r="F979" s="283"/>
      <c r="G979" s="284"/>
      <c r="H979" s="284"/>
      <c r="I979" s="283"/>
      <c r="J979" s="283"/>
      <c r="K979" s="283"/>
      <c r="L979" s="283"/>
      <c r="M979" s="283"/>
      <c r="N979" s="283"/>
      <c r="O979" s="283"/>
      <c r="P979" s="283"/>
      <c r="Q979" s="283"/>
      <c r="R979" s="283"/>
      <c r="S979" s="283"/>
      <c r="T979" s="283"/>
    </row>
    <row r="980">
      <c r="A980" s="300"/>
      <c r="B980" s="282"/>
      <c r="C980" s="283"/>
      <c r="D980" s="282"/>
      <c r="E980" s="283"/>
      <c r="F980" s="283"/>
      <c r="G980" s="284"/>
      <c r="H980" s="284"/>
      <c r="I980" s="283"/>
      <c r="J980" s="283"/>
      <c r="K980" s="283"/>
      <c r="L980" s="283"/>
      <c r="M980" s="283"/>
      <c r="N980" s="283"/>
      <c r="O980" s="283"/>
      <c r="P980" s="283"/>
      <c r="Q980" s="283"/>
      <c r="R980" s="283"/>
      <c r="S980" s="283"/>
      <c r="T980" s="283"/>
    </row>
    <row r="981">
      <c r="A981" s="300"/>
      <c r="B981" s="282"/>
      <c r="C981" s="283"/>
      <c r="D981" s="282"/>
      <c r="E981" s="283"/>
      <c r="F981" s="283"/>
      <c r="G981" s="284"/>
      <c r="H981" s="284"/>
      <c r="I981" s="283"/>
      <c r="J981" s="283"/>
      <c r="K981" s="283"/>
      <c r="L981" s="283"/>
      <c r="M981" s="283"/>
      <c r="N981" s="283"/>
      <c r="O981" s="283"/>
      <c r="P981" s="283"/>
      <c r="Q981" s="283"/>
      <c r="R981" s="283"/>
      <c r="S981" s="283"/>
      <c r="T981" s="283"/>
    </row>
    <row r="982">
      <c r="A982" s="300"/>
      <c r="B982" s="282"/>
      <c r="C982" s="283"/>
      <c r="D982" s="282"/>
      <c r="E982" s="283"/>
      <c r="F982" s="283"/>
      <c r="G982" s="284"/>
      <c r="H982" s="284"/>
      <c r="I982" s="283"/>
      <c r="J982" s="283"/>
      <c r="K982" s="283"/>
      <c r="L982" s="283"/>
      <c r="M982" s="283"/>
      <c r="N982" s="283"/>
      <c r="O982" s="283"/>
      <c r="P982" s="283"/>
      <c r="Q982" s="283"/>
      <c r="R982" s="283"/>
      <c r="S982" s="283"/>
      <c r="T982" s="283"/>
    </row>
    <row r="983">
      <c r="A983" s="300"/>
      <c r="B983" s="282"/>
      <c r="C983" s="283"/>
      <c r="D983" s="282"/>
      <c r="E983" s="283"/>
      <c r="F983" s="283"/>
      <c r="G983" s="284"/>
      <c r="H983" s="284"/>
      <c r="I983" s="283"/>
      <c r="J983" s="283"/>
      <c r="K983" s="283"/>
      <c r="L983" s="283"/>
      <c r="M983" s="283"/>
      <c r="N983" s="283"/>
      <c r="O983" s="283"/>
      <c r="P983" s="283"/>
      <c r="Q983" s="283"/>
      <c r="R983" s="283"/>
      <c r="S983" s="283"/>
      <c r="T983" s="283"/>
    </row>
    <row r="984">
      <c r="A984" s="300"/>
      <c r="B984" s="282"/>
      <c r="C984" s="283"/>
      <c r="D984" s="282"/>
      <c r="E984" s="283"/>
      <c r="F984" s="283"/>
      <c r="G984" s="284"/>
      <c r="H984" s="284"/>
      <c r="I984" s="283"/>
      <c r="J984" s="283"/>
      <c r="K984" s="283"/>
      <c r="L984" s="283"/>
      <c r="M984" s="283"/>
      <c r="N984" s="283"/>
      <c r="O984" s="283"/>
      <c r="P984" s="283"/>
      <c r="Q984" s="283"/>
      <c r="R984" s="283"/>
      <c r="S984" s="283"/>
      <c r="T984" s="283"/>
    </row>
    <row r="985">
      <c r="A985" s="300"/>
      <c r="B985" s="282"/>
      <c r="C985" s="283"/>
      <c r="D985" s="282"/>
      <c r="E985" s="283"/>
      <c r="F985" s="283"/>
      <c r="G985" s="284"/>
      <c r="H985" s="284"/>
      <c r="I985" s="283"/>
      <c r="J985" s="283"/>
      <c r="K985" s="283"/>
      <c r="L985" s="283"/>
      <c r="M985" s="283"/>
      <c r="N985" s="283"/>
      <c r="O985" s="283"/>
      <c r="P985" s="283"/>
      <c r="Q985" s="283"/>
      <c r="R985" s="283"/>
      <c r="S985" s="283"/>
      <c r="T985" s="283"/>
    </row>
    <row r="986">
      <c r="A986" s="300"/>
      <c r="B986" s="282"/>
      <c r="C986" s="283"/>
      <c r="D986" s="282"/>
      <c r="E986" s="283"/>
      <c r="F986" s="283"/>
      <c r="G986" s="284"/>
      <c r="H986" s="284"/>
      <c r="I986" s="283"/>
      <c r="J986" s="283"/>
      <c r="K986" s="283"/>
      <c r="L986" s="283"/>
      <c r="M986" s="283"/>
      <c r="N986" s="283"/>
      <c r="O986" s="283"/>
      <c r="P986" s="283"/>
      <c r="Q986" s="283"/>
      <c r="R986" s="283"/>
      <c r="S986" s="283"/>
      <c r="T986" s="283"/>
    </row>
    <row r="987">
      <c r="A987" s="300"/>
      <c r="B987" s="282"/>
      <c r="C987" s="283"/>
      <c r="D987" s="282"/>
      <c r="E987" s="283"/>
      <c r="F987" s="283"/>
      <c r="G987" s="284"/>
      <c r="H987" s="284"/>
      <c r="I987" s="283"/>
      <c r="J987" s="283"/>
      <c r="K987" s="283"/>
      <c r="L987" s="283"/>
      <c r="M987" s="283"/>
      <c r="N987" s="283"/>
      <c r="O987" s="283"/>
      <c r="P987" s="283"/>
      <c r="Q987" s="283"/>
      <c r="R987" s="283"/>
      <c r="S987" s="283"/>
      <c r="T987" s="283"/>
    </row>
    <row r="988">
      <c r="A988" s="300"/>
      <c r="B988" s="282"/>
      <c r="C988" s="283"/>
      <c r="D988" s="282"/>
      <c r="E988" s="283"/>
      <c r="F988" s="283"/>
      <c r="G988" s="284"/>
      <c r="H988" s="284"/>
      <c r="I988" s="283"/>
      <c r="J988" s="283"/>
      <c r="K988" s="283"/>
      <c r="L988" s="283"/>
      <c r="M988" s="283"/>
      <c r="N988" s="283"/>
      <c r="O988" s="283"/>
      <c r="P988" s="283"/>
      <c r="Q988" s="283"/>
      <c r="R988" s="283"/>
      <c r="S988" s="283"/>
      <c r="T988" s="283"/>
    </row>
    <row r="989">
      <c r="A989" s="300"/>
      <c r="B989" s="282"/>
      <c r="C989" s="283"/>
      <c r="D989" s="282"/>
      <c r="E989" s="283"/>
      <c r="F989" s="283"/>
      <c r="G989" s="284"/>
      <c r="H989" s="284"/>
      <c r="I989" s="283"/>
      <c r="J989" s="283"/>
      <c r="K989" s="283"/>
      <c r="L989" s="283"/>
      <c r="M989" s="283"/>
      <c r="N989" s="283"/>
      <c r="O989" s="283"/>
      <c r="P989" s="283"/>
      <c r="Q989" s="283"/>
      <c r="R989" s="283"/>
      <c r="S989" s="283"/>
      <c r="T989" s="283"/>
    </row>
    <row r="990">
      <c r="A990" s="300"/>
      <c r="B990" s="282"/>
      <c r="C990" s="283"/>
      <c r="D990" s="282"/>
      <c r="E990" s="283"/>
      <c r="F990" s="283"/>
      <c r="G990" s="284"/>
      <c r="H990" s="284"/>
      <c r="I990" s="283"/>
      <c r="J990" s="283"/>
      <c r="K990" s="283"/>
      <c r="L990" s="283"/>
      <c r="M990" s="283"/>
      <c r="N990" s="283"/>
      <c r="O990" s="283"/>
      <c r="P990" s="283"/>
      <c r="Q990" s="283"/>
      <c r="R990" s="283"/>
      <c r="S990" s="283"/>
      <c r="T990" s="283"/>
    </row>
    <row r="991">
      <c r="A991" s="300"/>
      <c r="B991" s="282"/>
      <c r="C991" s="283"/>
      <c r="D991" s="282"/>
      <c r="E991" s="283"/>
      <c r="F991" s="283"/>
      <c r="G991" s="284"/>
      <c r="H991" s="284"/>
      <c r="I991" s="283"/>
      <c r="J991" s="283"/>
      <c r="K991" s="283"/>
      <c r="L991" s="283"/>
      <c r="M991" s="283"/>
      <c r="N991" s="283"/>
      <c r="O991" s="283"/>
      <c r="P991" s="283"/>
      <c r="Q991" s="283"/>
      <c r="R991" s="283"/>
      <c r="S991" s="283"/>
      <c r="T991" s="283"/>
    </row>
    <row r="992">
      <c r="A992" s="300"/>
      <c r="B992" s="282"/>
      <c r="C992" s="283"/>
      <c r="D992" s="282"/>
      <c r="E992" s="283"/>
      <c r="F992" s="283"/>
      <c r="G992" s="284"/>
      <c r="H992" s="284"/>
      <c r="I992" s="283"/>
      <c r="J992" s="283"/>
      <c r="K992" s="283"/>
      <c r="L992" s="283"/>
      <c r="M992" s="283"/>
      <c r="N992" s="283"/>
      <c r="O992" s="283"/>
      <c r="P992" s="283"/>
      <c r="Q992" s="283"/>
      <c r="R992" s="283"/>
      <c r="S992" s="283"/>
      <c r="T992" s="283"/>
    </row>
    <row r="993">
      <c r="A993" s="300"/>
      <c r="B993" s="282"/>
      <c r="C993" s="283"/>
      <c r="D993" s="282"/>
      <c r="E993" s="283"/>
      <c r="F993" s="283"/>
      <c r="G993" s="284"/>
      <c r="H993" s="284"/>
      <c r="I993" s="283"/>
      <c r="J993" s="283"/>
      <c r="K993" s="283"/>
      <c r="L993" s="283"/>
      <c r="M993" s="283"/>
      <c r="N993" s="283"/>
      <c r="O993" s="283"/>
      <c r="P993" s="283"/>
      <c r="Q993" s="283"/>
      <c r="R993" s="283"/>
      <c r="S993" s="283"/>
      <c r="T993" s="283"/>
    </row>
    <row r="994">
      <c r="A994" s="300"/>
      <c r="B994" s="282"/>
      <c r="C994" s="283"/>
      <c r="D994" s="282"/>
      <c r="E994" s="283"/>
      <c r="F994" s="283"/>
      <c r="G994" s="284"/>
      <c r="H994" s="284"/>
      <c r="I994" s="283"/>
      <c r="J994" s="283"/>
      <c r="K994" s="283"/>
      <c r="L994" s="283"/>
      <c r="M994" s="283"/>
      <c r="N994" s="283"/>
      <c r="O994" s="283"/>
      <c r="P994" s="283"/>
      <c r="Q994" s="283"/>
      <c r="R994" s="283"/>
      <c r="S994" s="283"/>
      <c r="T994" s="283"/>
    </row>
    <row r="995">
      <c r="A995" s="300"/>
      <c r="B995" s="282"/>
      <c r="C995" s="283"/>
      <c r="D995" s="282"/>
      <c r="E995" s="283"/>
      <c r="F995" s="283"/>
      <c r="G995" s="284"/>
      <c r="H995" s="284"/>
      <c r="I995" s="283"/>
      <c r="J995" s="283"/>
      <c r="K995" s="283"/>
      <c r="L995" s="283"/>
      <c r="M995" s="283"/>
      <c r="N995" s="283"/>
      <c r="O995" s="283"/>
      <c r="P995" s="283"/>
      <c r="Q995" s="283"/>
      <c r="R995" s="283"/>
      <c r="S995" s="283"/>
      <c r="T995" s="283"/>
    </row>
    <row r="996">
      <c r="A996" s="300"/>
      <c r="B996" s="282"/>
      <c r="C996" s="283"/>
      <c r="D996" s="282"/>
      <c r="E996" s="283"/>
      <c r="F996" s="283"/>
      <c r="G996" s="284"/>
      <c r="H996" s="284"/>
      <c r="I996" s="283"/>
      <c r="J996" s="283"/>
      <c r="K996" s="283"/>
      <c r="L996" s="283"/>
      <c r="M996" s="283"/>
      <c r="N996" s="283"/>
      <c r="O996" s="283"/>
      <c r="P996" s="283"/>
      <c r="Q996" s="283"/>
      <c r="R996" s="283"/>
      <c r="S996" s="283"/>
      <c r="T996" s="283"/>
    </row>
    <row r="997">
      <c r="A997" s="300"/>
      <c r="B997" s="282"/>
      <c r="C997" s="283"/>
      <c r="D997" s="282"/>
      <c r="E997" s="283"/>
      <c r="F997" s="283"/>
      <c r="G997" s="284"/>
      <c r="H997" s="284"/>
      <c r="I997" s="283"/>
      <c r="J997" s="283"/>
      <c r="K997" s="283"/>
      <c r="L997" s="283"/>
      <c r="M997" s="283"/>
      <c r="N997" s="283"/>
      <c r="O997" s="283"/>
      <c r="P997" s="283"/>
      <c r="Q997" s="283"/>
      <c r="R997" s="283"/>
      <c r="S997" s="283"/>
      <c r="T997" s="283"/>
    </row>
    <row r="998">
      <c r="A998" s="300"/>
      <c r="B998" s="282"/>
      <c r="C998" s="283"/>
      <c r="D998" s="282"/>
      <c r="E998" s="283"/>
      <c r="F998" s="283"/>
      <c r="G998" s="284"/>
      <c r="H998" s="284"/>
      <c r="I998" s="283"/>
      <c r="J998" s="283"/>
      <c r="K998" s="283"/>
      <c r="L998" s="283"/>
      <c r="M998" s="283"/>
      <c r="N998" s="283"/>
      <c r="O998" s="283"/>
      <c r="P998" s="283"/>
      <c r="Q998" s="283"/>
      <c r="R998" s="283"/>
      <c r="S998" s="283"/>
      <c r="T998" s="283"/>
    </row>
    <row r="999">
      <c r="A999" s="300"/>
      <c r="B999" s="282"/>
      <c r="C999" s="283"/>
      <c r="D999" s="282"/>
      <c r="E999" s="283"/>
      <c r="F999" s="283"/>
      <c r="G999" s="284"/>
      <c r="H999" s="284"/>
      <c r="I999" s="283"/>
      <c r="J999" s="283"/>
      <c r="K999" s="283"/>
      <c r="L999" s="283"/>
      <c r="M999" s="283"/>
      <c r="N999" s="283"/>
      <c r="O999" s="283"/>
      <c r="P999" s="283"/>
      <c r="Q999" s="283"/>
      <c r="R999" s="283"/>
      <c r="S999" s="283"/>
      <c r="T999" s="283"/>
    </row>
    <row r="1000">
      <c r="A1000" s="300"/>
      <c r="B1000" s="282"/>
      <c r="C1000" s="283"/>
      <c r="D1000" s="282"/>
      <c r="E1000" s="283"/>
      <c r="F1000" s="283"/>
      <c r="G1000" s="284"/>
      <c r="H1000" s="284"/>
      <c r="I1000" s="283"/>
      <c r="J1000" s="283"/>
      <c r="K1000" s="283"/>
      <c r="L1000" s="283"/>
      <c r="M1000" s="283"/>
      <c r="N1000" s="283"/>
      <c r="O1000" s="283"/>
      <c r="P1000" s="283"/>
      <c r="Q1000" s="283"/>
      <c r="R1000" s="283"/>
      <c r="S1000" s="283"/>
      <c r="T1000" s="283"/>
    </row>
    <row r="1001">
      <c r="A1001" s="300"/>
      <c r="B1001" s="282"/>
      <c r="C1001" s="283"/>
      <c r="D1001" s="282"/>
      <c r="E1001" s="283"/>
      <c r="F1001" s="283"/>
      <c r="G1001" s="284"/>
      <c r="H1001" s="284"/>
      <c r="I1001" s="283"/>
      <c r="J1001" s="283"/>
      <c r="K1001" s="283"/>
      <c r="L1001" s="283"/>
      <c r="M1001" s="283"/>
      <c r="N1001" s="283"/>
      <c r="O1001" s="283"/>
      <c r="P1001" s="283"/>
      <c r="Q1001" s="283"/>
      <c r="R1001" s="283"/>
      <c r="S1001" s="283"/>
      <c r="T1001" s="283"/>
    </row>
    <row r="1002">
      <c r="A1002" s="300"/>
      <c r="B1002" s="282"/>
      <c r="C1002" s="283"/>
      <c r="D1002" s="282"/>
      <c r="E1002" s="283"/>
      <c r="F1002" s="283"/>
      <c r="G1002" s="284"/>
      <c r="H1002" s="284"/>
      <c r="I1002" s="283"/>
      <c r="J1002" s="283"/>
      <c r="K1002" s="283"/>
      <c r="L1002" s="283"/>
      <c r="M1002" s="283"/>
      <c r="N1002" s="283"/>
      <c r="O1002" s="283"/>
      <c r="P1002" s="283"/>
      <c r="Q1002" s="283"/>
      <c r="R1002" s="283"/>
      <c r="S1002" s="283"/>
      <c r="T1002" s="283"/>
    </row>
    <row r="1003">
      <c r="A1003" s="300"/>
      <c r="B1003" s="282"/>
      <c r="C1003" s="283"/>
      <c r="D1003" s="282"/>
      <c r="E1003" s="283"/>
      <c r="F1003" s="283"/>
      <c r="G1003" s="284"/>
      <c r="H1003" s="284"/>
      <c r="I1003" s="283"/>
      <c r="J1003" s="283"/>
      <c r="K1003" s="283"/>
      <c r="L1003" s="283"/>
      <c r="M1003" s="283"/>
      <c r="N1003" s="283"/>
      <c r="O1003" s="283"/>
      <c r="P1003" s="283"/>
      <c r="Q1003" s="283"/>
      <c r="R1003" s="283"/>
      <c r="S1003" s="283"/>
      <c r="T1003" s="283"/>
    </row>
    <row r="1004">
      <c r="A1004" s="300"/>
      <c r="B1004" s="282"/>
      <c r="C1004" s="283"/>
      <c r="D1004" s="282"/>
      <c r="E1004" s="283"/>
      <c r="F1004" s="283"/>
      <c r="G1004" s="284"/>
      <c r="H1004" s="284"/>
      <c r="I1004" s="283"/>
      <c r="J1004" s="283"/>
      <c r="K1004" s="283"/>
      <c r="L1004" s="283"/>
      <c r="M1004" s="283"/>
      <c r="N1004" s="283"/>
      <c r="O1004" s="283"/>
      <c r="P1004" s="283"/>
      <c r="Q1004" s="283"/>
      <c r="R1004" s="283"/>
      <c r="S1004" s="283"/>
      <c r="T1004" s="283"/>
    </row>
    <row r="1005">
      <c r="A1005" s="300"/>
      <c r="B1005" s="282"/>
      <c r="C1005" s="283"/>
      <c r="D1005" s="282"/>
      <c r="E1005" s="283"/>
      <c r="F1005" s="283"/>
      <c r="G1005" s="284"/>
      <c r="H1005" s="284"/>
      <c r="I1005" s="283"/>
      <c r="J1005" s="283"/>
      <c r="K1005" s="283"/>
      <c r="L1005" s="283"/>
      <c r="M1005" s="283"/>
      <c r="N1005" s="283"/>
      <c r="O1005" s="283"/>
      <c r="P1005" s="283"/>
      <c r="Q1005" s="283"/>
      <c r="R1005" s="283"/>
      <c r="S1005" s="283"/>
      <c r="T1005" s="283"/>
    </row>
  </sheetData>
  <autoFilter ref="$H$12:$H$74">
    <filterColumn colId="0">
      <filters>
        <filter val="Show"/>
      </filters>
    </filterColumn>
  </autoFilter>
  <mergeCells count="1">
    <mergeCell ref="A1:F1"/>
  </mergeCells>
  <conditionalFormatting sqref="D13:E54 D56:D74 E56:E73">
    <cfRule type="expression" dxfId="0" priority="1">
      <formula>#REF!="Do nothing, accept the risk"</formula>
    </cfRule>
  </conditionalFormatting>
  <conditionalFormatting sqref="E13:E54 E56:E73">
    <cfRule type="expression" dxfId="0" priority="2">
      <formula>F13="Do nothing, accept the risk"</formula>
    </cfRule>
  </conditionalFormatting>
  <conditionalFormatting sqref="D3">
    <cfRule type="notContainsBlanks" dxfId="1" priority="3">
      <formula>LEN(TRIM(D3))&gt;0</formula>
    </cfRule>
  </conditionalFormatting>
  <dataValidations>
    <dataValidation type="list" allowBlank="1" showErrorMessage="1" sqref="C4">
      <formula1>"Predictive ML Models,RAG - LLMs,Fine-tuned LLMs,Pre-trained LLMs,Foundational LLMs,External Models"</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35.13"/>
    <col customWidth="1" min="3" max="3" width="60.13"/>
    <col customWidth="1" min="4" max="4" width="63.5"/>
    <col customWidth="1" hidden="1" min="5" max="6" width="15.13"/>
    <col customWidth="1" min="7" max="8" width="22.63"/>
    <col customWidth="1" min="9" max="16" width="26.88"/>
    <col customWidth="1" min="17" max="17" width="37.88"/>
    <col customWidth="1" min="18" max="18" width="44.75"/>
    <col customWidth="1" min="19" max="22" width="26.88"/>
    <col customWidth="1" min="25" max="25" width="3.0"/>
  </cols>
  <sheetData>
    <row r="1" ht="37.5" customHeight="1">
      <c r="A1" s="313" t="s">
        <v>2302</v>
      </c>
      <c r="B1" s="314"/>
      <c r="C1" s="314"/>
      <c r="D1" s="315"/>
      <c r="E1" s="316"/>
      <c r="F1" s="316"/>
      <c r="G1" s="146" t="s">
        <v>1326</v>
      </c>
      <c r="M1" s="317" t="s">
        <v>215</v>
      </c>
      <c r="W1" s="318"/>
      <c r="X1" s="318"/>
      <c r="Y1" s="318"/>
      <c r="Z1" s="318"/>
      <c r="AA1" s="318"/>
      <c r="AB1" s="318"/>
      <c r="AC1" s="318"/>
      <c r="AD1" s="318"/>
      <c r="AE1" s="318"/>
      <c r="AF1" s="318"/>
      <c r="AG1" s="318"/>
      <c r="AH1" s="318"/>
      <c r="AI1" s="318"/>
      <c r="AJ1" s="318"/>
      <c r="AK1" s="318"/>
    </row>
    <row r="2" ht="15.75" customHeight="1">
      <c r="A2" s="280"/>
      <c r="B2" s="281"/>
      <c r="C2" s="281"/>
      <c r="D2" s="283"/>
      <c r="E2" s="319"/>
      <c r="F2" s="319"/>
      <c r="G2" s="280"/>
      <c r="H2" s="280"/>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row>
    <row r="3" ht="15.75" customHeight="1">
      <c r="A3" s="286"/>
      <c r="D3" s="289"/>
      <c r="E3" s="320"/>
      <c r="F3" s="320"/>
      <c r="G3" s="286"/>
      <c r="H3" s="286"/>
      <c r="I3" s="289"/>
      <c r="J3" s="289"/>
      <c r="K3" s="289"/>
      <c r="L3" s="289"/>
      <c r="M3" s="289"/>
      <c r="N3" s="289"/>
      <c r="O3" s="289"/>
      <c r="P3" s="289"/>
      <c r="Q3" s="289"/>
      <c r="R3" s="289"/>
      <c r="S3" s="289"/>
      <c r="T3" s="289"/>
      <c r="U3" s="289"/>
      <c r="V3" s="289"/>
      <c r="W3" s="289"/>
      <c r="X3" s="289"/>
      <c r="Y3" s="289"/>
      <c r="Z3" s="289"/>
      <c r="AA3" s="289"/>
      <c r="AB3" s="289"/>
      <c r="AC3" s="289"/>
      <c r="AD3" s="289"/>
      <c r="AE3" s="289"/>
      <c r="AF3" s="289"/>
      <c r="AG3" s="289"/>
      <c r="AH3" s="289"/>
      <c r="AI3" s="289"/>
      <c r="AJ3" s="289"/>
      <c r="AK3" s="289"/>
    </row>
    <row r="4">
      <c r="B4" s="292" t="s">
        <v>2286</v>
      </c>
      <c r="C4" s="293" t="str">
        <f>'DASF Risk Applicability'!C4</f>
        <v>RAG - LLMs, Pre-trained LLMs, External Models</v>
      </c>
      <c r="D4" s="321" t="s">
        <v>2303</v>
      </c>
      <c r="H4" s="322"/>
      <c r="I4" s="283"/>
      <c r="J4" s="283"/>
      <c r="K4" s="283"/>
      <c r="L4" s="283"/>
      <c r="M4" s="283"/>
      <c r="N4" s="283"/>
      <c r="O4" s="283"/>
      <c r="P4" s="283"/>
      <c r="Q4" s="283"/>
      <c r="R4" s="283"/>
      <c r="S4" s="283"/>
      <c r="T4" s="283"/>
      <c r="U4" s="283"/>
      <c r="V4" s="283"/>
      <c r="W4" s="283"/>
      <c r="X4" s="283"/>
      <c r="Y4" s="283"/>
      <c r="Z4" s="283"/>
      <c r="AA4" s="283"/>
      <c r="AB4" s="283"/>
      <c r="AC4" s="283"/>
      <c r="AD4" s="283"/>
      <c r="AE4" s="283"/>
      <c r="AF4" s="283"/>
      <c r="AG4" s="283"/>
      <c r="AH4" s="283"/>
      <c r="AI4" s="283"/>
      <c r="AJ4" s="283"/>
      <c r="AK4" s="283"/>
    </row>
    <row r="5">
      <c r="B5" s="292" t="s">
        <v>2289</v>
      </c>
      <c r="C5" s="293" t="str">
        <f>'DASF Risk Applicability'!C5</f>
        <v>Loan Application Approval Automation</v>
      </c>
      <c r="D5" s="323"/>
      <c r="H5" s="324"/>
      <c r="I5" s="283"/>
      <c r="J5" s="283"/>
      <c r="K5" s="283"/>
      <c r="L5" s="283"/>
      <c r="M5" s="283"/>
      <c r="N5" s="283"/>
      <c r="O5" s="283"/>
      <c r="P5" s="283"/>
      <c r="Q5" s="283"/>
      <c r="R5" s="283"/>
      <c r="S5" s="283"/>
      <c r="T5" s="283"/>
      <c r="U5" s="283"/>
      <c r="V5" s="283"/>
      <c r="W5" s="283"/>
      <c r="X5" s="283"/>
      <c r="Y5" s="283"/>
      <c r="Z5" s="283"/>
      <c r="AA5" s="283"/>
      <c r="AB5" s="283"/>
      <c r="AC5" s="283"/>
      <c r="AD5" s="283"/>
      <c r="AE5" s="283"/>
      <c r="AF5" s="283"/>
      <c r="AG5" s="283"/>
      <c r="AH5" s="283"/>
      <c r="AI5" s="283"/>
      <c r="AJ5" s="283"/>
      <c r="AK5" s="283"/>
    </row>
    <row r="6">
      <c r="B6" s="292" t="s">
        <v>2291</v>
      </c>
      <c r="C6" s="293" t="str">
        <f>'DASF Risk Applicability'!C6</f>
        <v>Customer Credit History dataset, Loan Application dataset</v>
      </c>
      <c r="D6" s="323"/>
      <c r="E6" s="298"/>
      <c r="F6" s="298"/>
      <c r="H6" s="325"/>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283"/>
      <c r="AI6" s="283"/>
      <c r="AJ6" s="283"/>
      <c r="AK6" s="283"/>
    </row>
    <row r="7">
      <c r="B7" s="292" t="s">
        <v>2293</v>
      </c>
      <c r="C7" s="293" t="str">
        <f>'DASF Risk Applicability'!C7</f>
        <v>Customers, Credit team, Legal, Compliance team</v>
      </c>
      <c r="D7" s="323"/>
      <c r="E7" s="298"/>
      <c r="F7" s="298"/>
      <c r="H7" s="325"/>
      <c r="I7" s="283"/>
      <c r="J7" s="283"/>
      <c r="K7" s="283"/>
      <c r="L7" s="283"/>
      <c r="M7" s="283"/>
      <c r="N7" s="283"/>
      <c r="O7" s="283"/>
      <c r="P7" s="283"/>
      <c r="Q7" s="283"/>
      <c r="R7" s="283"/>
      <c r="S7" s="283"/>
      <c r="T7" s="283"/>
      <c r="U7" s="283"/>
      <c r="V7" s="283"/>
      <c r="W7" s="283"/>
      <c r="X7" s="283"/>
      <c r="Y7" s="283"/>
      <c r="Z7" s="283"/>
      <c r="AA7" s="283"/>
      <c r="AB7" s="283"/>
      <c r="AC7" s="283"/>
      <c r="AD7" s="283"/>
      <c r="AE7" s="283"/>
      <c r="AF7" s="283"/>
      <c r="AG7" s="283"/>
      <c r="AH7" s="283"/>
      <c r="AI7" s="283"/>
      <c r="AJ7" s="283"/>
      <c r="AK7" s="283"/>
    </row>
    <row r="8">
      <c r="A8" s="282"/>
      <c r="B8" s="292" t="s">
        <v>2295</v>
      </c>
      <c r="C8" s="293" t="str">
        <f>'DASF Risk Applicability'!C8</f>
        <v>PCI</v>
      </c>
      <c r="D8" s="326"/>
      <c r="E8" s="298"/>
      <c r="F8" s="298"/>
      <c r="G8" s="282"/>
      <c r="H8" s="282"/>
      <c r="I8" s="283"/>
      <c r="J8" s="283"/>
      <c r="K8" s="283"/>
      <c r="L8" s="283"/>
      <c r="M8" s="283"/>
      <c r="N8" s="283"/>
      <c r="O8" s="283"/>
      <c r="P8" s="283"/>
      <c r="Q8" s="283"/>
      <c r="R8" s="283"/>
      <c r="S8" s="283"/>
      <c r="T8" s="283"/>
      <c r="U8" s="283"/>
      <c r="V8" s="283"/>
      <c r="W8" s="283"/>
      <c r="X8" s="283"/>
      <c r="Y8" s="283"/>
      <c r="Z8" s="283"/>
      <c r="AA8" s="283"/>
      <c r="AB8" s="283"/>
      <c r="AC8" s="283"/>
      <c r="AD8" s="283"/>
      <c r="AE8" s="283"/>
      <c r="AF8" s="283"/>
      <c r="AG8" s="283"/>
      <c r="AH8" s="283"/>
      <c r="AI8" s="283"/>
      <c r="AJ8" s="283"/>
      <c r="AK8" s="283"/>
    </row>
    <row r="9">
      <c r="A9" s="286"/>
      <c r="B9" s="292" t="s">
        <v>2297</v>
      </c>
      <c r="C9" s="293" t="str">
        <f>'DASF Risk Applicability'!C9</f>
        <v>Loan application App</v>
      </c>
      <c r="D9" s="326"/>
      <c r="E9" s="298"/>
      <c r="F9" s="298"/>
      <c r="G9" s="286"/>
      <c r="H9" s="286"/>
      <c r="I9" s="283"/>
      <c r="J9" s="283"/>
      <c r="K9" s="283"/>
      <c r="L9" s="283"/>
      <c r="M9" s="283"/>
      <c r="N9" s="283"/>
      <c r="O9" s="283"/>
      <c r="P9" s="283"/>
      <c r="Q9" s="283"/>
      <c r="R9" s="283"/>
      <c r="S9" s="283"/>
      <c r="T9" s="283"/>
      <c r="U9" s="283"/>
      <c r="V9" s="283"/>
      <c r="W9" s="283"/>
      <c r="X9" s="283"/>
      <c r="Y9" s="283"/>
      <c r="Z9" s="283"/>
      <c r="AA9" s="283"/>
      <c r="AB9" s="283"/>
      <c r="AC9" s="283"/>
      <c r="AD9" s="283"/>
      <c r="AE9" s="283"/>
      <c r="AF9" s="283"/>
      <c r="AG9" s="283"/>
      <c r="AH9" s="283"/>
      <c r="AI9" s="283"/>
      <c r="AJ9" s="283"/>
      <c r="AK9" s="283"/>
    </row>
    <row r="10" ht="15.75" customHeight="1">
      <c r="A10" s="286"/>
      <c r="E10" s="304"/>
      <c r="F10" s="304"/>
      <c r="G10" s="286"/>
      <c r="H10" s="286"/>
      <c r="I10" s="304"/>
      <c r="J10" s="304"/>
      <c r="K10" s="304"/>
      <c r="L10" s="304"/>
      <c r="M10" s="304"/>
      <c r="N10" s="304"/>
      <c r="O10" s="298"/>
      <c r="P10" s="298"/>
      <c r="Q10" s="298"/>
      <c r="R10" s="298"/>
      <c r="S10" s="298"/>
      <c r="T10" s="304"/>
      <c r="U10" s="304"/>
      <c r="V10" s="304"/>
      <c r="W10" s="304"/>
      <c r="X10" s="304"/>
      <c r="Y10" s="304"/>
      <c r="Z10" s="304"/>
      <c r="AA10" s="304"/>
      <c r="AB10" s="304"/>
      <c r="AC10" s="304"/>
      <c r="AD10" s="304"/>
      <c r="AE10" s="304"/>
      <c r="AF10" s="304"/>
      <c r="AG10" s="304"/>
      <c r="AH10" s="304"/>
      <c r="AI10" s="304"/>
      <c r="AJ10" s="304"/>
      <c r="AK10" s="304"/>
    </row>
    <row r="11" ht="15.75" customHeight="1">
      <c r="A11" s="308"/>
      <c r="B11" s="306"/>
      <c r="C11" s="306"/>
      <c r="D11" s="306"/>
      <c r="E11" s="320"/>
      <c r="F11" s="306"/>
      <c r="G11" s="308"/>
      <c r="H11" s="308"/>
      <c r="I11" s="284"/>
      <c r="J11" s="284"/>
      <c r="K11" s="284"/>
      <c r="L11" s="284"/>
      <c r="M11" s="284"/>
      <c r="N11" s="283"/>
      <c r="O11" s="283"/>
      <c r="P11" s="283"/>
      <c r="Q11" s="283"/>
      <c r="R11" s="283"/>
      <c r="S11" s="283"/>
      <c r="T11" s="283"/>
      <c r="U11" s="283"/>
      <c r="V11" s="283"/>
      <c r="W11" s="283"/>
      <c r="X11" s="283"/>
      <c r="Y11" s="283"/>
      <c r="Z11" s="283"/>
      <c r="AA11" s="283"/>
      <c r="AB11" s="283"/>
      <c r="AC11" s="283"/>
      <c r="AD11" s="283"/>
      <c r="AE11" s="283"/>
      <c r="AF11" s="283"/>
      <c r="AG11" s="283"/>
      <c r="AH11" s="283"/>
      <c r="AI11" s="283"/>
      <c r="AJ11" s="283"/>
      <c r="AK11" s="283"/>
    </row>
    <row r="12" ht="67.5" customHeight="1">
      <c r="A12" s="309" t="s">
        <v>2304</v>
      </c>
      <c r="B12" s="309" t="s">
        <v>1323</v>
      </c>
      <c r="C12" s="309" t="s">
        <v>2305</v>
      </c>
      <c r="D12" s="309" t="s">
        <v>2306</v>
      </c>
      <c r="E12" s="327"/>
      <c r="F12" s="327"/>
      <c r="G12" s="328" t="s">
        <v>1328</v>
      </c>
      <c r="H12" s="329" t="s">
        <v>2307</v>
      </c>
      <c r="I12" s="328" t="s">
        <v>1329</v>
      </c>
      <c r="J12" s="328" t="s">
        <v>1330</v>
      </c>
      <c r="K12" s="328" t="s">
        <v>1331</v>
      </c>
      <c r="L12" s="328" t="s">
        <v>1332</v>
      </c>
      <c r="M12" s="330" t="s">
        <v>2308</v>
      </c>
      <c r="N12" s="331" t="s">
        <v>2309</v>
      </c>
      <c r="O12" s="331" t="s">
        <v>228</v>
      </c>
      <c r="P12" s="331" t="s">
        <v>229</v>
      </c>
      <c r="Q12" s="330" t="s">
        <v>235</v>
      </c>
      <c r="R12" s="331" t="s">
        <v>236</v>
      </c>
      <c r="S12" s="330" t="s">
        <v>231</v>
      </c>
      <c r="T12" s="330" t="s">
        <v>233</v>
      </c>
      <c r="U12" s="332" t="s">
        <v>2310</v>
      </c>
      <c r="V12" s="333" t="s">
        <v>1340</v>
      </c>
      <c r="W12" s="311"/>
      <c r="X12" s="311"/>
      <c r="Y12" s="311"/>
      <c r="Z12" s="311"/>
      <c r="AA12" s="311"/>
      <c r="AB12" s="311"/>
      <c r="AC12" s="311"/>
      <c r="AD12" s="311"/>
      <c r="AE12" s="311"/>
      <c r="AF12" s="311"/>
      <c r="AG12" s="311"/>
      <c r="AH12" s="311"/>
      <c r="AI12" s="311"/>
      <c r="AJ12" s="311"/>
      <c r="AK12" s="311"/>
    </row>
    <row r="13">
      <c r="A13" s="63" t="str">
        <f>'Databricks AI Mitigation Contro'!B3</f>
        <v>DASF 1: SSO with IdP and MFA</v>
      </c>
      <c r="B13" s="63" t="str">
        <f>'Databricks AI Mitigation Contro'!A3</f>
        <v>DASF 1</v>
      </c>
      <c r="C13" s="63" t="str">
        <f>'Databricks AI Mitigation Contro'!D3</f>
        <v>Implementing single sign-on with an identity provider’s (IdP) multi-factor authentication is critical for secure authentication. It adds an extra layer of security, ensuring that only authorized users access the Databricks Platform.</v>
      </c>
      <c r="D13" s="63" t="str">
        <f>'Databricks AI Mitigation Contro'!C3</f>
        <v>Raw data 1.1, Data Prep 2.1, Data Prep 2.2, Data Prep 2.3, Data Prep 2.4, Datasets 3.1, Evaluation 6.1, Model 7.1, Model 7.2, Model Management 8.2, Model Management 8.4, Model Serving — Inference requests 9.1, Model Serving — Inference requests 9.2, Model Serving — Inference requests 9.5, Model Serving — Inference requests 9.6, Model Serving — Inference requests 9.7, Model Serving — Inference requests 9.9, Model Serving — Inference requests 9.10,Model Serving — Inference requests 9.11, Model Serving — Inference requests 9.12 ,Model Serving — Inference response 10.3, Model Serving — Inference response 10.4, Platform 12.7, Agents — Core 13.1, Agents — Core 13.2, Agents — Core 13.3, Agents — Core 13.6, Agents — Core 13.7, Agents — Core 13.8, Agents — Core 13.9, Agents — Core 13.14, Agents — Core 13.15, Agents — Tools MCP Server 13.16, Agents — Tools MCP Server 13.17, Agents — Tools MCP Server 13.18, Agents — Tools MCP Server 13.20, Agents — Tools MCP Server 13.23, Agents — Tools MCP Server 13.24, Agents — Tools MCP Client 13.28, Agents — Tools MCP Client 13.30, Agents — Tools MCP Client 13.34</v>
      </c>
      <c r="E13" s="334" t="str">
        <f>IFERROR(__xludf.DUMMYFUNCTION("IF(
 ISBLANK('DASF Risk Applicability'!$C$4),
 """",
 IFERROR(
   IF(
     QUERY(
       'DASF Risk Applicability'!$F$13:$H$74,
       ""select F where F contains '""&amp;B13&amp;""' and H = 'Show' limit 1"",
       0
     ) &lt;&gt; """",
     ""Yes"",
     ""No""
   "&amp;"),
   ""No""
 )
)"),"Yes")</f>
        <v>Yes</v>
      </c>
      <c r="F13" s="335" t="str">
        <f>IFERROR(__xludf.DUMMYFUNCTION("IF(ISBLANK($C$4), 
  ""Show"",
  IF(
    REGEXMATCH($E13, ""Yes""),
    ""Show"",
    ""Hide""
  )
)"),"Show")</f>
        <v>Show</v>
      </c>
      <c r="G13" s="164" t="str">
        <f>'Databricks AI Mitigation Contro'!E3</f>
        <v>Databricks — Configuration</v>
      </c>
      <c r="H13" s="164" t="str">
        <f>'Databricks AI Mitigation Contro'!N3</f>
        <v>IA-1</v>
      </c>
      <c r="I13" s="164" t="str">
        <f>'Databricks AI Mitigation Contro'!F3</f>
        <v>Customer configured, Databricks enforced</v>
      </c>
      <c r="J13" s="336" t="str">
        <f>'Databricks AI Mitigation Contro'!G3</f>
        <v>AWS</v>
      </c>
      <c r="K13" s="336" t="str">
        <f>'Databricks AI Mitigation Contro'!H3</f>
        <v>Azure</v>
      </c>
      <c r="L13" s="336" t="str">
        <f>'Databricks AI Mitigation Contro'!I3</f>
        <v>GCP</v>
      </c>
      <c r="M13" s="168" t="s">
        <v>258</v>
      </c>
      <c r="N13" s="169" t="s">
        <v>2311</v>
      </c>
      <c r="O13" s="169" t="s">
        <v>2312</v>
      </c>
      <c r="P13" s="169" t="s">
        <v>2313</v>
      </c>
      <c r="Q13" s="168" t="s">
        <v>258</v>
      </c>
      <c r="R13" s="168" t="s">
        <v>1358</v>
      </c>
      <c r="S13" s="168" t="s">
        <v>1359</v>
      </c>
      <c r="T13" s="168" t="s">
        <v>1360</v>
      </c>
      <c r="U13" s="168" t="s">
        <v>1361</v>
      </c>
      <c r="V13" s="168" t="s">
        <v>258</v>
      </c>
      <c r="W13" s="283"/>
      <c r="X13" s="283"/>
      <c r="Y13" s="283"/>
      <c r="Z13" s="283"/>
      <c r="AA13" s="283"/>
      <c r="AB13" s="283"/>
      <c r="AC13" s="283"/>
      <c r="AD13" s="283"/>
      <c r="AE13" s="283"/>
      <c r="AF13" s="283"/>
      <c r="AG13" s="283"/>
      <c r="AH13" s="283"/>
      <c r="AI13" s="283"/>
      <c r="AJ13" s="283"/>
      <c r="AK13" s="283"/>
    </row>
    <row r="14">
      <c r="A14" s="63" t="str">
        <f>'Databricks AI Mitigation Contro'!B4</f>
        <v>DASF 2: Sync users and groups
</v>
      </c>
      <c r="B14" s="63" t="str">
        <f>'Databricks AI Mitigation Contro'!A4</f>
        <v>DASF 2</v>
      </c>
      <c r="C14" s="63" t="str">
        <f>'Databricks AI Mitigation Contro'!D4</f>
        <v>Synchronizing users and groups from your identity provider (IdP) with Databricks using the SCIM standard facilitates consistent and automated user provisioning for enhancing security.</v>
      </c>
      <c r="D14" s="63" t="str">
        <f>'Databricks AI Mitigation Contro'!C4</f>
        <v>Raw data 1.1, Data Prep 2.1, Data Prep 2.2, Data Prep 2.3, Data Prep 2.4, Datasets 3.1, Evaluation 6.1, Model 7.2, Model Management 8.2, Model Management 8.4, Model Serving — Inference requests 9.1, Model Serving — Inference requests 9.2, Model Serving — Inference requests 9.5, Model Serving — Inference requests 9.6, Model Serving — Inference requests 9.7, Model Serving — Inference requests 9.9, Model Serving — Inference requests 9.10,Model Serving — Inference requests 9.11,  Model Serving — Inference requests 9.12, Model Serving — Inference response 10.3, Model Serving — Inference response 10.4,Platform 12.7, Agents — Core 13.1, Agents — Core 13.2, Agents — Core 13.3, Agents — Core 13.6, Agents — Core 13.7, Agents — Core 13.8, Agents — Core 13.9, Agents — Core 13.14, Agents — Core 13.15, Agents — Tools MCP Server 13.18, Agents — Tools MCP Server 13.20, Agents — Tools MCP Server 13.23, Agents — Tools MCP Server 13.24, Agents — Tools MCP Client 13.28, Agents — Tools MCP Client 13.30</v>
      </c>
      <c r="E14" s="334" t="str">
        <f>IFERROR(__xludf.DUMMYFUNCTION("IF(
 ISBLANK('DASF Risk Applicability'!$C$4),
 """",
 IFERROR(
   IF(
     QUERY(
       'DASF Risk Applicability'!$F$13:$H$74,
       ""select F where F contains '""&amp;B14&amp;""' and H = 'Show' limit 1"",
       0
     ) &lt;&gt; """",
     ""Yes"",
     ""No""
   "&amp;"),
   ""No""
 )
)"),"Yes")</f>
        <v>Yes</v>
      </c>
      <c r="F14" s="335" t="str">
        <f>IFERROR(__xludf.DUMMYFUNCTION("IF(ISBLANK($C$4), 
  ""Show"",
  IF(
    REGEXMATCH($E14, ""Yes""),
    ""Show"",
    ""Hide""
  )
)"),"Show")</f>
        <v>Show</v>
      </c>
      <c r="G14" s="164" t="str">
        <f>'Databricks AI Mitigation Contro'!E4</f>
        <v>Databricks — Configuration</v>
      </c>
      <c r="H14" s="164" t="str">
        <f>'Databricks AI Mitigation Contro'!N4</f>
        <v>IA-2</v>
      </c>
      <c r="I14" s="164" t="str">
        <f>'Databricks AI Mitigation Contro'!F4</f>
        <v>Customer configured, Databricks enforced</v>
      </c>
      <c r="J14" s="336" t="str">
        <f>'Databricks AI Mitigation Contro'!G4</f>
        <v>AWS</v>
      </c>
      <c r="K14" s="336" t="str">
        <f>'Databricks AI Mitigation Contro'!H4</f>
        <v>Azure</v>
      </c>
      <c r="L14" s="336" t="str">
        <f>'Databricks AI Mitigation Contro'!I4</f>
        <v>GCP</v>
      </c>
      <c r="M14" s="168" t="s">
        <v>258</v>
      </c>
      <c r="N14" s="172" t="s">
        <v>2314</v>
      </c>
      <c r="O14" s="173" t="s">
        <v>2315</v>
      </c>
      <c r="P14" s="173" t="s">
        <v>2316</v>
      </c>
      <c r="Q14" s="168" t="s">
        <v>258</v>
      </c>
      <c r="R14" s="168" t="s">
        <v>1376</v>
      </c>
      <c r="S14" s="174" t="s">
        <v>1377</v>
      </c>
      <c r="T14" s="175" t="s">
        <v>1378</v>
      </c>
      <c r="U14" s="337" t="s">
        <v>1361</v>
      </c>
      <c r="V14" s="338" t="s">
        <v>258</v>
      </c>
      <c r="W14" s="283"/>
      <c r="X14" s="283"/>
      <c r="Y14" s="283"/>
      <c r="Z14" s="283"/>
      <c r="AA14" s="283"/>
      <c r="AB14" s="283"/>
      <c r="AC14" s="283"/>
      <c r="AD14" s="283"/>
      <c r="AE14" s="283"/>
      <c r="AF14" s="283"/>
      <c r="AG14" s="283"/>
      <c r="AH14" s="283"/>
      <c r="AI14" s="283"/>
      <c r="AJ14" s="283"/>
      <c r="AK14" s="283"/>
    </row>
    <row r="15">
      <c r="A15" s="63" t="str">
        <f>'Databricks AI Mitigation Contro'!B5</f>
        <v>DASF 3: Restrict access using IP access lists</v>
      </c>
      <c r="B15" s="63" t="str">
        <f>'Databricks AI Mitigation Contro'!A5</f>
        <v>DASF 3</v>
      </c>
      <c r="C15" s="63" t="str">
        <f>'Databricks AI Mitigation Contro'!D5</f>
        <v>Configure IP access lists to restrict authentication to Databricks from specific IP ranges, such as VPNs or office networks, and strengthen network security by preventing unauthorized access from untrusted locations. 
Secure Egress Gateway (SEG) is a component of Databricks Platform Security that allows an administrator to implement policies that restrict access to internal or external endpoints. Currently, SEG only applies to Serverless runtimes.</v>
      </c>
      <c r="D15" s="63" t="str">
        <f>'Databricks AI Mitigation Contro'!C5</f>
        <v>Raw data 1.1, Data Prep 2.1, Data Prep 2.2, Data Prep 2.3, Data Prep 2.4, Datasets 3.1, Evaluation 6.1, Model 7.2, Model Management 8.2, Model Management 8.4, Model Serving — Inference requests 9.1, Model Serving — Inference requests 9.2, Model Serving — Inference requests 9.5, Model Serving — Inference requests 9.6, Model Serving — Inference requests 9.7, Model Serving — Inference requests 9.9, Model Serving — Inference requests 9.10,Model Serving — Inference requests 9.11,  Model Serving — Inference requests 9.12, Model Serving — Inference response 10.3, Model Serving — Inference response 10.4,Platform 12.7: Initial Access, Agents — Core 13.1, Agents — Core 13.2, Agents — Core 13.3, Agents — Core 13.6, Agents — Core 13.7, Agents — Core 13.8, Agents — Core 13.9, Agents — Core 13.14, Agents — Core 13.15, Agents — Tools MCP Server 13.16, Agents — Tools MCP Server 13.17, Agents — Tools MCP Server 13.18, Agents — Tools MCP Server 13.20, Agents — Tools MCP Server 13.23, Agents — Tools MCP Server 13.24, Agents — Tools MCP Server 13.25, Agents — Tools MCP Client 13.28, Agents — Tools MCP Client 13.30, Agents — Tools MCP Client 13.33, Agents — Tools MCP Client 13.34</v>
      </c>
      <c r="E15" s="334" t="str">
        <f>IFERROR(__xludf.DUMMYFUNCTION("IF(
 ISBLANK('DASF Risk Applicability'!$C$4),
 """",
 IFERROR(
   IF(
     QUERY(
       'DASF Risk Applicability'!$F$13:$H$74,
       ""select F where F contains '""&amp;B15&amp;""' and H = 'Show' limit 1"",
       0
     ) &lt;&gt; """",
     ""Yes"",
     ""No""
   "&amp;"),
   ""No""
 )
)"),"Yes")</f>
        <v>Yes</v>
      </c>
      <c r="F15" s="335" t="str">
        <f>IFERROR(__xludf.DUMMYFUNCTION("IF(ISBLANK($C$4), 
  ""Show"",
  IF(
    REGEXMATCH($E15, ""Yes""),
    ""Show"",
    ""Hide""
  )
)"),"Show")</f>
        <v>Show</v>
      </c>
      <c r="G15" s="164" t="str">
        <f>'Databricks AI Mitigation Contro'!E5</f>
        <v>Databricks — Configuration</v>
      </c>
      <c r="H15" s="164" t="str">
        <f>'Databricks AI Mitigation Contro'!N5</f>
        <v>NS-5</v>
      </c>
      <c r="I15" s="164" t="str">
        <f>'Databricks AI Mitigation Contro'!F5</f>
        <v>Customer configured, Databricks enforced</v>
      </c>
      <c r="J15" s="336" t="str">
        <f>'Databricks AI Mitigation Contro'!G5</f>
        <v>AWS</v>
      </c>
      <c r="K15" s="336" t="str">
        <f>'Databricks AI Mitigation Contro'!H5</f>
        <v>Azure</v>
      </c>
      <c r="L15" s="336" t="str">
        <f>'Databricks AI Mitigation Contro'!I5</f>
        <v>GCP</v>
      </c>
      <c r="M15" s="168" t="s">
        <v>258</v>
      </c>
      <c r="N15" s="172" t="s">
        <v>2317</v>
      </c>
      <c r="O15" s="173" t="s">
        <v>2318</v>
      </c>
      <c r="P15" s="173" t="s">
        <v>2319</v>
      </c>
      <c r="Q15" s="168" t="s">
        <v>258</v>
      </c>
      <c r="R15" s="168" t="s">
        <v>1392</v>
      </c>
      <c r="S15" s="174" t="s">
        <v>1393</v>
      </c>
      <c r="T15" s="175" t="s">
        <v>258</v>
      </c>
      <c r="U15" s="339" t="s">
        <v>258</v>
      </c>
      <c r="V15" s="338" t="s">
        <v>258</v>
      </c>
      <c r="W15" s="283"/>
      <c r="X15" s="283"/>
      <c r="Y15" s="283"/>
      <c r="Z15" s="283"/>
      <c r="AA15" s="283"/>
      <c r="AB15" s="283"/>
      <c r="AC15" s="283"/>
      <c r="AD15" s="283"/>
      <c r="AE15" s="283"/>
      <c r="AF15" s="283"/>
      <c r="AG15" s="283"/>
      <c r="AH15" s="283"/>
      <c r="AI15" s="283"/>
      <c r="AJ15" s="283"/>
      <c r="AK15" s="283"/>
    </row>
    <row r="16">
      <c r="A16" s="63" t="str">
        <f>'Databricks AI Mitigation Contro'!B6</f>
        <v>DASF 4: Restrict access using private link
</v>
      </c>
      <c r="B16" s="63" t="str">
        <f>'Databricks AI Mitigation Contro'!A6</f>
        <v>DASF 4</v>
      </c>
      <c r="C16" s="63" t="str">
        <f>'Databricks AI Mitigation Contro'!D6</f>
        <v>Use AWS PrivateLink, Azure Private Link or GCP Private Service Connect to create a private network route between the customer and the Databricks control plane or the control plane and the customer’s compute plane environments to enhance data security by avoiding public internet exposure.</v>
      </c>
      <c r="D16" s="63" t="str">
        <f>'Databricks AI Mitigation Contro'!C6</f>
        <v>Raw data 1.1, Data prep 2.1, Data Prep 2.2, Data Prep 2.3, Data Prep 2.4, Datasets 3.1, Evaluation 6.1, Model 7.2, Model Management 8.2, Model Management 8.4, Model Serving — Inference requests 9.1, Model Serving — Inference requests 9.2, Model Serving — Inference requests 9.5, Model Serving — Inference requests 9.6, Model Serving — Inference requests 9.7, Model Serving — Inference requests 9.9, Model Serving — Inference requests 9.10, Model Serving — Inference requests 9.11, Model Serving — Inference response 10.3, Model Serving — Inference response 10.4,Platform 12.7, Agents — Core 13.1, Agents — Core 13.2, Agents — Core 13.3, Agents — Core 13.6, Agents — Core 13.7, Agents — Core 13.8, Agents — Core 13.9, Agents — Core 13.14, Agents — Core 13.15, Agents — Tools MCP Server 13.16, Agents — Tools MCP Server 13.17, Agents — Tools MCP Server 13.18, Agents — Tools MCP Server 13.20, Agents — Tools MCP Server 13.23, Agents — Tools MCP Server 13.24, Agents — Tools MCP Server 13.25, Agents — Tools MCP Client 13.28, Agents — Tools MCP Client 13.30, Agents — Tools MCP Client 13.33, Agents — Tools MCP Client 13.34</v>
      </c>
      <c r="E16" s="334" t="str">
        <f>IFERROR(__xludf.DUMMYFUNCTION("IF(
 ISBLANK('DASF Risk Applicability'!$C$4),
 """",
 IFERROR(
   IF(
     QUERY(
       'DASF Risk Applicability'!$F$13:$H$74,
       ""select F where F contains '""&amp;B16&amp;""' and H = 'Show' limit 1"",
       0
     ) &lt;&gt; """",
     ""Yes"",
     ""No""
   "&amp;"),
   ""No""
 )
)"),"Yes")</f>
        <v>Yes</v>
      </c>
      <c r="F16" s="335" t="str">
        <f>IFERROR(__xludf.DUMMYFUNCTION("IF(ISBLANK($C$4), 
  ""Show"",
  IF(
    REGEXMATCH($E16, ""Yes""),
    ""Show"",
    ""Hide""
  )
)"),"Show")</f>
        <v>Show</v>
      </c>
      <c r="G16" s="164" t="str">
        <f>'Databricks AI Mitigation Contro'!E6</f>
        <v>Databricks — Configuration</v>
      </c>
      <c r="H16" s="164" t="str">
        <f>'Databricks AI Mitigation Contro'!N6</f>
        <v>NS-3</v>
      </c>
      <c r="I16" s="164" t="str">
        <f>'Databricks AI Mitigation Contro'!F6</f>
        <v>Customer configured, Databricks enforced</v>
      </c>
      <c r="J16" s="336" t="str">
        <f>'Databricks AI Mitigation Contro'!G6</f>
        <v>AWS</v>
      </c>
      <c r="K16" s="336" t="str">
        <f>'Databricks AI Mitigation Contro'!H6</f>
        <v>Azure</v>
      </c>
      <c r="L16" s="336" t="str">
        <f>'Databricks AI Mitigation Contro'!I6</f>
        <v>GCP</v>
      </c>
      <c r="M16" s="168" t="s">
        <v>258</v>
      </c>
      <c r="N16" s="172" t="s">
        <v>2320</v>
      </c>
      <c r="O16" s="173" t="s">
        <v>2321</v>
      </c>
      <c r="P16" s="173" t="s">
        <v>2322</v>
      </c>
      <c r="Q16" s="168" t="s">
        <v>258</v>
      </c>
      <c r="R16" s="168" t="s">
        <v>1392</v>
      </c>
      <c r="S16" s="174" t="s">
        <v>1407</v>
      </c>
      <c r="T16" s="175" t="s">
        <v>258</v>
      </c>
      <c r="U16" s="339" t="s">
        <v>258</v>
      </c>
      <c r="V16" s="338" t="s">
        <v>258</v>
      </c>
      <c r="W16" s="283"/>
      <c r="X16" s="283"/>
      <c r="Y16" s="283"/>
      <c r="Z16" s="283"/>
      <c r="AA16" s="283"/>
      <c r="AB16" s="283"/>
      <c r="AC16" s="283"/>
      <c r="AD16" s="283"/>
      <c r="AE16" s="283"/>
      <c r="AF16" s="283"/>
      <c r="AG16" s="283"/>
      <c r="AH16" s="283"/>
      <c r="AI16" s="283"/>
      <c r="AJ16" s="283"/>
      <c r="AK16" s="283"/>
    </row>
    <row r="17">
      <c r="A17" s="63" t="str">
        <f>'Databricks AI Mitigation Contro'!B7</f>
        <v>DASF 5: Control access to data and other objects</v>
      </c>
      <c r="B17" s="63" t="str">
        <f>'Databricks AI Mitigation Contro'!A7</f>
        <v>DASF 5</v>
      </c>
      <c r="C17" s="63" t="str">
        <f>'Databricks AI Mitigation Contro'!D7</f>
        <v>Implementing Unity Catalog for unified permissions management and assets simplifies access control and enhances security.</v>
      </c>
      <c r="D17" s="63" t="str">
        <f>'Databricks AI Mitigation Contro'!C7</f>
        <v>Raw data 1.1, Raw data 1.4, Raw data 1.11,  Model Serving — Inference requests 9.12, Data Prep 2.1, Datasets 3.1, Datasets 3.2, Datasets 3.3, Governance 4.1, Evaluation 6.1, Model 7.1, Model 7.2, Model Management 8.1, Model Management 8.2, Model Management 8.3, Model Management 8.4, Model Serving — Inference requests 9.1, Model Serving — Inference requests 9.2, Model Serving — Inference requests 9.5, Model Serving — Inference requests 9.6, Model Serving — Inference requests 9.7, Model Serving — Inference requests 9.9, Model Serving — Inference requests 9.10, Model Serving — Inference requests 9.11,  Model Serving — Inference requests 9.12,Model Serving — Inference response 10.3, Model Serving — Inference response 10.4, Platform 12.7, Agents — Core 13.1, Agents — Core 13.2, Agents — Core 13.3, Agents — Core 13.6, Agents — Core 13.7, Agents — Core 13.8, Agents — Core 13.9, Agents — Core 13.14, Agents — Core 13.15, Agents — Tools MCP Server 13.16, Agents — Tools MCP Server 13.17, Agents — Tools MCP Server 13.18, Agents — Tools MCP Server 13.20, Agents — Tools MCP Server 13.22, Agents — Tools MCP Server 13.23, Agents — Tools MCP Server 13.24, Agents — Tools MCP Client 13.28, Agents — Tools MCP Client 13.30, Agents — Tools MCP Client 13.31, Agents — Tools MCP Client 13.34</v>
      </c>
      <c r="E17" s="334" t="str">
        <f>IFERROR(__xludf.DUMMYFUNCTION("IF(
 ISBLANK('DASF Risk Applicability'!$C$4),
 """",
 IFERROR(
   IF(
     QUERY(
       'DASF Risk Applicability'!$F$13:$H$74,
       ""select F where F contains '""&amp;B17&amp;""' and H = 'Show' limit 1"",
       0
     ) &lt;&gt; """",
     ""Yes"",
     ""No""
   "&amp;"),
   ""No""
 )
)"),"Yes")</f>
        <v>Yes</v>
      </c>
      <c r="F17" s="335" t="str">
        <f>IFERROR(__xludf.DUMMYFUNCTION("IF(ISBLANK($C$4), 
  ""Show"",
  IF(
    REGEXMATCH($E17, ""Yes""),
    ""Show"",
    ""Hide""
  )
)"),"Show")</f>
        <v>Show</v>
      </c>
      <c r="G17" s="164" t="str">
        <f>'Databricks AI Mitigation Contro'!E7</f>
        <v>Databricks — Implementation</v>
      </c>
      <c r="H17" s="164" t="str">
        <f>'Databricks AI Mitigation Contro'!N7</f>
        <v>GOV-16, GOV-20</v>
      </c>
      <c r="I17" s="164" t="str">
        <f>'Databricks AI Mitigation Contro'!F7</f>
        <v>Customer configured, Databricks enforced</v>
      </c>
      <c r="J17" s="336" t="str">
        <f>'Databricks AI Mitigation Contro'!G7</f>
        <v>AWS</v>
      </c>
      <c r="K17" s="336" t="str">
        <f>'Databricks AI Mitigation Contro'!H7</f>
        <v>Azure</v>
      </c>
      <c r="L17" s="336" t="str">
        <f>'Databricks AI Mitigation Contro'!I7</f>
        <v>GCP</v>
      </c>
      <c r="M17" s="172" t="s">
        <v>2323</v>
      </c>
      <c r="N17" s="172" t="s">
        <v>2324</v>
      </c>
      <c r="O17" s="173" t="s">
        <v>2325</v>
      </c>
      <c r="P17" s="173" t="s">
        <v>2326</v>
      </c>
      <c r="Q17" s="168" t="s">
        <v>258</v>
      </c>
      <c r="R17" s="168" t="s">
        <v>405</v>
      </c>
      <c r="S17" s="174" t="s">
        <v>1423</v>
      </c>
      <c r="T17" s="175" t="s">
        <v>1424</v>
      </c>
      <c r="U17" s="337" t="s">
        <v>1425</v>
      </c>
      <c r="V17" s="180" t="s">
        <v>2327</v>
      </c>
      <c r="W17" s="283"/>
      <c r="X17" s="283"/>
      <c r="Y17" s="283"/>
      <c r="Z17" s="283"/>
      <c r="AA17" s="283"/>
      <c r="AB17" s="283"/>
      <c r="AC17" s="283"/>
      <c r="AD17" s="283"/>
      <c r="AE17" s="283"/>
      <c r="AF17" s="283"/>
      <c r="AG17" s="283"/>
      <c r="AH17" s="283"/>
      <c r="AI17" s="283"/>
      <c r="AJ17" s="283"/>
      <c r="AK17" s="283"/>
    </row>
    <row r="18">
      <c r="A18" s="63" t="str">
        <f>'Databricks AI Mitigation Contro'!B8</f>
        <v>DASF 6: Classify data</v>
      </c>
      <c r="B18" s="63" t="str">
        <f>'Databricks AI Mitigation Contro'!A8</f>
        <v>DASF 6</v>
      </c>
      <c r="C18" s="63" t="str">
        <f>'Databricks AI Mitigation Contro'!D8</f>
        <v>Data catalogs can have a vast amount of data, often containing known and unknown sensitive data. It is critical for data teams to understand what kind of sensitive data exists in each table so that they can both govern and democratize access to this data.
To address this problem, Databricks Data Classification automatically classifies and tags tables in your catalog. This allows you to discover sensitive data, as well as apply governance controls over the results, using tools such as role-based access control (RBAC) and attribute-based access control (ABAC) policies in Unity Catalog. You can also use tags manually or via API as attributes containing keys and optional values that you can apply to different securable objects in Unity Catalog. Organizing securable objects with tags in Unity Catalog aids in efficient data management, data discovery and classification, essential for handling large datasets. Additionally, use governed tags to manage and enforce a tag policy. Tag policies allow admins to define which tag keys are governed, specify the allowed values for those tags, and control who can assign or modify them. This provides organizations with centralized control over tag usage, supporting consistent data classification, compliance, and operational standards.</v>
      </c>
      <c r="D18" s="63" t="str">
        <f>'Databricks AI Mitigation Contro'!C8</f>
        <v>Raw data 1.2,  Model Serving — Inference requests 9.13</v>
      </c>
      <c r="E18" s="334" t="str">
        <f>IFERROR(__xludf.DUMMYFUNCTION("IF(
 ISBLANK('DASF Risk Applicability'!$C$4),
 """",
 IFERROR(
   IF(
     QUERY(
       'DASF Risk Applicability'!$F$13:$H$74,
       ""select F where F contains '""&amp;B18&amp;""' and H = 'Show' limit 1"",
       0
     ) &lt;&gt; """",
     ""Yes"",
     ""No""
   "&amp;"),
   ""No""
 )
)"),"Yes")</f>
        <v>Yes</v>
      </c>
      <c r="F18" s="335" t="str">
        <f>IFERROR(__xludf.DUMMYFUNCTION("IF(ISBLANK($C$4), 
  ""Show"",
  IF(
    REGEXMATCH($E18, ""Yes""),
    ""Show"",
    ""Hide""
  )
)"),"Show")</f>
        <v>Show</v>
      </c>
      <c r="G18" s="164" t="str">
        <f>'Databricks AI Mitigation Contro'!E8</f>
        <v>Databricks — Implementation</v>
      </c>
      <c r="H18" s="164" t="str">
        <f>'Databricks AI Mitigation Contro'!N8</f>
        <v>Features available to implement control and manually verify</v>
      </c>
      <c r="I18" s="164" t="str">
        <f>'Databricks AI Mitigation Contro'!F8</f>
        <v>Customer configured, Databricks enforced</v>
      </c>
      <c r="J18" s="336" t="str">
        <f>'Databricks AI Mitigation Contro'!G8</f>
        <v>AWS</v>
      </c>
      <c r="K18" s="336" t="str">
        <f>'Databricks AI Mitigation Contro'!H8</f>
        <v>Azure</v>
      </c>
      <c r="L18" s="336" t="str">
        <f>'Databricks AI Mitigation Contro'!I8</f>
        <v>GCP</v>
      </c>
      <c r="M18" s="168" t="s">
        <v>258</v>
      </c>
      <c r="N18" s="340" t="s">
        <v>2328</v>
      </c>
      <c r="O18" s="173" t="s">
        <v>2329</v>
      </c>
      <c r="P18" s="173" t="s">
        <v>2330</v>
      </c>
      <c r="Q18" s="168" t="s">
        <v>275</v>
      </c>
      <c r="R18" s="168" t="s">
        <v>276</v>
      </c>
      <c r="S18" s="174" t="s">
        <v>1442</v>
      </c>
      <c r="T18" s="175" t="s">
        <v>258</v>
      </c>
      <c r="U18" s="337" t="s">
        <v>1443</v>
      </c>
      <c r="V18" s="338" t="s">
        <v>258</v>
      </c>
      <c r="W18" s="283"/>
      <c r="X18" s="283"/>
      <c r="Y18" s="283"/>
      <c r="Z18" s="283"/>
      <c r="AA18" s="283"/>
      <c r="AB18" s="283"/>
      <c r="AC18" s="283"/>
      <c r="AD18" s="283"/>
      <c r="AE18" s="283"/>
      <c r="AF18" s="283"/>
      <c r="AG18" s="283"/>
      <c r="AH18" s="283"/>
      <c r="AI18" s="283"/>
      <c r="AJ18" s="283"/>
      <c r="AK18" s="283"/>
    </row>
    <row r="19">
      <c r="A19" s="63" t="str">
        <f>'Databricks AI Mitigation Contro'!B9</f>
        <v>DASF 7: Enforce data quality checks on batch and streaming datasets
</v>
      </c>
      <c r="B19" s="63" t="str">
        <f>'Databricks AI Mitigation Contro'!A9</f>
        <v>DASF 7</v>
      </c>
      <c r="C19" s="63" t="str">
        <f>'Databricks AI Mitigation Contro'!D9</f>
        <v>Databricks Delta Live Tables (DLT) simplifies ETL development with declarative pipelines that integrate quality control checks and performance monitoring.</v>
      </c>
      <c r="D19" s="63" t="str">
        <f>'Databricks AI Mitigation Contro'!C9</f>
        <v>Raw data 1.3, Raw data 1.9, Raw data 1.11,  Data Prep 2.1, Datasets 3.1, Governance 4.1, Evaluation 6.1</v>
      </c>
      <c r="E19" s="334" t="str">
        <f>IFERROR(__xludf.DUMMYFUNCTION("IF(
 ISBLANK('DASF Risk Applicability'!$C$4),
 """",
 IFERROR(
   IF(
     QUERY(
       'DASF Risk Applicability'!$F$13:$H$74,
       ""select F where F contains '""&amp;B19&amp;""' and H = 'Show' limit 1"",
       0
     ) &lt;&gt; """",
     ""Yes"",
     ""No""
   "&amp;"),
   ""No""
 )
)"),"Yes")</f>
        <v>Yes</v>
      </c>
      <c r="F19" s="335" t="str">
        <f>IFERROR(__xludf.DUMMYFUNCTION("IF(ISBLANK($C$4), 
  ""Show"",
  IF(
    REGEXMATCH($E19, ""Yes""),
    ""Show"",
    ""Hide""
  )
)"),"Show")</f>
        <v>Show</v>
      </c>
      <c r="G19" s="164" t="str">
        <f>'Databricks AI Mitigation Contro'!E9</f>
        <v>Databricks — Implementation</v>
      </c>
      <c r="H19" s="164" t="str">
        <f>'Databricks AI Mitigation Contro'!N9</f>
        <v>Customer validated</v>
      </c>
      <c r="I19" s="164" t="str">
        <f>'Databricks AI Mitigation Contro'!F9</f>
        <v>Customer configured, Databricks enforced</v>
      </c>
      <c r="J19" s="336" t="str">
        <f>'Databricks AI Mitigation Contro'!G9</f>
        <v>AWS</v>
      </c>
      <c r="K19" s="336" t="str">
        <f>'Databricks AI Mitigation Contro'!H9</f>
        <v>Azure</v>
      </c>
      <c r="L19" s="336" t="str">
        <f>'Databricks AI Mitigation Contro'!I9</f>
        <v>GCP</v>
      </c>
      <c r="M19" s="186" t="s">
        <v>2331</v>
      </c>
      <c r="N19" s="168" t="s">
        <v>258</v>
      </c>
      <c r="O19" s="173" t="s">
        <v>2332</v>
      </c>
      <c r="P19" s="187" t="s">
        <v>258</v>
      </c>
      <c r="Q19" s="187" t="s">
        <v>1455</v>
      </c>
      <c r="R19" s="168" t="s">
        <v>258</v>
      </c>
      <c r="S19" s="174" t="s">
        <v>1456</v>
      </c>
      <c r="T19" s="175" t="s">
        <v>1457</v>
      </c>
      <c r="U19" s="337" t="s">
        <v>1458</v>
      </c>
      <c r="V19" s="341"/>
      <c r="W19" s="283"/>
      <c r="X19" s="283"/>
      <c r="Y19" s="283"/>
      <c r="Z19" s="283"/>
      <c r="AA19" s="283"/>
      <c r="AB19" s="283"/>
      <c r="AC19" s="283"/>
      <c r="AD19" s="283"/>
      <c r="AE19" s="283"/>
      <c r="AF19" s="283"/>
      <c r="AG19" s="283"/>
      <c r="AH19" s="283"/>
      <c r="AI19" s="283"/>
      <c r="AJ19" s="283"/>
      <c r="AK19" s="283"/>
    </row>
    <row r="20">
      <c r="A20" s="63" t="str">
        <f>'Databricks AI Mitigation Contro'!B10</f>
        <v>DASF 8: Encrypt data at rest
</v>
      </c>
      <c r="B20" s="63" t="str">
        <f>'Databricks AI Mitigation Contro'!A10</f>
        <v>DASF 8</v>
      </c>
      <c r="C20" s="63" t="str">
        <f>'Databricks AI Mitigation Contro'!D10</f>
        <v>Databricks supports customer-managed encryption keys to strengthen data at rest protection and greater access control.</v>
      </c>
      <c r="D20" s="63" t="str">
        <f>'Databricks AI Mitigation Contro'!C10</f>
        <v>Raw data 1.4, Datasets 3.2, Datasets 3.3, Agents — Tools MCP Client 13.27, Agents — Tools MCP Client 13.30, Agents — Tools MCP Server 13.19</v>
      </c>
      <c r="E20" s="334" t="str">
        <f>IFERROR(__xludf.DUMMYFUNCTION("IF(
 ISBLANK('DASF Risk Applicability'!$C$4),
 """",
 IFERROR(
   IF(
     QUERY(
       'DASF Risk Applicability'!$F$13:$H$74,
       ""select F where F contains '""&amp;B20&amp;""' and H = 'Show' limit 1"",
       0
     ) &lt;&gt; """",
     ""Yes"",
     ""No""
   "&amp;"),
   ""No""
 )
)"),"Yes")</f>
        <v>Yes</v>
      </c>
      <c r="F20" s="335" t="str">
        <f>IFERROR(__xludf.DUMMYFUNCTION("IF(ISBLANK($C$4), 
  ""Show"",
  IF(
    REGEXMATCH($E20, ""Yes""),
    ""Show"",
    ""Hide""
  )
)"),"Show")</f>
        <v>Show</v>
      </c>
      <c r="G20" s="164" t="str">
        <f>'Databricks AI Mitigation Contro'!E10</f>
        <v>Databricks — Configuration</v>
      </c>
      <c r="H20" s="164" t="str">
        <f>'Databricks AI Mitigation Contro'!N10</f>
        <v>DP-4, DP-2</v>
      </c>
      <c r="I20" s="164" t="str">
        <f>'Databricks AI Mitigation Contro'!F10</f>
        <v>Customer configured, Databricks enforced</v>
      </c>
      <c r="J20" s="336" t="str">
        <f>'Databricks AI Mitigation Contro'!G10</f>
        <v>AWS</v>
      </c>
      <c r="K20" s="336" t="str">
        <f>'Databricks AI Mitigation Contro'!H10</f>
        <v>Azure</v>
      </c>
      <c r="L20" s="336" t="str">
        <f>'Databricks AI Mitigation Contro'!I10</f>
        <v>GCP</v>
      </c>
      <c r="M20" s="172" t="s">
        <v>2333</v>
      </c>
      <c r="N20" s="172" t="s">
        <v>2334</v>
      </c>
      <c r="O20" s="173" t="s">
        <v>2335</v>
      </c>
      <c r="P20" s="173" t="s">
        <v>2336</v>
      </c>
      <c r="Q20" s="168" t="s">
        <v>258</v>
      </c>
      <c r="R20" s="168" t="s">
        <v>1474</v>
      </c>
      <c r="S20" s="174" t="s">
        <v>1475</v>
      </c>
      <c r="T20" s="175" t="s">
        <v>258</v>
      </c>
      <c r="U20" s="337" t="s">
        <v>1476</v>
      </c>
      <c r="V20" s="180" t="s">
        <v>2337</v>
      </c>
      <c r="W20" s="283"/>
      <c r="X20" s="283"/>
      <c r="Y20" s="283"/>
      <c r="Z20" s="283"/>
      <c r="AA20" s="283"/>
      <c r="AB20" s="283"/>
      <c r="AC20" s="283"/>
      <c r="AD20" s="283"/>
      <c r="AE20" s="283"/>
      <c r="AF20" s="283"/>
      <c r="AG20" s="283"/>
      <c r="AH20" s="283"/>
      <c r="AI20" s="283"/>
      <c r="AJ20" s="283"/>
      <c r="AK20" s="283"/>
    </row>
    <row r="21">
      <c r="A21" s="63" t="str">
        <f>'Databricks AI Mitigation Contro'!B11</f>
        <v>DASF 9: Encrypt data in transit</v>
      </c>
      <c r="B21" s="63" t="str">
        <f>'Databricks AI Mitigation Contro'!A11</f>
        <v>DASF 9</v>
      </c>
      <c r="C21" s="63" t="str">
        <f>'Databricks AI Mitigation Contro'!D11</f>
        <v>Databricks supports TLS 1.2+ encryption to protect customer data during transit. This applies to data transfer between the customer and the Databricks control plane and within the compute plane. Customers can also secure inter-cluster communications within the compute plane per their security requirements.</v>
      </c>
      <c r="D21" s="63" t="str">
        <f>'Databricks AI Mitigation Contro'!C11</f>
        <v>Raw data 1.4, Datasets 3.2, Datasets 3.3, Agents — Core 13.12, Agents — Tools MCP Server 13.19, Agents — Tools MCP Server 13.23, Agents — Tools MCP Server 13.24, Agents — Tools MCP Server 13.25, Agents — Tools MCP Client 13.26, Agents — Tools MCP Client 13.28, Agents — Tools MCP Client 13.29, Agents — Tools MCP Client 13.33, Agents — Tools MCP Client 13.34</v>
      </c>
      <c r="E21" s="334" t="str">
        <f>IFERROR(__xludf.DUMMYFUNCTION("IF(
 ISBLANK('DASF Risk Applicability'!$C$4),
 """",
 IFERROR(
   IF(
     QUERY(
       'DASF Risk Applicability'!$F$13:$H$74,
       ""select F where F contains '""&amp;B21&amp;""' and H = 'Show' limit 1"",
       0
     ) &lt;&gt; """",
     ""Yes"",
     ""No""
   "&amp;"),
   ""No""
 )
)"),"Yes")</f>
        <v>Yes</v>
      </c>
      <c r="F21" s="335" t="str">
        <f>IFERROR(__xludf.DUMMYFUNCTION("IF(ISBLANK($C$4), 
  ""Show"",
  IF(
    REGEXMATCH($E21, ""Yes""),
    ""Show"",
    ""Hide""
  )
)"),"Show")</f>
        <v>Show</v>
      </c>
      <c r="G21" s="164" t="str">
        <f>'Databricks AI Mitigation Contro'!E11</f>
        <v>Databricks — Out-of-the-box</v>
      </c>
      <c r="H21" s="164" t="str">
        <f>'Databricks AI Mitigation Contro'!N11</f>
        <v>Out of the box</v>
      </c>
      <c r="I21" s="164" t="str">
        <f>'Databricks AI Mitigation Contro'!F11</f>
        <v>Databricks Managed</v>
      </c>
      <c r="J21" s="336" t="str">
        <f>'Databricks AI Mitigation Contro'!G11</f>
        <v>AWS</v>
      </c>
      <c r="K21" s="336" t="str">
        <f>'Databricks AI Mitigation Contro'!H11</f>
        <v>Azure</v>
      </c>
      <c r="L21" s="336" t="str">
        <f>'Databricks AI Mitigation Contro'!I11</f>
        <v>GCP</v>
      </c>
      <c r="M21" s="172" t="s">
        <v>2338</v>
      </c>
      <c r="N21" s="172" t="s">
        <v>2339</v>
      </c>
      <c r="O21" s="173" t="s">
        <v>2340</v>
      </c>
      <c r="P21" s="173" t="s">
        <v>2341</v>
      </c>
      <c r="Q21" s="168" t="s">
        <v>258</v>
      </c>
      <c r="R21" s="168" t="s">
        <v>1474</v>
      </c>
      <c r="S21" s="174" t="s">
        <v>1495</v>
      </c>
      <c r="T21" s="175" t="s">
        <v>1496</v>
      </c>
      <c r="U21" s="337" t="s">
        <v>1497</v>
      </c>
      <c r="V21" s="180" t="s">
        <v>2342</v>
      </c>
      <c r="W21" s="283"/>
      <c r="X21" s="283"/>
      <c r="Y21" s="283"/>
      <c r="Z21" s="283"/>
      <c r="AA21" s="283"/>
      <c r="AB21" s="283"/>
      <c r="AC21" s="283"/>
      <c r="AD21" s="283"/>
      <c r="AE21" s="283"/>
      <c r="AF21" s="283"/>
      <c r="AG21" s="283"/>
      <c r="AH21" s="283"/>
      <c r="AI21" s="283"/>
      <c r="AJ21" s="283"/>
      <c r="AK21" s="283"/>
    </row>
    <row r="22">
      <c r="A22" s="63" t="str">
        <f>'Databricks AI Mitigation Contro'!B12</f>
        <v>DASF 10: Version data
</v>
      </c>
      <c r="B22" s="63" t="str">
        <f>'Databricks AI Mitigation Contro'!A12</f>
        <v>DASF 10</v>
      </c>
      <c r="C22" s="63" t="str">
        <f>'Databricks AI Mitigation Contro'!D12</f>
        <v>Store data in a lakehouse architecture using Delta tables. Delta tables can be versioned to revert any user or malicious actor poisoning of data. Data can be stored in a lakehouse architecture in the customer’s cloud account. Both raw data and feature tables are stored as Delta tables with access controls to determine who can read and modify them. Data lineage with UC helps track and audit changes and the origin of ML data sources. Each operation that modifies a Delta Lake table creates a new table version. User actions are tracked and audited, and lineage of transformations is available all in the same platform. You can use history information to audit operations, roll back a table or query a table at a specific point in time using time travel.</v>
      </c>
      <c r="D22" s="63" t="str">
        <f>'Databricks AI Mitigation Contro'!C12</f>
        <v>Raw data 1.5, Raw data 1.7</v>
      </c>
      <c r="E22" s="334" t="str">
        <f>IFERROR(__xludf.DUMMYFUNCTION("IF(
 ISBLANK('DASF Risk Applicability'!$C$4),
 """",
 IFERROR(
   IF(
     QUERY(
       'DASF Risk Applicability'!$F$13:$H$74,
       ""select F where F contains '""&amp;B22&amp;""' and H = 'Show' limit 1"",
       0
     ) &lt;&gt; """",
     ""Yes"",
     ""No""
   "&amp;"),
   ""No""
 )
)"),"Yes")</f>
        <v>Yes</v>
      </c>
      <c r="F22" s="335" t="str">
        <f>IFERROR(__xludf.DUMMYFUNCTION("IF(ISBLANK($C$4), 
  ""Show"",
  IF(
    REGEXMATCH($E22, ""Yes""),
    ""Show"",
    ""Hide""
  )
)"),"Show")</f>
        <v>Show</v>
      </c>
      <c r="G22" s="164" t="str">
        <f>'Databricks AI Mitigation Contro'!E12</f>
        <v>Databricks — Implementation</v>
      </c>
      <c r="H22" s="164" t="str">
        <f>'Databricks AI Mitigation Contro'!N12</f>
        <v>Out of the box</v>
      </c>
      <c r="I22" s="164" t="str">
        <f>'Databricks AI Mitigation Contro'!F12</f>
        <v>Customer configured, Databricks enforced</v>
      </c>
      <c r="J22" s="336" t="str">
        <f>'Databricks AI Mitigation Contro'!G12</f>
        <v>AWS</v>
      </c>
      <c r="K22" s="336" t="str">
        <f>'Databricks AI Mitigation Contro'!H12</f>
        <v>Azure</v>
      </c>
      <c r="L22" s="336" t="str">
        <f>'Databricks AI Mitigation Contro'!I12</f>
        <v>GCP</v>
      </c>
      <c r="M22" s="168" t="s">
        <v>258</v>
      </c>
      <c r="N22" s="172" t="s">
        <v>2343</v>
      </c>
      <c r="O22" s="173" t="s">
        <v>2344</v>
      </c>
      <c r="P22" s="187" t="s">
        <v>258</v>
      </c>
      <c r="Q22" s="168" t="s">
        <v>320</v>
      </c>
      <c r="R22" s="168" t="s">
        <v>258</v>
      </c>
      <c r="S22" s="174" t="s">
        <v>1509</v>
      </c>
      <c r="T22" s="175" t="s">
        <v>1510</v>
      </c>
      <c r="U22" s="337" t="s">
        <v>1511</v>
      </c>
      <c r="V22" s="338" t="s">
        <v>258</v>
      </c>
      <c r="W22" s="283"/>
      <c r="X22" s="283"/>
      <c r="Y22" s="283"/>
      <c r="Z22" s="283"/>
      <c r="AA22" s="283"/>
      <c r="AB22" s="283"/>
      <c r="AC22" s="283"/>
      <c r="AD22" s="283"/>
      <c r="AE22" s="283"/>
      <c r="AF22" s="283"/>
      <c r="AG22" s="283"/>
      <c r="AH22" s="283"/>
      <c r="AI22" s="283"/>
      <c r="AJ22" s="283"/>
      <c r="AK22" s="283"/>
    </row>
    <row r="23">
      <c r="A23" s="63" t="str">
        <f>'Databricks AI Mitigation Contro'!B13</f>
        <v>DASF 11: Capture and view data lineage</v>
      </c>
      <c r="B23" s="63" t="str">
        <f>'Databricks AI Mitigation Contro'!A13</f>
        <v>DASF 11</v>
      </c>
      <c r="C23" s="63" t="str">
        <f>'Databricks AI Mitigation Contro'!D13</f>
        <v>Unity Catalog tracks and visualizes real-time data lineage across all languages to the column level, providing a traceable history of an object from notebooks, workflows, models and dashboards. This enhances transparency and compliance, with accessibility provided through the Catalog Explorer.</v>
      </c>
      <c r="D23" s="63" t="str">
        <f>'Databricks AI Mitigation Contro'!C13</f>
        <v>Raw data 1.6, Raw data 1.11, Data Prep 2.1, Datasets 3.1, Governance 4.1, Evaluation 6.1, Model Serving — Inference requests 9.13</v>
      </c>
      <c r="E23" s="334" t="str">
        <f>IFERROR(__xludf.DUMMYFUNCTION("IF(
 ISBLANK('DASF Risk Applicability'!$C$4),
 """",
 IFERROR(
   IF(
     QUERY(
       'DASF Risk Applicability'!$F$13:$H$74,
       ""select F where F contains '""&amp;B23&amp;""' and H = 'Show' limit 1"",
       0
     ) &lt;&gt; """",
     ""Yes"",
     ""No""
   "&amp;"),
   ""No""
 )
)"),"Yes")</f>
        <v>Yes</v>
      </c>
      <c r="F23" s="335" t="str">
        <f>IFERROR(__xludf.DUMMYFUNCTION("IF(ISBLANK($C$4), 
  ""Show"",
  IF(
    REGEXMATCH($E23, ""Yes""),
    ""Show"",
    ""Hide""
  )
)"),"Show")</f>
        <v>Show</v>
      </c>
      <c r="G23" s="164" t="str">
        <f>'Databricks AI Mitigation Contro'!E13</f>
        <v>Databricks — Out-of-the-box</v>
      </c>
      <c r="H23" s="164" t="str">
        <f>'Databricks AI Mitigation Contro'!N13</f>
        <v>GOV-16</v>
      </c>
      <c r="I23" s="164" t="str">
        <f>'Databricks AI Mitigation Contro'!F13</f>
        <v>Databricks Managed</v>
      </c>
      <c r="J23" s="336" t="str">
        <f>'Databricks AI Mitigation Contro'!G13</f>
        <v>AWS</v>
      </c>
      <c r="K23" s="336" t="str">
        <f>'Databricks AI Mitigation Contro'!H13</f>
        <v>Azure</v>
      </c>
      <c r="L23" s="336" t="str">
        <f>'Databricks AI Mitigation Contro'!I13</f>
        <v>GCP</v>
      </c>
      <c r="M23" s="168" t="s">
        <v>258</v>
      </c>
      <c r="N23" s="168" t="s">
        <v>258</v>
      </c>
      <c r="O23" s="173" t="s">
        <v>2345</v>
      </c>
      <c r="P23" s="187" t="s">
        <v>258</v>
      </c>
      <c r="Q23" s="168" t="s">
        <v>331</v>
      </c>
      <c r="R23" s="168" t="s">
        <v>258</v>
      </c>
      <c r="S23" s="174" t="s">
        <v>1522</v>
      </c>
      <c r="T23" s="175" t="s">
        <v>1523</v>
      </c>
      <c r="U23" s="337" t="s">
        <v>1524</v>
      </c>
      <c r="V23" s="338" t="s">
        <v>258</v>
      </c>
      <c r="W23" s="283"/>
      <c r="X23" s="283"/>
      <c r="Y23" s="283"/>
      <c r="Z23" s="283"/>
      <c r="AA23" s="283"/>
      <c r="AB23" s="283"/>
      <c r="AC23" s="283"/>
      <c r="AD23" s="283"/>
      <c r="AE23" s="283"/>
      <c r="AF23" s="283"/>
      <c r="AG23" s="283"/>
      <c r="AH23" s="283"/>
      <c r="AI23" s="283"/>
      <c r="AJ23" s="283"/>
      <c r="AK23" s="283"/>
    </row>
    <row r="24">
      <c r="A24" s="63" t="str">
        <f>'Databricks AI Mitigation Contro'!B14</f>
        <v>DASF 12: Delete records from datasets</v>
      </c>
      <c r="B24" s="63" t="str">
        <f>'Databricks AI Mitigation Contro'!A14</f>
        <v>DASF 12</v>
      </c>
      <c r="C24" s="63" t="str">
        <f>'Databricks AI Mitigation Contro'!D14</f>
        <v>Data governance in Delta Lake, the lakehouse storage layer, utilizes its atomicity, consistency, isolation, durability (ACID) properties for effective data management. This includes the capability to remove data based on specific predicates from a Delta Table, including the complete removal of data’s history, supporting compliance with regulations like GDPR and CCPA.</v>
      </c>
      <c r="D24" s="63" t="str">
        <f>'Databricks AI Mitigation Contro'!C14</f>
        <v>Raw data 1.8</v>
      </c>
      <c r="E24" s="334" t="str">
        <f>IFERROR(__xludf.DUMMYFUNCTION("IF(
 ISBLANK('DASF Risk Applicability'!$C$4),
 """",
 IFERROR(
   IF(
     QUERY(
       'DASF Risk Applicability'!$F$13:$H$74,
       ""select F where F contains '""&amp;B24&amp;""' and H = 'Show' limit 1"",
       0
     ) &lt;&gt; """",
     ""Yes"",
     ""No""
   "&amp;"),
   ""No""
 )
)"),"Yes")</f>
        <v>Yes</v>
      </c>
      <c r="F24" s="335" t="str">
        <f>IFERROR(__xludf.DUMMYFUNCTION("IF(ISBLANK($C$4), 
  ""Show"",
  IF(
    REGEXMATCH($E24, ""Yes""),
    ""Show"",
    ""Hide""
  )
)"),"Show")</f>
        <v>Show</v>
      </c>
      <c r="G24" s="164" t="str">
        <f>'Databricks AI Mitigation Contro'!E14</f>
        <v>Databricks — Implementation</v>
      </c>
      <c r="H24" s="164" t="str">
        <f>'Databricks AI Mitigation Contro'!N14</f>
        <v>Out of the box</v>
      </c>
      <c r="I24" s="164" t="str">
        <f>'Databricks AI Mitigation Contro'!F14</f>
        <v>Customer configured, Databricks enforced</v>
      </c>
      <c r="J24" s="336" t="str">
        <f>'Databricks AI Mitigation Contro'!G14</f>
        <v>AWS</v>
      </c>
      <c r="K24" s="336" t="str">
        <f>'Databricks AI Mitigation Contro'!H14</f>
        <v>Azure</v>
      </c>
      <c r="L24" s="336" t="str">
        <f>'Databricks AI Mitigation Contro'!I14</f>
        <v>GCP</v>
      </c>
      <c r="M24" s="168" t="s">
        <v>258</v>
      </c>
      <c r="N24" s="168" t="s">
        <v>258</v>
      </c>
      <c r="O24" s="187" t="s">
        <v>1535</v>
      </c>
      <c r="P24" s="187" t="s">
        <v>258</v>
      </c>
      <c r="Q24" s="168" t="s">
        <v>1536</v>
      </c>
      <c r="R24" s="168" t="s">
        <v>360</v>
      </c>
      <c r="S24" s="174" t="s">
        <v>1537</v>
      </c>
      <c r="T24" s="175" t="s">
        <v>1538</v>
      </c>
      <c r="U24" s="337" t="s">
        <v>1539</v>
      </c>
      <c r="V24" s="338" t="s">
        <v>258</v>
      </c>
      <c r="W24" s="283"/>
      <c r="X24" s="283"/>
      <c r="Y24" s="283"/>
      <c r="Z24" s="283"/>
      <c r="AA24" s="283"/>
      <c r="AB24" s="283"/>
      <c r="AC24" s="283"/>
      <c r="AD24" s="283"/>
      <c r="AE24" s="283"/>
      <c r="AF24" s="283"/>
      <c r="AG24" s="283"/>
      <c r="AH24" s="283"/>
      <c r="AI24" s="283"/>
      <c r="AJ24" s="283"/>
      <c r="AK24" s="283"/>
    </row>
    <row r="25">
      <c r="A25" s="63" t="str">
        <f>'Databricks AI Mitigation Contro'!B15</f>
        <v>DASF 13: Use near real-time data
</v>
      </c>
      <c r="B25" s="63" t="str">
        <f>'Databricks AI Mitigation Contro'!A15</f>
        <v>DASF 13</v>
      </c>
      <c r="C25" s="63" t="str">
        <f>'Databricks AI Mitigation Contro'!D15</f>
        <v>Use Databricks for near real-time data ingestion, processing, machine learning, and AI for streaming data.</v>
      </c>
      <c r="D25" s="63" t="str">
        <f>'Databricks AI Mitigation Contro'!C15</f>
        <v>Raw data 1.9</v>
      </c>
      <c r="E25" s="334" t="str">
        <f>IFERROR(__xludf.DUMMYFUNCTION("IF(
 ISBLANK('DASF Risk Applicability'!$C$4),
 """",
 IFERROR(
   IF(
     QUERY(
       'DASF Risk Applicability'!$F$13:$H$74,
       ""select F where F contains '""&amp;B25&amp;""' and H = 'Show' limit 1"",
       0
     ) &lt;&gt; """",
     ""Yes"",
     ""No""
   "&amp;"),
   ""No""
 )
)"),"Yes")</f>
        <v>Yes</v>
      </c>
      <c r="F25" s="335" t="str">
        <f>IFERROR(__xludf.DUMMYFUNCTION("IF(ISBLANK($C$4), 
  ""Show"",
  IF(
    REGEXMATCH($E25, ""Yes""),
    ""Show"",
    ""Hide""
  )
)"),"Show")</f>
        <v>Show</v>
      </c>
      <c r="G25" s="164" t="str">
        <f>'Databricks AI Mitigation Contro'!E15</f>
        <v>Databricks — Implementation</v>
      </c>
      <c r="H25" s="164" t="str">
        <f>'Databricks AI Mitigation Contro'!N15</f>
        <v>Out of the box</v>
      </c>
      <c r="I25" s="164" t="str">
        <f>'Databricks AI Mitigation Contro'!F15</f>
        <v>Customer configured, Databricks enforced</v>
      </c>
      <c r="J25" s="336" t="str">
        <f>'Databricks AI Mitigation Contro'!G15</f>
        <v>AWS</v>
      </c>
      <c r="K25" s="336" t="str">
        <f>'Databricks AI Mitigation Contro'!H15</f>
        <v>Azure</v>
      </c>
      <c r="L25" s="336" t="str">
        <f>'Databricks AI Mitigation Contro'!I15</f>
        <v>GCP</v>
      </c>
      <c r="M25" s="168" t="s">
        <v>258</v>
      </c>
      <c r="N25" s="168" t="s">
        <v>258</v>
      </c>
      <c r="O25" s="173" t="s">
        <v>2346</v>
      </c>
      <c r="P25" s="173" t="s">
        <v>2347</v>
      </c>
      <c r="Q25" s="168" t="s">
        <v>1552</v>
      </c>
      <c r="R25" s="168" t="s">
        <v>258</v>
      </c>
      <c r="S25" s="174" t="s">
        <v>1553</v>
      </c>
      <c r="T25" s="175" t="s">
        <v>258</v>
      </c>
      <c r="U25" s="337" t="s">
        <v>1554</v>
      </c>
      <c r="V25" s="338" t="s">
        <v>258</v>
      </c>
      <c r="W25" s="283"/>
      <c r="X25" s="283"/>
      <c r="Y25" s="283"/>
      <c r="Z25" s="283"/>
      <c r="AA25" s="283"/>
      <c r="AB25" s="283"/>
      <c r="AC25" s="283"/>
      <c r="AD25" s="283"/>
      <c r="AE25" s="283"/>
      <c r="AF25" s="283"/>
      <c r="AG25" s="283"/>
      <c r="AH25" s="283"/>
      <c r="AI25" s="283"/>
      <c r="AJ25" s="283"/>
      <c r="AK25" s="283"/>
    </row>
    <row r="26">
      <c r="A26" s="63" t="str">
        <f>'Databricks AI Mitigation Contro'!B16</f>
        <v>DASF 14: Audit actions performed on datasets
</v>
      </c>
      <c r="B26" s="63" t="str">
        <f>'Databricks AI Mitigation Contro'!A16</f>
        <v>DASF 14</v>
      </c>
      <c r="C26" s="63" t="str">
        <f>'Databricks AI Mitigation Contro'!D16</f>
        <v>Databricks auditing, enhanced by Unity Catalog’s events, delivers fine-grained visibility into data access and user activities. This is vital for robust data governance and security, especially in regulated industries. It enables organizations to proactively identify and manage over entitled users, enhancing data security and ensuring compliance.</v>
      </c>
      <c r="D26" s="63" t="str">
        <f>'Databricks AI Mitigation Contro'!C16</f>
        <v>Raw data 1.10, Datasets 3.1</v>
      </c>
      <c r="E26" s="334" t="str">
        <f>IFERROR(__xludf.DUMMYFUNCTION("IF(
 ISBLANK('DASF Risk Applicability'!$C$4),
 """",
 IFERROR(
   IF(
     QUERY(
       'DASF Risk Applicability'!$F$13:$H$74,
       ""select F where F contains '""&amp;B26&amp;""' and H = 'Show' limit 1"",
       0
     ) &lt;&gt; """",
     ""Yes"",
     ""No""
   "&amp;"),
   ""No""
 )
)"),"Yes")</f>
        <v>Yes</v>
      </c>
      <c r="F26" s="335" t="str">
        <f>IFERROR(__xludf.DUMMYFUNCTION("IF(ISBLANK($C$4), 
  ""Show"",
  IF(
    REGEXMATCH($E26, ""Yes""),
    ""Show"",
    ""Hide""
  )
)"),"Show")</f>
        <v>Show</v>
      </c>
      <c r="G26" s="164" t="str">
        <f>'Databricks AI Mitigation Contro'!E16</f>
        <v>Databricks — Implementation</v>
      </c>
      <c r="H26" s="164" t="str">
        <f>'Databricks AI Mitigation Contro'!N16</f>
        <v>GOV-3, GOV-34</v>
      </c>
      <c r="I26" s="164" t="str">
        <f>'Databricks AI Mitigation Contro'!F16</f>
        <v>Customer configured, Databricks enforced</v>
      </c>
      <c r="J26" s="336" t="str">
        <f>'Databricks AI Mitigation Contro'!G16</f>
        <v>AWS</v>
      </c>
      <c r="K26" s="336" t="str">
        <f>'Databricks AI Mitigation Contro'!H16</f>
        <v>Azure</v>
      </c>
      <c r="L26" s="336" t="str">
        <f>'Databricks AI Mitigation Contro'!I16</f>
        <v>GCP</v>
      </c>
      <c r="M26" s="168" t="s">
        <v>258</v>
      </c>
      <c r="N26" s="168" t="s">
        <v>258</v>
      </c>
      <c r="O26" s="173" t="s">
        <v>2348</v>
      </c>
      <c r="P26" s="173" t="s">
        <v>2349</v>
      </c>
      <c r="Q26" s="168" t="s">
        <v>1567</v>
      </c>
      <c r="R26" s="168" t="s">
        <v>1568</v>
      </c>
      <c r="S26" s="174" t="s">
        <v>1569</v>
      </c>
      <c r="T26" s="175" t="s">
        <v>1570</v>
      </c>
      <c r="U26" s="337" t="s">
        <v>1571</v>
      </c>
      <c r="V26" s="180" t="s">
        <v>2350</v>
      </c>
      <c r="W26" s="283"/>
      <c r="X26" s="283"/>
      <c r="Y26" s="283"/>
      <c r="Z26" s="283"/>
      <c r="AA26" s="283"/>
      <c r="AB26" s="283"/>
      <c r="AC26" s="283"/>
      <c r="AD26" s="283"/>
      <c r="AE26" s="283"/>
      <c r="AF26" s="283"/>
      <c r="AG26" s="283"/>
      <c r="AH26" s="283"/>
      <c r="AI26" s="283"/>
      <c r="AJ26" s="283"/>
      <c r="AK26" s="283"/>
    </row>
    <row r="27" hidden="1">
      <c r="A27" s="63" t="str">
        <f>'Databricks AI Mitigation Contro'!B17</f>
        <v>DASF 15: Explore datasets and identify problems
</v>
      </c>
      <c r="B27" s="63" t="str">
        <f>'Databricks AI Mitigation Contro'!A17</f>
        <v>DASF 15</v>
      </c>
      <c r="C27" s="63" t="str">
        <f>'Databricks AI Mitigation Contro'!D17</f>
        <v>Iteratively explore, share and prep data for the machine learning lifecycle by creating reproducible, editable and shareable datasets, tables and visualizations. Within Databricks this EDA process can be accelerated with Mosaic AI AutoML. AutoML not only generates baseline models given a dataset, but also provides the underlying model training code in the form of a Python notebook. Notably for EDA, AutoML calculates summary statistics on the provided dataset, creating a notebook for the data scientist to review and adapt.</v>
      </c>
      <c r="D27" s="63" t="str">
        <f>'Databricks AI Mitigation Contro'!C17</f>
        <v>Data Prep 2.1</v>
      </c>
      <c r="E27" s="334" t="str">
        <f>IFERROR(__xludf.DUMMYFUNCTION("IF(
 ISBLANK('DASF Risk Applicability'!$C$4),
 """",
 IFERROR(
   IF(
     QUERY(
       'DASF Risk Applicability'!$F$13:$H$74,
       ""select F where F contains '""&amp;B27&amp;""' and H = 'Show' limit 1"",
       0
     ) &lt;&gt; """",
     ""Yes"",
     ""No""
   "&amp;"),
   ""No""
 )
)"),"No")</f>
        <v>No</v>
      </c>
      <c r="F27" s="335" t="str">
        <f>IFERROR(__xludf.DUMMYFUNCTION("IF(ISBLANK($C$4), 
  ""Show"",
  IF(
    REGEXMATCH($E27, ""Yes""),
    ""Show"",
    ""Hide""
  )
)"),"Hide")</f>
        <v>Hide</v>
      </c>
      <c r="G27" s="164" t="str">
        <f>'Databricks AI Mitigation Contro'!E17</f>
        <v>Databricks — Implementation</v>
      </c>
      <c r="H27" s="164" t="str">
        <f>'Databricks AI Mitigation Contro'!N17</f>
        <v>Features available to implement control and manually verify</v>
      </c>
      <c r="I27" s="164" t="str">
        <f>'Databricks AI Mitigation Contro'!F17</f>
        <v>Customer-managed</v>
      </c>
      <c r="J27" s="336" t="str">
        <f>'Databricks AI Mitigation Contro'!G17</f>
        <v>AWS</v>
      </c>
      <c r="K27" s="336" t="str">
        <f>'Databricks AI Mitigation Contro'!H17</f>
        <v>Azure</v>
      </c>
      <c r="L27" s="336" t="str">
        <f>'Databricks AI Mitigation Contro'!I17</f>
        <v>GCP</v>
      </c>
      <c r="M27" s="172" t="s">
        <v>2351</v>
      </c>
      <c r="N27" s="168" t="s">
        <v>258</v>
      </c>
      <c r="O27" s="173" t="s">
        <v>2352</v>
      </c>
      <c r="P27" s="173" t="s">
        <v>2353</v>
      </c>
      <c r="Q27" s="168" t="s">
        <v>1455</v>
      </c>
      <c r="R27" s="168" t="s">
        <v>258</v>
      </c>
      <c r="S27" s="174" t="s">
        <v>1586</v>
      </c>
      <c r="T27" s="175" t="s">
        <v>1457</v>
      </c>
      <c r="U27" s="337" t="s">
        <v>1587</v>
      </c>
      <c r="V27" s="338" t="s">
        <v>258</v>
      </c>
      <c r="W27" s="283"/>
      <c r="X27" s="283"/>
      <c r="Y27" s="283"/>
      <c r="Z27" s="283"/>
      <c r="AA27" s="283"/>
      <c r="AB27" s="283"/>
      <c r="AC27" s="283"/>
      <c r="AD27" s="283"/>
      <c r="AE27" s="283"/>
      <c r="AF27" s="283"/>
      <c r="AG27" s="283"/>
      <c r="AH27" s="283"/>
      <c r="AI27" s="283"/>
      <c r="AJ27" s="283"/>
      <c r="AK27" s="283"/>
    </row>
    <row r="28">
      <c r="A28" s="63" t="str">
        <f>'Databricks AI Mitigation Contro'!B18</f>
        <v>DASF 16: Secure model features
</v>
      </c>
      <c r="B28" s="63" t="str">
        <f>'Databricks AI Mitigation Contro'!A18</f>
        <v>DASF 16</v>
      </c>
      <c r="C28" s="63" t="str">
        <f>'Databricks AI Mitigation Contro'!D18</f>
        <v>Databricks Feature Store is a centralized repository that enables data scientists to find and share features and also ensures that the same code used to compute the feature values is used for model training and inference. Unity Catalog’s capabilities, such as security, lineage, table history, tagging and cross-workspace access, are automatically available to the feature table to reduce the risk of malicious actors manipulating the features that feed into ML training.</v>
      </c>
      <c r="D28" s="63" t="str">
        <f>'Databricks AI Mitigation Contro'!C18</f>
        <v>Data Prep 2.1, Data Prep 2.2, Datasets 3.1, Governance 4.1, Algorithms 5.2, Model Serving — Inference requests 9.10</v>
      </c>
      <c r="E28" s="334" t="str">
        <f>IFERROR(__xludf.DUMMYFUNCTION("IF(
 ISBLANK('DASF Risk Applicability'!$C$4),
 """",
 IFERROR(
   IF(
     QUERY(
       'DASF Risk Applicability'!$F$13:$H$74,
       ""select F where F contains '""&amp;B28&amp;""' and H = 'Show' limit 1"",
       0
     ) &lt;&gt; """",
     ""Yes"",
     ""No""
   "&amp;"),
   ""No""
 )
)"),"Yes")</f>
        <v>Yes</v>
      </c>
      <c r="F28" s="335" t="str">
        <f>IFERROR(__xludf.DUMMYFUNCTION("IF(ISBLANK($C$4), 
  ""Show"",
  IF(
    REGEXMATCH($E28, ""Yes""),
    ""Show"",
    ""Hide""
  )
)"),"Show")</f>
        <v>Show</v>
      </c>
      <c r="G28" s="164" t="str">
        <f>'Databricks AI Mitigation Contro'!E18</f>
        <v>Databricks — Implementation</v>
      </c>
      <c r="H28" s="164" t="str">
        <f>'Databricks AI Mitigation Contro'!N18</f>
        <v>GOV-16</v>
      </c>
      <c r="I28" s="164" t="str">
        <f>'Databricks AI Mitigation Contro'!F18</f>
        <v>Customer configured, Databricks enforced</v>
      </c>
      <c r="J28" s="336" t="str">
        <f>'Databricks AI Mitigation Contro'!G18</f>
        <v>AWS</v>
      </c>
      <c r="K28" s="336" t="str">
        <f>'Databricks AI Mitigation Contro'!H18</f>
        <v>Azure</v>
      </c>
      <c r="L28" s="336" t="str">
        <f>'Databricks AI Mitigation Contro'!I18</f>
        <v>GCP</v>
      </c>
      <c r="M28" s="168" t="s">
        <v>258</v>
      </c>
      <c r="N28" s="168" t="s">
        <v>258</v>
      </c>
      <c r="O28" s="187" t="s">
        <v>258</v>
      </c>
      <c r="P28" s="187" t="s">
        <v>258</v>
      </c>
      <c r="Q28" s="168" t="s">
        <v>258</v>
      </c>
      <c r="R28" s="168" t="s">
        <v>546</v>
      </c>
      <c r="S28" s="174" t="s">
        <v>1596</v>
      </c>
      <c r="T28" s="175" t="s">
        <v>1597</v>
      </c>
      <c r="U28" s="339" t="s">
        <v>258</v>
      </c>
      <c r="V28" s="180" t="s">
        <v>2354</v>
      </c>
      <c r="W28" s="283"/>
      <c r="X28" s="283"/>
      <c r="Y28" s="283"/>
      <c r="Z28" s="283"/>
      <c r="AA28" s="283"/>
      <c r="AB28" s="283"/>
      <c r="AC28" s="283"/>
      <c r="AD28" s="283"/>
      <c r="AE28" s="283"/>
      <c r="AF28" s="283"/>
      <c r="AG28" s="283"/>
      <c r="AH28" s="283"/>
      <c r="AI28" s="283"/>
      <c r="AJ28" s="283"/>
      <c r="AK28" s="283"/>
    </row>
    <row r="29">
      <c r="A29" s="63" t="str">
        <f>'Databricks AI Mitigation Contro'!B19</f>
        <v>DASF 17: Track and reproduce the training data used for ML model training
</v>
      </c>
      <c r="B29" s="63" t="str">
        <f>'Databricks AI Mitigation Contro'!A19</f>
        <v>DASF 17</v>
      </c>
      <c r="C29" s="63" t="str">
        <f>'Databricks AI Mitigation Contro'!D19</f>
        <v>MLflow with Delta Lake tracks the training data used for ML model training. It also enables the identification of specific ML models and runs derived from particular datasets for regulatory and auditable attribution.</v>
      </c>
      <c r="D29" s="63" t="str">
        <f>'Databricks AI Mitigation Contro'!C19</f>
        <v>Raw data 1.11, Data Prep 2.4, Datasets 3.1, Governance 4.1, Algorithms 5.2, Model Serving — Inference requests 9.11</v>
      </c>
      <c r="E29" s="334" t="str">
        <f>IFERROR(__xludf.DUMMYFUNCTION("IF(
 ISBLANK('DASF Risk Applicability'!$C$4),
 """",
 IFERROR(
   IF(
     QUERY(
       'DASF Risk Applicability'!$F$13:$H$74,
       ""select F where F contains '""&amp;B29&amp;""' and H = 'Show' limit 1"",
       0
     ) &lt;&gt; """",
     ""Yes"",
     ""No""
   "&amp;"),
   ""No""
 )
)"),"Yes")</f>
        <v>Yes</v>
      </c>
      <c r="F29" s="335" t="str">
        <f>IFERROR(__xludf.DUMMYFUNCTION("IF(ISBLANK($C$4), 
  ""Show"",
  IF(
    REGEXMATCH($E29, ""Yes""),
    ""Show"",
    ""Hide""
  )
)"),"Show")</f>
        <v>Show</v>
      </c>
      <c r="G29" s="164" t="str">
        <f>'Databricks AI Mitigation Contro'!E19</f>
        <v>Databricks — Configuration</v>
      </c>
      <c r="H29" s="164" t="str">
        <f>'Databricks AI Mitigation Contro'!N19</f>
        <v>Out of the box</v>
      </c>
      <c r="I29" s="164" t="str">
        <f>'Databricks AI Mitigation Contro'!F19</f>
        <v>Customer configured, Databricks enforced</v>
      </c>
      <c r="J29" s="336" t="str">
        <f>'Databricks AI Mitigation Contro'!G19</f>
        <v>AWS</v>
      </c>
      <c r="K29" s="336" t="str">
        <f>'Databricks AI Mitigation Contro'!H19</f>
        <v>Azure</v>
      </c>
      <c r="L29" s="336" t="str">
        <f>'Databricks AI Mitigation Contro'!I19</f>
        <v>GCP</v>
      </c>
      <c r="M29" s="168" t="s">
        <v>258</v>
      </c>
      <c r="N29" s="168" t="s">
        <v>258</v>
      </c>
      <c r="O29" s="168" t="s">
        <v>258</v>
      </c>
      <c r="P29" s="173" t="s">
        <v>2355</v>
      </c>
      <c r="Q29" s="168" t="s">
        <v>1606</v>
      </c>
      <c r="R29" s="168" t="s">
        <v>258</v>
      </c>
      <c r="S29" s="192" t="s">
        <v>258</v>
      </c>
      <c r="T29" s="175" t="s">
        <v>1607</v>
      </c>
      <c r="U29" s="337" t="s">
        <v>1608</v>
      </c>
      <c r="V29" s="180" t="s">
        <v>2356</v>
      </c>
      <c r="W29" s="283"/>
      <c r="X29" s="283"/>
      <c r="Y29" s="283"/>
      <c r="Z29" s="283"/>
      <c r="AA29" s="283"/>
      <c r="AB29" s="283"/>
      <c r="AC29" s="283"/>
      <c r="AD29" s="283"/>
      <c r="AE29" s="283"/>
      <c r="AF29" s="283"/>
      <c r="AG29" s="283"/>
      <c r="AH29" s="283"/>
      <c r="AI29" s="283"/>
      <c r="AJ29" s="283"/>
      <c r="AK29" s="283"/>
    </row>
    <row r="30">
      <c r="A30" s="63" t="str">
        <f>'Databricks AI Mitigation Contro'!B20</f>
        <v>DASF 18: Govern model assets
</v>
      </c>
      <c r="B30" s="63" t="str">
        <f>'Databricks AI Mitigation Contro'!A20</f>
        <v>DASF 18</v>
      </c>
      <c r="C30" s="63" t="str">
        <f>'Databricks AI Mitigation Contro'!D20</f>
        <v>With Unity Catalog, organizations can implement a unified governance framework for their structured and unstructured data, machine learning models, notebooks, features, functions, and files, enhancing security and compliance across clouds and platforms. Maintain an updated inventory of high-impact AI use cases, including details on purpose, benefits, risks, and risk management practices.</v>
      </c>
      <c r="D30" s="63" t="str">
        <f>'Databricks AI Mitigation Contro'!C20</f>
        <v>Governance 4.1</v>
      </c>
      <c r="E30" s="334" t="str">
        <f>IFERROR(__xludf.DUMMYFUNCTION("IF(
 ISBLANK('DASF Risk Applicability'!$C$4),
 """",
 IFERROR(
   IF(
     QUERY(
       'DASF Risk Applicability'!$F$13:$H$74,
       ""select F where F contains '""&amp;B30&amp;""' and H = 'Show' limit 1"",
       0
     ) &lt;&gt; """",
     ""Yes"",
     ""No""
   "&amp;"),
   ""No""
 )
)"),"Yes")</f>
        <v>Yes</v>
      </c>
      <c r="F30" s="335" t="str">
        <f>IFERROR(__xludf.DUMMYFUNCTION("IF(ISBLANK($C$4), 
  ""Show"",
  IF(
    REGEXMATCH($E30, ""Yes""),
    ""Show"",
    ""Hide""
  )
)"),"Show")</f>
        <v>Show</v>
      </c>
      <c r="G30" s="164" t="str">
        <f>'Databricks AI Mitigation Contro'!E20</f>
        <v>Databricks — Configuration</v>
      </c>
      <c r="H30" s="164" t="str">
        <f>'Databricks AI Mitigation Contro'!N20</f>
        <v>GOV-16</v>
      </c>
      <c r="I30" s="164" t="str">
        <f>'Databricks AI Mitigation Contro'!F20</f>
        <v>Customer configured, Databricks enforced</v>
      </c>
      <c r="J30" s="336" t="str">
        <f>'Databricks AI Mitigation Contro'!G20</f>
        <v>AWS</v>
      </c>
      <c r="K30" s="336" t="str">
        <f>'Databricks AI Mitigation Contro'!H20</f>
        <v>Azure</v>
      </c>
      <c r="L30" s="336" t="str">
        <f>'Databricks AI Mitigation Contro'!I20</f>
        <v>GCP</v>
      </c>
      <c r="M30" s="168" t="s">
        <v>258</v>
      </c>
      <c r="N30" s="168" t="s">
        <v>258</v>
      </c>
      <c r="O30" s="168" t="s">
        <v>258</v>
      </c>
      <c r="P30" s="168" t="s">
        <v>258</v>
      </c>
      <c r="Q30" s="168" t="s">
        <v>937</v>
      </c>
      <c r="R30" s="168" t="s">
        <v>258</v>
      </c>
      <c r="S30" s="174" t="s">
        <v>1617</v>
      </c>
      <c r="T30" s="175" t="s">
        <v>1618</v>
      </c>
      <c r="U30" s="337" t="s">
        <v>1619</v>
      </c>
      <c r="V30" s="338" t="s">
        <v>258</v>
      </c>
      <c r="W30" s="283"/>
      <c r="X30" s="283"/>
      <c r="Y30" s="283"/>
      <c r="Z30" s="283"/>
      <c r="AA30" s="283"/>
      <c r="AB30" s="283"/>
      <c r="AC30" s="283"/>
      <c r="AD30" s="283"/>
      <c r="AE30" s="283"/>
      <c r="AF30" s="283"/>
      <c r="AG30" s="283"/>
      <c r="AH30" s="283"/>
      <c r="AI30" s="283"/>
      <c r="AJ30" s="283"/>
      <c r="AK30" s="283"/>
    </row>
    <row r="31">
      <c r="A31" s="63" t="str">
        <f>'Databricks AI Mitigation Contro'!B21</f>
        <v>DASF 19: Manage end-to-end machine learning lifecycle
</v>
      </c>
      <c r="B31" s="63" t="str">
        <f>'Databricks AI Mitigation Contro'!A21</f>
        <v>DASF 19</v>
      </c>
      <c r="C31" s="63" t="str">
        <f>'Databricks AI Mitigation Contro'!D21</f>
        <v>Databricks includes a managed version of MLflow featuring enterprise security controls and high availability. It supports functionalities like experiments, run management and notebook revision capture. MLflow on Databricks allows tracking and measuring machine learning model training runs, logging model training artifacts and securing machine learning projects.</v>
      </c>
      <c r="D31" s="63" t="str">
        <f>'Databricks AI Mitigation Contro'!C21</f>
        <v>Governance 4.2, Model 7.1</v>
      </c>
      <c r="E31" s="334" t="str">
        <f>IFERROR(__xludf.DUMMYFUNCTION("IF(
 ISBLANK('DASF Risk Applicability'!$C$4),
 """",
 IFERROR(
   IF(
     QUERY(
       'DASF Risk Applicability'!$F$13:$H$74,
       ""select F where F contains '""&amp;B31&amp;""' and H = 'Show' limit 1"",
       0
     ) &lt;&gt; """",
     ""Yes"",
     ""No""
   "&amp;"),
   ""No""
 )
)"),"Yes")</f>
        <v>Yes</v>
      </c>
      <c r="F31" s="335" t="str">
        <f>IFERROR(__xludf.DUMMYFUNCTION("IF(ISBLANK($C$4), 
  ""Show"",
  IF(
    REGEXMATCH($E31, ""Yes""),
    ""Show"",
    ""Hide""
  )
)"),"Show")</f>
        <v>Show</v>
      </c>
      <c r="G31" s="164" t="str">
        <f>'Databricks AI Mitigation Contro'!E21</f>
        <v>Databricks — Implementation</v>
      </c>
      <c r="H31" s="164" t="str">
        <f>'Databricks AI Mitigation Contro'!N21</f>
        <v>Out of the box</v>
      </c>
      <c r="I31" s="164" t="str">
        <f>'Databricks AI Mitigation Contro'!F21</f>
        <v>Databricks Managed</v>
      </c>
      <c r="J31" s="336" t="str">
        <f>'Databricks AI Mitigation Contro'!G21</f>
        <v>AWS</v>
      </c>
      <c r="K31" s="336" t="str">
        <f>'Databricks AI Mitigation Contro'!H21</f>
        <v>Azure</v>
      </c>
      <c r="L31" s="336" t="str">
        <f>'Databricks AI Mitigation Contro'!I21</f>
        <v>GCP</v>
      </c>
      <c r="M31" s="168" t="s">
        <v>258</v>
      </c>
      <c r="N31" s="168" t="s">
        <v>258</v>
      </c>
      <c r="O31" s="187" t="s">
        <v>258</v>
      </c>
      <c r="P31" s="187" t="s">
        <v>258</v>
      </c>
      <c r="Q31" s="187" t="s">
        <v>1631</v>
      </c>
      <c r="R31" s="168" t="s">
        <v>258</v>
      </c>
      <c r="S31" s="174" t="s">
        <v>1632</v>
      </c>
      <c r="T31" s="175" t="s">
        <v>1633</v>
      </c>
      <c r="U31" s="337" t="s">
        <v>1634</v>
      </c>
      <c r="V31" s="180" t="s">
        <v>2357</v>
      </c>
      <c r="W31" s="283"/>
      <c r="X31" s="283"/>
      <c r="Y31" s="283"/>
      <c r="Z31" s="283"/>
      <c r="AA31" s="283"/>
      <c r="AB31" s="283"/>
      <c r="AC31" s="283"/>
      <c r="AD31" s="283"/>
      <c r="AE31" s="283"/>
      <c r="AF31" s="283"/>
      <c r="AG31" s="283"/>
      <c r="AH31" s="283"/>
      <c r="AI31" s="283"/>
      <c r="AJ31" s="283"/>
      <c r="AK31" s="283"/>
    </row>
    <row r="32">
      <c r="A32" s="63" t="str">
        <f>'Databricks AI Mitigation Contro'!B22</f>
        <v>DASF 20: Track ML training runs
</v>
      </c>
      <c r="B32" s="63" t="str">
        <f>'Databricks AI Mitigation Contro'!A22</f>
        <v>DASF 20</v>
      </c>
      <c r="C32" s="63" t="str">
        <f>'Databricks AI Mitigation Contro'!D22</f>
        <v>MLflow tracking facilitates the automated recording and retrieval of experiment details, including algorithms, code, datasets, parameters, configurations, signatures and artifacts.</v>
      </c>
      <c r="D32" s="63" t="str">
        <f>'Databricks AI Mitigation Contro'!C22</f>
        <v>Algorithms 5.1, Algorithms 5.3</v>
      </c>
      <c r="E32" s="334" t="str">
        <f>IFERROR(__xludf.DUMMYFUNCTION("IF(
 ISBLANK('DASF Risk Applicability'!$C$4),
 """",
 IFERROR(
   IF(
     QUERY(
       'DASF Risk Applicability'!$F$13:$H$74,
       ""select F where F contains '""&amp;B32&amp;""' and H = 'Show' limit 1"",
       0
     ) &lt;&gt; """",
     ""Yes"",
     ""No""
   "&amp;"),
   ""No""
 )
)"),"Yes")</f>
        <v>Yes</v>
      </c>
      <c r="F32" s="335" t="str">
        <f>IFERROR(__xludf.DUMMYFUNCTION("IF(ISBLANK($C$4), 
  ""Show"",
  IF(
    REGEXMATCH($E32, ""Yes""),
    ""Show"",
    ""Hide""
  )
)"),"Show")</f>
        <v>Show</v>
      </c>
      <c r="G32" s="164" t="str">
        <f>'Databricks AI Mitigation Contro'!E22</f>
        <v>Databricks — Implementation</v>
      </c>
      <c r="H32" s="164" t="str">
        <f>'Databricks AI Mitigation Contro'!N22</f>
        <v>Out of the box</v>
      </c>
      <c r="I32" s="164" t="str">
        <f>'Databricks AI Mitigation Contro'!F22</f>
        <v>Customer configured, Databricks enforced</v>
      </c>
      <c r="J32" s="336" t="str">
        <f>'Databricks AI Mitigation Contro'!G22</f>
        <v>AWS</v>
      </c>
      <c r="K32" s="336" t="str">
        <f>'Databricks AI Mitigation Contro'!H22</f>
        <v>Azure</v>
      </c>
      <c r="L32" s="336" t="str">
        <f>'Databricks AI Mitigation Contro'!I22</f>
        <v>GCP</v>
      </c>
      <c r="M32" s="168" t="s">
        <v>258</v>
      </c>
      <c r="N32" s="168" t="s">
        <v>258</v>
      </c>
      <c r="O32" s="187" t="s">
        <v>258</v>
      </c>
      <c r="P32" s="187" t="s">
        <v>258</v>
      </c>
      <c r="Q32" s="168" t="s">
        <v>1645</v>
      </c>
      <c r="R32" s="168" t="s">
        <v>258</v>
      </c>
      <c r="S32" s="192" t="s">
        <v>258</v>
      </c>
      <c r="T32" s="175" t="s">
        <v>258</v>
      </c>
      <c r="U32" s="339" t="s">
        <v>258</v>
      </c>
      <c r="V32" s="338" t="s">
        <v>258</v>
      </c>
      <c r="W32" s="283"/>
      <c r="X32" s="283"/>
      <c r="Y32" s="283"/>
      <c r="Z32" s="283"/>
      <c r="AA32" s="283"/>
      <c r="AB32" s="283"/>
      <c r="AC32" s="283"/>
      <c r="AD32" s="283"/>
      <c r="AE32" s="283"/>
      <c r="AF32" s="283"/>
      <c r="AG32" s="283"/>
      <c r="AH32" s="283"/>
      <c r="AI32" s="283"/>
      <c r="AJ32" s="283"/>
      <c r="AK32" s="283"/>
    </row>
    <row r="33">
      <c r="A33" s="63" t="str">
        <f>'Databricks AI Mitigation Contro'!B23</f>
        <v>DASF 21: Monitor data and AI system from a single pane of glass
</v>
      </c>
      <c r="B33" s="63" t="str">
        <f>'Databricks AI Mitigation Contro'!A23</f>
        <v>DASF 21</v>
      </c>
      <c r="C33" s="63" t="str">
        <f>'Databricks AI Mitigation Contro'!D23</f>
        <v>Databricks Lakehouse Monitoring offers a single pane of glass to centrally track tables’ data quality and statistical properties and automatically classifies data. It can also track the performance of machine learning models and model serving endpoints by monitoring inference tables containing model inputs and predictions through a single pane of glass.</v>
      </c>
      <c r="D33" s="63" t="str">
        <f>'Databricks AI Mitigation Contro'!C23</f>
        <v>Raw data 1.3, Governance 4.2, Algorithms 5.2</v>
      </c>
      <c r="E33" s="334" t="str">
        <f>IFERROR(__xludf.DUMMYFUNCTION("IF(
 ISBLANK('DASF Risk Applicability'!$C$4),
 """",
 IFERROR(
   IF(
     QUERY(
       'DASF Risk Applicability'!$F$13:$H$74,
       ""select F where F contains '""&amp;B33&amp;""' and H = 'Show' limit 1"",
       0
     ) &lt;&gt; """",
     ""Yes"",
     ""No""
   "&amp;"),
   ""No""
 )
)"),"Yes")</f>
        <v>Yes</v>
      </c>
      <c r="F33" s="335" t="str">
        <f>IFERROR(__xludf.DUMMYFUNCTION("IF(ISBLANK($C$4), 
  ""Show"",
  IF(
    REGEXMATCH($E33, ""Yes""),
    ""Show"",
    ""Hide""
  )
)"),"Show")</f>
        <v>Show</v>
      </c>
      <c r="G33" s="164" t="str">
        <f>'Databricks AI Mitigation Contro'!E23</f>
        <v>Databricks — Implementation</v>
      </c>
      <c r="H33" s="164" t="str">
        <f>'Databricks AI Mitigation Contro'!N23</f>
        <v>Features available to implement control and manually verify</v>
      </c>
      <c r="I33" s="164" t="str">
        <f>'Databricks AI Mitigation Contro'!F23</f>
        <v>Customer configured, Databricks enforced</v>
      </c>
      <c r="J33" s="336" t="str">
        <f>'Databricks AI Mitigation Contro'!G23</f>
        <v>AWS</v>
      </c>
      <c r="K33" s="336" t="str">
        <f>'Databricks AI Mitigation Contro'!H23</f>
        <v>Azure</v>
      </c>
      <c r="L33" s="342" t="str">
        <f>'Databricks AI Mitigation Contro'!I23</f>
        <v>GCP</v>
      </c>
      <c r="M33" s="168" t="s">
        <v>258</v>
      </c>
      <c r="N33" s="168" t="s">
        <v>258</v>
      </c>
      <c r="O33" s="187" t="s">
        <v>258</v>
      </c>
      <c r="P33" s="187" t="s">
        <v>258</v>
      </c>
      <c r="Q33" s="194" t="s">
        <v>260</v>
      </c>
      <c r="R33" s="168" t="s">
        <v>258</v>
      </c>
      <c r="S33" s="192" t="s">
        <v>258</v>
      </c>
      <c r="T33" s="175" t="s">
        <v>1655</v>
      </c>
      <c r="U33" s="339" t="s">
        <v>258</v>
      </c>
      <c r="V33" s="338" t="s">
        <v>258</v>
      </c>
      <c r="W33" s="283"/>
      <c r="X33" s="283"/>
      <c r="Y33" s="283"/>
      <c r="Z33" s="283"/>
      <c r="AA33" s="283"/>
      <c r="AB33" s="283"/>
      <c r="AC33" s="283"/>
      <c r="AD33" s="283"/>
      <c r="AE33" s="283"/>
      <c r="AF33" s="283"/>
      <c r="AG33" s="283"/>
      <c r="AH33" s="283"/>
      <c r="AI33" s="283"/>
      <c r="AJ33" s="283"/>
      <c r="AK33" s="283"/>
    </row>
    <row r="34">
      <c r="A34" s="63" t="str">
        <f>'Databricks AI Mitigation Contro'!B24</f>
        <v>DASF 22: Build models with all representative, accurate and relevant data sources
</v>
      </c>
      <c r="B34" s="63" t="str">
        <f>'Databricks AI Mitigation Contro'!A24</f>
        <v>DASF 22</v>
      </c>
      <c r="C34" s="63" t="str">
        <f>'Databricks AI Mitigation Contro'!D24</f>
        <v>Harnessing internal data and intellectual property to customize large AI models can offer a significant competitive edge. However, this process can be complex, involving coordination across various parts of the organization. The Data Intelligence Platform addresses this challenge by integrating data across traditionally isolated departments and systems. This integration facilitates a more cohesive data and AI strategy, enabling the effective training, testing and evaluation of models using a comprehensive dataset. Use caution when preparing data for traditional models and GenAI training to ensure that you are not unintentionally including data that causes legal conflicts, such as copyright violations, privacy violations or HIPAA violations.</v>
      </c>
      <c r="D34" s="63" t="str">
        <f>'Databricks AI Mitigation Contro'!C24</f>
        <v>Evaluation 6.2, Model 7.3</v>
      </c>
      <c r="E34" s="334" t="str">
        <f>IFERROR(__xludf.DUMMYFUNCTION("IF(
 ISBLANK('DASF Risk Applicability'!$C$4),
 """",
 IFERROR(
   IF(
     QUERY(
       'DASF Risk Applicability'!$F$13:$H$74,
       ""select F where F contains '""&amp;B34&amp;""' and H = 'Show' limit 1"",
       0
     ) &lt;&gt; """",
     ""Yes"",
     ""No""
   "&amp;"),
   ""No""
 )
)"),"Yes")</f>
        <v>Yes</v>
      </c>
      <c r="F34" s="335" t="str">
        <f>IFERROR(__xludf.DUMMYFUNCTION("IF(ISBLANK($C$4), 
  ""Show"",
  IF(
    REGEXMATCH($E34, ""Yes""),
    ""Show"",
    ""Hide""
  )
)"),"Show")</f>
        <v>Show</v>
      </c>
      <c r="G34" s="164" t="str">
        <f>'Databricks AI Mitigation Contro'!E24</f>
        <v>Databricks — Implementation</v>
      </c>
      <c r="H34" s="164" t="str">
        <f>'Databricks AI Mitigation Contro'!N24</f>
        <v>Features available to implement control and manually verify</v>
      </c>
      <c r="I34" s="164" t="str">
        <f>'Databricks AI Mitigation Contro'!F24</f>
        <v>Customer configured, Databricks enforced</v>
      </c>
      <c r="J34" s="336" t="str">
        <f>'Databricks AI Mitigation Contro'!G24</f>
        <v>AWS</v>
      </c>
      <c r="K34" s="336" t="str">
        <f>'Databricks AI Mitigation Contro'!H24</f>
        <v>Azure</v>
      </c>
      <c r="L34" s="336" t="str">
        <f>'Databricks AI Mitigation Contro'!I24</f>
        <v>GCP</v>
      </c>
      <c r="M34" s="168" t="s">
        <v>258</v>
      </c>
      <c r="N34" s="168" t="s">
        <v>258</v>
      </c>
      <c r="O34" s="173" t="s">
        <v>2358</v>
      </c>
      <c r="P34" s="187" t="s">
        <v>258</v>
      </c>
      <c r="Q34" s="168" t="s">
        <v>1667</v>
      </c>
      <c r="R34" s="168" t="s">
        <v>258</v>
      </c>
      <c r="S34" s="174" t="s">
        <v>1668</v>
      </c>
      <c r="T34" s="175" t="s">
        <v>1669</v>
      </c>
      <c r="U34" s="337" t="s">
        <v>1524</v>
      </c>
      <c r="V34" s="343" t="s">
        <v>1670</v>
      </c>
      <c r="W34" s="283"/>
      <c r="X34" s="283"/>
      <c r="Y34" s="283"/>
      <c r="Z34" s="283"/>
      <c r="AA34" s="283"/>
      <c r="AB34" s="283"/>
      <c r="AC34" s="283"/>
      <c r="AD34" s="283"/>
      <c r="AE34" s="283"/>
      <c r="AF34" s="283"/>
      <c r="AG34" s="283"/>
      <c r="AH34" s="283"/>
      <c r="AI34" s="283"/>
      <c r="AJ34" s="283"/>
      <c r="AK34" s="283"/>
    </row>
    <row r="35">
      <c r="A35" s="63" t="str">
        <f>'Databricks AI Mitigation Contro'!B25</f>
        <v>DASF 23: Register, version, approve, promote, deploy and monitor models
</v>
      </c>
      <c r="B35" s="63" t="str">
        <f>'Databricks AI Mitigation Contro'!A25</f>
        <v>DASF 23</v>
      </c>
      <c r="C35" s="63" t="str">
        <f>'Databricks AI Mitigation Contro'!D25</f>
        <v>MLflow Model Registry supports managing the machine learning model lifecycle with capabilities for lineage tracking, versioning, staging and model serving.</v>
      </c>
      <c r="D35" s="63" t="str">
        <f>'Databricks AI Mitigation Contro'!C25</f>
        <v>Model 7.1</v>
      </c>
      <c r="E35" s="334" t="str">
        <f>IFERROR(__xludf.DUMMYFUNCTION("IF(
 ISBLANK('DASF Risk Applicability'!$C$4),
 """",
 IFERROR(
   IF(
     QUERY(
       'DASF Risk Applicability'!$F$13:$H$74,
       ""select F where F contains '""&amp;B35&amp;""' and H = 'Show' limit 1"",
       0
     ) &lt;&gt; """",
     ""Yes"",
     ""No""
   "&amp;"),
   ""No""
 )
)"),"Yes")</f>
        <v>Yes</v>
      </c>
      <c r="F35" s="335" t="str">
        <f>IFERROR(__xludf.DUMMYFUNCTION("IF(ISBLANK($C$4), 
  ""Show"",
  IF(
    REGEXMATCH($E35, ""Yes""),
    ""Show"",
    ""Hide""
  )
)"),"Show")</f>
        <v>Show</v>
      </c>
      <c r="G35" s="164" t="str">
        <f>'Databricks AI Mitigation Contro'!E25</f>
        <v>Databricks — Implementation</v>
      </c>
      <c r="H35" s="164" t="str">
        <f>'Databricks AI Mitigation Contro'!N25</f>
        <v>Features available to implement control and manually verify</v>
      </c>
      <c r="I35" s="164" t="str">
        <f>'Databricks AI Mitigation Contro'!F25</f>
        <v>Customer configured, Databricks enforced</v>
      </c>
      <c r="J35" s="336" t="str">
        <f>'Databricks AI Mitigation Contro'!G25</f>
        <v>AWS</v>
      </c>
      <c r="K35" s="336" t="str">
        <f>'Databricks AI Mitigation Contro'!H25</f>
        <v>Azure</v>
      </c>
      <c r="L35" s="336" t="str">
        <f>'Databricks AI Mitigation Contro'!I25</f>
        <v>GCP</v>
      </c>
      <c r="M35" s="168" t="s">
        <v>258</v>
      </c>
      <c r="N35" s="168" t="s">
        <v>258</v>
      </c>
      <c r="O35" s="187" t="s">
        <v>258</v>
      </c>
      <c r="P35" s="187" t="s">
        <v>258</v>
      </c>
      <c r="Q35" s="168" t="s">
        <v>1679</v>
      </c>
      <c r="R35" s="168" t="s">
        <v>258</v>
      </c>
      <c r="S35" s="174" t="s">
        <v>1680</v>
      </c>
      <c r="T35" s="175" t="s">
        <v>1613</v>
      </c>
      <c r="U35" s="337" t="s">
        <v>1681</v>
      </c>
      <c r="V35" s="338" t="s">
        <v>258</v>
      </c>
      <c r="W35" s="283"/>
      <c r="X35" s="283"/>
      <c r="Y35" s="283"/>
      <c r="Z35" s="283"/>
      <c r="AA35" s="283"/>
      <c r="AB35" s="283"/>
      <c r="AC35" s="283"/>
      <c r="AD35" s="283"/>
      <c r="AE35" s="283"/>
      <c r="AF35" s="283"/>
      <c r="AG35" s="283"/>
      <c r="AH35" s="283"/>
      <c r="AI35" s="283"/>
      <c r="AJ35" s="283"/>
      <c r="AK35" s="283"/>
    </row>
    <row r="36">
      <c r="A36" s="63" t="str">
        <f>'Databricks AI Mitigation Contro'!B26</f>
        <v>DASF 24: Control access to models and model assets
</v>
      </c>
      <c r="B36" s="63" t="str">
        <f>'Databricks AI Mitigation Contro'!A26</f>
        <v>DASF 24</v>
      </c>
      <c r="C36" s="63" t="str">
        <f>'Databricks AI Mitigation Contro'!D26</f>
        <v>Organizations commonly encounter challenges in tracking and controlling access to ML models, auditing their usage, and understanding their evolution in complex machine learning workflows. Unity Catalog integrates with the MLflow Model Registry across model lifecycles. This approach simplifies the management and oversight of ML models, proving particularly valuable in environments with multiple teams and diverse projects.</v>
      </c>
      <c r="D36" s="63" t="str">
        <f>'Databricks AI Mitigation Contro'!C26</f>
        <v>Model 7.2, Model Management 8.2, Model Management 8.3, Model Management 8.4, Model Serving — Inference requests 9.1, Model Serving — Inference requests 9.2, Model Serving — Inference requests 9.5, Model Serving — Inference requests 9.6, Model Serving — Inference requests 9.7, Model Serving — Inference response 10.3, Model Serving — Inference response 10.4, Agents — Core 13.1, Agents — Core 13.2, Agents — Core 13.3, Agents — Core 13.6, Agents — Core 13.7, Agents — Core 13.8, Agents — Core 13.9, Agents — Core 13.14, Agents — Core 13.15, Agents — Tools MCP Server 13.16, Agents — Tools MCP Server 13.17, Agents — Tools MCP Server 13.18</v>
      </c>
      <c r="E36" s="334" t="str">
        <f>IFERROR(__xludf.DUMMYFUNCTION("IF(
 ISBLANK('DASF Risk Applicability'!$C$4),
 """",
 IFERROR(
   IF(
     QUERY(
       'DASF Risk Applicability'!$F$13:$H$74,
       ""select F where F contains '""&amp;B36&amp;""' and H = 'Show' limit 1"",
       0
     ) &lt;&gt; """",
     ""Yes"",
     ""No""
   "&amp;"),
   ""No""
 )
)"),"Yes")</f>
        <v>Yes</v>
      </c>
      <c r="F36" s="335" t="str">
        <f>IFERROR(__xludf.DUMMYFUNCTION("IF(ISBLANK($C$4), 
  ""Show"",
  IF(
    REGEXMATCH($E36, ""Yes""),
    ""Show"",
    ""Hide""
  )
)"),"Show")</f>
        <v>Show</v>
      </c>
      <c r="G36" s="164" t="str">
        <f>'Databricks AI Mitigation Contro'!E26</f>
        <v>Databricks — Implementation</v>
      </c>
      <c r="H36" s="164" t="str">
        <f>'Databricks AI Mitigation Contro'!N26</f>
        <v>GOV-16</v>
      </c>
      <c r="I36" s="164" t="str">
        <f>'Databricks AI Mitigation Contro'!F26</f>
        <v>Customer configured, Databricks enforced</v>
      </c>
      <c r="J36" s="336" t="str">
        <f>'Databricks AI Mitigation Contro'!G26</f>
        <v>AWS</v>
      </c>
      <c r="K36" s="336" t="str">
        <f>'Databricks AI Mitigation Contro'!H26</f>
        <v>Azure</v>
      </c>
      <c r="L36" s="336" t="str">
        <f>'Databricks AI Mitigation Contro'!I26</f>
        <v>GCP</v>
      </c>
      <c r="M36" s="197" t="s">
        <v>2359</v>
      </c>
      <c r="N36" s="168" t="s">
        <v>258</v>
      </c>
      <c r="O36" s="173" t="s">
        <v>2360</v>
      </c>
      <c r="P36" s="173" t="s">
        <v>2361</v>
      </c>
      <c r="Q36" s="168" t="s">
        <v>258</v>
      </c>
      <c r="R36" s="168" t="s">
        <v>546</v>
      </c>
      <c r="S36" s="174" t="s">
        <v>1693</v>
      </c>
      <c r="T36" s="175" t="s">
        <v>1694</v>
      </c>
      <c r="U36" s="337" t="s">
        <v>1695</v>
      </c>
      <c r="V36" s="338" t="s">
        <v>258</v>
      </c>
      <c r="W36" s="283"/>
      <c r="X36" s="283"/>
      <c r="Y36" s="283"/>
      <c r="Z36" s="283"/>
      <c r="AA36" s="283"/>
      <c r="AB36" s="283"/>
      <c r="AC36" s="283"/>
      <c r="AD36" s="283"/>
      <c r="AE36" s="283"/>
      <c r="AF36" s="283"/>
      <c r="AG36" s="283"/>
      <c r="AH36" s="283"/>
      <c r="AI36" s="283"/>
      <c r="AJ36" s="283"/>
      <c r="AK36" s="283"/>
    </row>
    <row r="37">
      <c r="A37" s="63" t="str">
        <f>'Databricks AI Mitigation Contro'!B27</f>
        <v>DASF 25: Use retrieval augmented generation (RAG) with large language models (LLMs)
</v>
      </c>
      <c r="B37" s="63" t="str">
        <f>'Databricks AI Mitigation Contro'!A27</f>
        <v>DASF 25</v>
      </c>
      <c r="C37" s="63" t="str">
        <f>'Databricks AI Mitigation Contro'!D27</f>
        <v>Generating relevant and accurate responses in large language models (LLMs) while avoiding hallucinations requires grounding them in domain-specific knowledge. Retrieval augmented generation (RAG) addresses this by breaking down extensive datasets into manageable segments (“chunks”) that are “vector embedded.” These vector embeddings are mathematical representations that help the model understand and quantify different data segments. As a result, LLMs produce responses that are contextually relevant and deeply rooted in the specific domain knowledge.</v>
      </c>
      <c r="D37" s="63" t="str">
        <f>'Databricks AI Mitigation Contro'!C27</f>
        <v>Evaluation 6.2, Model Serving — Inference requests 9.8</v>
      </c>
      <c r="E37" s="334" t="str">
        <f>IFERROR(__xludf.DUMMYFUNCTION("IF(
 ISBLANK('DASF Risk Applicability'!$C$4),
 """",
 IFERROR(
   IF(
     QUERY(
       'DASF Risk Applicability'!$F$13:$H$74,
       ""select F where F contains '""&amp;B37&amp;""' and H = 'Show' limit 1"",
       0
     ) &lt;&gt; """",
     ""Yes"",
     ""No""
   "&amp;"),
   ""No""
 )
)"),"Yes")</f>
        <v>Yes</v>
      </c>
      <c r="F37" s="335" t="str">
        <f>IFERROR(__xludf.DUMMYFUNCTION("IF(ISBLANK($C$4), 
  ""Show"",
  IF(
    REGEXMATCH($E37, ""Yes""),
    ""Show"",
    ""Hide""
  )
)"),"Show")</f>
        <v>Show</v>
      </c>
      <c r="G37" s="164" t="str">
        <f>'Databricks AI Mitigation Contro'!E27</f>
        <v>Databricks — Implementation</v>
      </c>
      <c r="H37" s="164" t="str">
        <f>'Databricks AI Mitigation Contro'!N27</f>
        <v>Features available to implement control and manually verify</v>
      </c>
      <c r="I37" s="164" t="str">
        <f>'Databricks AI Mitigation Contro'!F27</f>
        <v>Co-managed</v>
      </c>
      <c r="J37" s="336" t="str">
        <f>'Databricks AI Mitigation Contro'!G27</f>
        <v>AWS</v>
      </c>
      <c r="K37" s="336" t="str">
        <f>'Databricks AI Mitigation Contro'!H27</f>
        <v>Azure</v>
      </c>
      <c r="L37" s="342" t="str">
        <f>'Databricks AI Mitigation Contro'!I27</f>
        <v>GCP</v>
      </c>
      <c r="M37" s="168" t="s">
        <v>258</v>
      </c>
      <c r="N37" s="168" t="s">
        <v>258</v>
      </c>
      <c r="O37" s="198" t="s">
        <v>1705</v>
      </c>
      <c r="P37" s="187" t="s">
        <v>258</v>
      </c>
      <c r="Q37" s="168" t="s">
        <v>1706</v>
      </c>
      <c r="R37" s="168" t="s">
        <v>258</v>
      </c>
      <c r="S37" s="192" t="s">
        <v>258</v>
      </c>
      <c r="T37" s="175" t="s">
        <v>258</v>
      </c>
      <c r="U37" s="339" t="s">
        <v>258</v>
      </c>
      <c r="V37" s="338" t="s">
        <v>258</v>
      </c>
      <c r="W37" s="283"/>
      <c r="X37" s="283"/>
      <c r="Y37" s="283"/>
      <c r="Z37" s="283"/>
      <c r="AA37" s="283"/>
      <c r="AB37" s="283"/>
      <c r="AC37" s="283"/>
      <c r="AD37" s="283"/>
      <c r="AE37" s="283"/>
      <c r="AF37" s="283"/>
      <c r="AG37" s="283"/>
      <c r="AH37" s="283"/>
      <c r="AI37" s="283"/>
      <c r="AJ37" s="283"/>
      <c r="AK37" s="283"/>
    </row>
    <row r="38">
      <c r="A38" s="63" t="str">
        <f>'Databricks AI Mitigation Contro'!B28</f>
        <v>DASF 26: Fine-tune large language models (LLMs)
</v>
      </c>
      <c r="B38" s="63" t="str">
        <f>'Databricks AI Mitigation Contro'!A28</f>
        <v>DASF 26</v>
      </c>
      <c r="C38" s="63" t="str">
        <f>'Databricks AI Mitigation Contro'!D28</f>
        <v>Data is your competitive advantage. Use it to customize large AI models to beat your competition. Produce new model variants with tailored LLM response style and structure via fine-tuning.
Fine-tune your own LLM with open models to own your IP.</v>
      </c>
      <c r="D38" s="63" t="str">
        <f>'Databricks AI Mitigation Contro'!C28</f>
        <v>Model Serving — Inference requests 9.8</v>
      </c>
      <c r="E38" s="334" t="str">
        <f>IFERROR(__xludf.DUMMYFUNCTION("IF(
 ISBLANK('DASF Risk Applicability'!$C$4),
 """",
 IFERROR(
   IF(
     QUERY(
       'DASF Risk Applicability'!$F$13:$H$74,
       ""select F where F contains '""&amp;B38&amp;""' and H = 'Show' limit 1"",
       0
     ) &lt;&gt; """",
     ""Yes"",
     ""No""
   "&amp;"),
   ""No""
 )
)"),"Yes")</f>
        <v>Yes</v>
      </c>
      <c r="F38" s="335" t="str">
        <f>IFERROR(__xludf.DUMMYFUNCTION("IF(ISBLANK($C$4), 
  ""Show"",
  IF(
    REGEXMATCH($E38, ""Yes""),
    ""Show"",
    ""Hide""
  )
)"),"Show")</f>
        <v>Show</v>
      </c>
      <c r="G38" s="164" t="str">
        <f>'Databricks AI Mitigation Contro'!E28</f>
        <v>Databricks — Implementation</v>
      </c>
      <c r="H38" s="164" t="str">
        <f>'Databricks AI Mitigation Contro'!N28</f>
        <v>Features available to implement control and manually verify</v>
      </c>
      <c r="I38" s="164" t="str">
        <f>'Databricks AI Mitigation Contro'!F28</f>
        <v>Co-managed</v>
      </c>
      <c r="J38" s="336" t="str">
        <f>'Databricks AI Mitigation Contro'!G28</f>
        <v>AWS</v>
      </c>
      <c r="K38" s="336" t="str">
        <f>'Databricks AI Mitigation Contro'!H28</f>
        <v>Azure</v>
      </c>
      <c r="L38" s="164" t="str">
        <f>'Databricks AI Mitigation Contro'!I28</f>
        <v>N/A</v>
      </c>
      <c r="M38" s="168" t="s">
        <v>258</v>
      </c>
      <c r="N38" s="168" t="s">
        <v>258</v>
      </c>
      <c r="O38" s="200" t="s">
        <v>2362</v>
      </c>
      <c r="P38" s="187" t="s">
        <v>258</v>
      </c>
      <c r="Q38" s="168" t="s">
        <v>1717</v>
      </c>
      <c r="R38" s="168" t="s">
        <v>258</v>
      </c>
      <c r="S38" s="192" t="s">
        <v>258</v>
      </c>
      <c r="T38" s="175" t="s">
        <v>258</v>
      </c>
      <c r="U38" s="339" t="s">
        <v>258</v>
      </c>
      <c r="V38" s="338" t="s">
        <v>258</v>
      </c>
      <c r="W38" s="283"/>
      <c r="X38" s="283"/>
      <c r="Y38" s="283"/>
      <c r="Z38" s="283"/>
      <c r="AA38" s="283"/>
      <c r="AB38" s="283"/>
      <c r="AC38" s="283"/>
      <c r="AD38" s="283"/>
      <c r="AE38" s="283"/>
      <c r="AF38" s="283"/>
      <c r="AG38" s="283"/>
      <c r="AH38" s="283"/>
      <c r="AI38" s="283"/>
      <c r="AJ38" s="283"/>
      <c r="AK38" s="283"/>
    </row>
    <row r="39">
      <c r="A39" s="63" t="str">
        <f>'Databricks AI Mitigation Contro'!B29</f>
        <v>DASF 27: Pretrain a large language model (LLM)</v>
      </c>
      <c r="B39" s="63" t="str">
        <f>'Databricks AI Mitigation Contro'!A29</f>
        <v>DASF 27</v>
      </c>
      <c r="C39" s="63" t="str">
        <f>'Databricks AI Mitigation Contro'!D29</f>
        <v>Data is your competitive advantage. Use it to customize large AI models to beat your competition by pretraining models with your data, imbuing the model with domain-specific knowledge, vocabulary and semantics. Pretrain your own LLM with MosaicML to own your IP.</v>
      </c>
      <c r="D39" s="63" t="str">
        <f>'Databricks AI Mitigation Contro'!C29</f>
        <v>Raw data 1.8, Model 7.3, Model Serving — Inference requests 9.8</v>
      </c>
      <c r="E39" s="334" t="str">
        <f>IFERROR(__xludf.DUMMYFUNCTION("IF(
 ISBLANK('DASF Risk Applicability'!$C$4),
 """",
 IFERROR(
   IF(
     QUERY(
       'DASF Risk Applicability'!$F$13:$H$74,
       ""select F where F contains '""&amp;B39&amp;""' and H = 'Show' limit 1"",
       0
     ) &lt;&gt; """",
     ""Yes"",
     ""No""
   "&amp;"),
   ""No""
 )
)"),"Yes")</f>
        <v>Yes</v>
      </c>
      <c r="F39" s="335" t="str">
        <f>IFERROR(__xludf.DUMMYFUNCTION("IF(ISBLANK($C$4), 
  ""Show"",
  IF(
    REGEXMATCH($E39, ""Yes""),
    ""Show"",
    ""Hide""
  )
)"),"Show")</f>
        <v>Show</v>
      </c>
      <c r="G39" s="164" t="str">
        <f>'Databricks AI Mitigation Contro'!E29</f>
        <v>Databricks — Implementation</v>
      </c>
      <c r="H39" s="164" t="str">
        <f>'Databricks AI Mitigation Contro'!N29</f>
        <v>Features available to implement control and manually verify</v>
      </c>
      <c r="I39" s="164" t="str">
        <f>'Databricks AI Mitigation Contro'!F29</f>
        <v>Co-managed</v>
      </c>
      <c r="J39" s="336" t="str">
        <f>'Databricks AI Mitigation Contro'!G29</f>
        <v>AWS</v>
      </c>
      <c r="K39" s="336" t="str">
        <f>'Databricks AI Mitigation Contro'!H29</f>
        <v>Azure</v>
      </c>
      <c r="L39" s="164" t="str">
        <f>'Databricks AI Mitigation Contro'!I29</f>
        <v>N/A</v>
      </c>
      <c r="M39" s="168" t="s">
        <v>258</v>
      </c>
      <c r="N39" s="168" t="s">
        <v>258</v>
      </c>
      <c r="O39" s="187" t="s">
        <v>1535</v>
      </c>
      <c r="P39" s="187" t="s">
        <v>258</v>
      </c>
      <c r="Q39" s="168" t="s">
        <v>1717</v>
      </c>
      <c r="R39" s="168" t="s">
        <v>258</v>
      </c>
      <c r="S39" s="192" t="s">
        <v>258</v>
      </c>
      <c r="T39" s="175" t="s">
        <v>1725</v>
      </c>
      <c r="U39" s="339" t="s">
        <v>258</v>
      </c>
      <c r="V39" s="338" t="s">
        <v>258</v>
      </c>
      <c r="W39" s="283"/>
      <c r="X39" s="283"/>
      <c r="Y39" s="283"/>
      <c r="Z39" s="283"/>
      <c r="AA39" s="283"/>
      <c r="AB39" s="283"/>
      <c r="AC39" s="283"/>
      <c r="AD39" s="283"/>
      <c r="AE39" s="283"/>
      <c r="AF39" s="283"/>
      <c r="AG39" s="283"/>
      <c r="AH39" s="283"/>
      <c r="AI39" s="283"/>
      <c r="AJ39" s="283"/>
      <c r="AK39" s="283"/>
    </row>
    <row r="40">
      <c r="A40" s="63" t="str">
        <f>'Databricks AI Mitigation Contro'!B30</f>
        <v>DASF 28: Create model aliases, tags and annotations</v>
      </c>
      <c r="B40" s="63" t="str">
        <f>'Databricks AI Mitigation Contro'!A30</f>
        <v>DASF 28</v>
      </c>
      <c r="C40" s="63" t="str">
        <f>'Databricks AI Mitigation Contro'!D30</f>
        <v>Model aliases in machine learning workflows allow you to assign a mutable, named reference to a specific version of a registered model. This functionality is beneficial for tracking and managing different stages of a model’s lifecycle, indicating the current deployment status of any given model version.</v>
      </c>
      <c r="D40" s="63" t="str">
        <f>'Databricks AI Mitigation Contro'!C30</f>
        <v>Model Management 8.1, Model Management 8.3, Model Serving — Inference requests 9.5, Model Serving — Inference requests 9.6, Model Serving — Inference response 10.3, Model Serving — Inference response 10.4</v>
      </c>
      <c r="E40" s="334" t="str">
        <f>IFERROR(__xludf.DUMMYFUNCTION("IF(
 ISBLANK('DASF Risk Applicability'!$C$4),
 """",
 IFERROR(
   IF(
     QUERY(
       'DASF Risk Applicability'!$F$13:$H$74,
       ""select F where F contains '""&amp;B40&amp;""' and H = 'Show' limit 1"",
       0
     ) &lt;&gt; """",
     ""Yes"",
     ""No""
   "&amp;"),
   ""No""
 )
)"),"Yes")</f>
        <v>Yes</v>
      </c>
      <c r="F40" s="335" t="str">
        <f>IFERROR(__xludf.DUMMYFUNCTION("IF(ISBLANK($C$4), 
  ""Show"",
  IF(
    REGEXMATCH($E40, ""Yes""),
    ""Show"",
    ""Hide""
  )
)"),"Show")</f>
        <v>Show</v>
      </c>
      <c r="G40" s="164" t="str">
        <f>'Databricks AI Mitigation Contro'!E30</f>
        <v>Databricks — Implementation</v>
      </c>
      <c r="H40" s="164" t="str">
        <f>'Databricks AI Mitigation Contro'!N30</f>
        <v>Features available to implement control and manually verify</v>
      </c>
      <c r="I40" s="164" t="str">
        <f>'Databricks AI Mitigation Contro'!F30</f>
        <v>Customer configured, Databricks enforced</v>
      </c>
      <c r="J40" s="336" t="str">
        <f>'Databricks AI Mitigation Contro'!G30</f>
        <v>AWS</v>
      </c>
      <c r="K40" s="336" t="str">
        <f>'Databricks AI Mitigation Contro'!H30</f>
        <v>Azure</v>
      </c>
      <c r="L40" s="342" t="str">
        <f>'Databricks AI Mitigation Contro'!I30</f>
        <v>GCP</v>
      </c>
      <c r="M40" s="168" t="s">
        <v>258</v>
      </c>
      <c r="N40" s="168" t="s">
        <v>258</v>
      </c>
      <c r="O40" s="200" t="s">
        <v>2363</v>
      </c>
      <c r="P40" s="173" t="s">
        <v>2364</v>
      </c>
      <c r="Q40" s="168" t="s">
        <v>1737</v>
      </c>
      <c r="R40" s="168" t="s">
        <v>258</v>
      </c>
      <c r="S40" s="174" t="s">
        <v>1738</v>
      </c>
      <c r="T40" s="175" t="s">
        <v>1739</v>
      </c>
      <c r="U40" s="339" t="s">
        <v>258</v>
      </c>
      <c r="V40" s="338" t="s">
        <v>258</v>
      </c>
      <c r="W40" s="283"/>
      <c r="X40" s="283"/>
      <c r="Y40" s="283"/>
      <c r="Z40" s="283"/>
      <c r="AA40" s="283"/>
      <c r="AB40" s="283"/>
      <c r="AC40" s="283"/>
      <c r="AD40" s="283"/>
      <c r="AE40" s="283"/>
      <c r="AF40" s="283"/>
      <c r="AG40" s="283"/>
      <c r="AH40" s="283"/>
      <c r="AI40" s="283"/>
      <c r="AJ40" s="283"/>
      <c r="AK40" s="283"/>
    </row>
    <row r="41">
      <c r="A41" s="63" t="str">
        <f>'Databricks AI Mitigation Contro'!B31</f>
        <v>DASF 29: Build MLOps workflows</v>
      </c>
      <c r="B41" s="63" t="str">
        <f>'Databricks AI Mitigation Contro'!A31</f>
        <v>DASF 29</v>
      </c>
      <c r="C41" s="63" t="str">
        <f>'Databricks AI Mitigation Contro'!D31</f>
        <v>The lakehouse forms the foundation of a data-centric AI platform. Key to this is the ability to manage both data and AI assets from a unified governance solution on the lakehouse. Databricks Unity Catalog enables this by providing centralized access control, auditing, approvals, model workflow, lineage, and data discovery capabilities across Databricks workspaces.
These benefits are now extended to MLflow Models with the introduction of Models in Unity Catalog. Through providing a hosted version of the MLflow Model Registry in Unity Catalog, the full lifecycle of an ML model can be managed while leveraging Unity Catalog’s capability to share assets across Databricks workspaces and trace lineage across both data and models.</v>
      </c>
      <c r="D41" s="63" t="str">
        <f>'Databricks AI Mitigation Contro'!C31</f>
        <v>Raw data 1.8, Model Management 8.1, Model Management 8.3</v>
      </c>
      <c r="E41" s="334" t="str">
        <f>IFERROR(__xludf.DUMMYFUNCTION("IF(
 ISBLANK('DASF Risk Applicability'!$C$4),
 """",
 IFERROR(
   IF(
     QUERY(
       'DASF Risk Applicability'!$F$13:$H$74,
       ""select F where F contains '""&amp;B41&amp;""' and H = 'Show' limit 1"",
       0
     ) &lt;&gt; """",
     ""Yes"",
     ""No""
   "&amp;"),
   ""No""
 )
)"),"Yes")</f>
        <v>Yes</v>
      </c>
      <c r="F41" s="335" t="str">
        <f>IFERROR(__xludf.DUMMYFUNCTION("IF(ISBLANK($C$4), 
  ""Show"",
  IF(
    REGEXMATCH($E41, ""Yes""),
    ""Show"",
    ""Hide""
  )
)"),"Show")</f>
        <v>Show</v>
      </c>
      <c r="G41" s="164" t="str">
        <f>'Databricks AI Mitigation Contro'!E31</f>
        <v>Databricks — Implementation</v>
      </c>
      <c r="H41" s="164" t="str">
        <f>'Databricks AI Mitigation Contro'!N31</f>
        <v>Features available to implement control and manually verify</v>
      </c>
      <c r="I41" s="164" t="str">
        <f>'Databricks AI Mitigation Contro'!F31</f>
        <v>Co-managed</v>
      </c>
      <c r="J41" s="336" t="str">
        <f>'Databricks AI Mitigation Contro'!G31</f>
        <v>AWS</v>
      </c>
      <c r="K41" s="336" t="str">
        <f>'Databricks AI Mitigation Contro'!H31</f>
        <v>Azure</v>
      </c>
      <c r="L41" s="336" t="str">
        <f>'Databricks AI Mitigation Contro'!I31</f>
        <v>GCP</v>
      </c>
      <c r="M41" s="168" t="s">
        <v>258</v>
      </c>
      <c r="N41" s="168" t="s">
        <v>258</v>
      </c>
      <c r="O41" s="200" t="s">
        <v>2365</v>
      </c>
      <c r="P41" s="173" t="s">
        <v>2366</v>
      </c>
      <c r="Q41" s="168" t="s">
        <v>1751</v>
      </c>
      <c r="R41" s="168" t="s">
        <v>258</v>
      </c>
      <c r="S41" s="174" t="s">
        <v>1752</v>
      </c>
      <c r="T41" s="175" t="s">
        <v>1753</v>
      </c>
      <c r="U41" s="337" t="s">
        <v>1754</v>
      </c>
      <c r="V41" s="338" t="s">
        <v>258</v>
      </c>
      <c r="W41" s="283"/>
      <c r="X41" s="283"/>
      <c r="Y41" s="283"/>
      <c r="Z41" s="283"/>
      <c r="AA41" s="283"/>
      <c r="AB41" s="283"/>
      <c r="AC41" s="283"/>
      <c r="AD41" s="283"/>
      <c r="AE41" s="283"/>
      <c r="AF41" s="283"/>
      <c r="AG41" s="283"/>
      <c r="AH41" s="283"/>
      <c r="AI41" s="283"/>
      <c r="AJ41" s="283"/>
      <c r="AK41" s="283"/>
    </row>
    <row r="42">
      <c r="A42" s="63" t="str">
        <f>'Databricks AI Mitigation Contro'!B32</f>
        <v>DASF 30: Encrypt models</v>
      </c>
      <c r="B42" s="63" t="str">
        <f>'Databricks AI Mitigation Contro'!A32</f>
        <v>DASF 30</v>
      </c>
      <c r="C42" s="63" t="str">
        <f>'Databricks AI Mitigation Contro'!D32</f>
        <v>Databricks Platform secures model assets and their transfer with TLS 1.2+ in-transit encryption. Additionally, Unity Catalog’s managed model registry provides encryption at rest for persisting models, further enhancing security.</v>
      </c>
      <c r="D42" s="63" t="str">
        <f>'Databricks AI Mitigation Contro'!C32</f>
        <v>Model Management 8.2, Model Management 8.4, Model Serving — Inference requests 9.1, Model Serving — Inference requests 9.2, Model Serving — Inference requests 9.5, Model Serving — Inference requests 9.6, Model Serving — Inference requests 9.7, Model Serving — Inference response 10.2, Model Serving — Inference response 10.3, Model Serving — Inference response 10.4, Model Serving — Inference response 10.5</v>
      </c>
      <c r="E42" s="334" t="str">
        <f>IFERROR(__xludf.DUMMYFUNCTION("IF(
 ISBLANK('DASF Risk Applicability'!$C$4),
 """",
 IFERROR(
   IF(
     QUERY(
       'DASF Risk Applicability'!$F$13:$H$74,
       ""select F where F contains '""&amp;B42&amp;""' and H = 'Show' limit 1"",
       0
     ) &lt;&gt; """",
     ""Yes"",
     ""No""
   "&amp;"),
   ""No""
 )
)"),"Yes")</f>
        <v>Yes</v>
      </c>
      <c r="F42" s="335" t="str">
        <f>IFERROR(__xludf.DUMMYFUNCTION("IF(ISBLANK($C$4), 
  ""Show"",
  IF(
    REGEXMATCH($E42, ""Yes""),
    ""Show"",
    ""Hide""
  )
)"),"Show")</f>
        <v>Show</v>
      </c>
      <c r="G42" s="164" t="str">
        <f>'Databricks AI Mitigation Contro'!E32</f>
        <v>Databricks — Out-of-the-box</v>
      </c>
      <c r="H42" s="164" t="str">
        <f>'Databricks AI Mitigation Contro'!N32</f>
        <v>Out of the box</v>
      </c>
      <c r="I42" s="164" t="str">
        <f>'Databricks AI Mitigation Contro'!F32</f>
        <v>Databricks Managed</v>
      </c>
      <c r="J42" s="336" t="str">
        <f>'Databricks AI Mitigation Contro'!G32</f>
        <v>AWS</v>
      </c>
      <c r="K42" s="336" t="str">
        <f>'Databricks AI Mitigation Contro'!H32</f>
        <v>Azure</v>
      </c>
      <c r="L42" s="342" t="str">
        <f>'Databricks AI Mitigation Contro'!I32</f>
        <v>GCP</v>
      </c>
      <c r="M42" s="172" t="s">
        <v>2367</v>
      </c>
      <c r="N42" s="172" t="s">
        <v>2368</v>
      </c>
      <c r="O42" s="187" t="s">
        <v>258</v>
      </c>
      <c r="P42" s="173" t="s">
        <v>2369</v>
      </c>
      <c r="Q42" s="168" t="s">
        <v>258</v>
      </c>
      <c r="R42" s="168" t="s">
        <v>1474</v>
      </c>
      <c r="S42" s="174" t="s">
        <v>1767</v>
      </c>
      <c r="T42" s="175" t="s">
        <v>1768</v>
      </c>
      <c r="U42" s="337" t="s">
        <v>305</v>
      </c>
      <c r="V42" s="180" t="s">
        <v>2370</v>
      </c>
      <c r="W42" s="283"/>
      <c r="X42" s="283"/>
      <c r="Y42" s="283"/>
      <c r="Z42" s="283"/>
      <c r="AA42" s="283"/>
      <c r="AB42" s="283"/>
      <c r="AC42" s="283"/>
      <c r="AD42" s="283"/>
      <c r="AE42" s="283"/>
      <c r="AF42" s="283"/>
      <c r="AG42" s="283"/>
      <c r="AH42" s="283"/>
      <c r="AI42" s="283"/>
      <c r="AJ42" s="283"/>
      <c r="AK42" s="283"/>
    </row>
    <row r="43">
      <c r="A43" s="63" t="str">
        <f>'Databricks AI Mitigation Contro'!B33</f>
        <v>DASF 31: Secure model serving endpoints</v>
      </c>
      <c r="B43" s="63" t="str">
        <f>'Databricks AI Mitigation Contro'!A33</f>
        <v>DASF 31</v>
      </c>
      <c r="C43" s="63" t="str">
        <f>'Databricks AI Mitigation Contro'!D33</f>
        <v>Model serving involves risks of unauthorized data access and model tampering, which can compromise the integrity and reliability of machine learning deployments. Mosaic AI Model Serving addresses these concerns by providing secure-by-default REST API endpoints for MLflow machine learning models, featuring autoscaling, high availability and low latency.</v>
      </c>
      <c r="D43" s="63" t="str">
        <f>'Databricks AI Mitigation Contro'!C33</f>
        <v>Model Management 8.2, Model Management 8.4, Model Serving — Inference requests 9.1, Model Serving — Inference requests 9.2, Model Serving — Inference requests 9.5, Model Serving — Inference requests 9.6, Model Serving — Inference requests 9.7, Model Serving — Inference requests 9.11,  Model Serving — Inference requests 9.12, Model Serving — Inference response 10.2, Model Serving — Inference response 10.3, Model Serving — Inference response 10.4, Model Serving — Inference response 10.5,Model Serving — Inference response 10.6,Platform 12.7, Agents — Core 13.1, Agents — Core 13.2, Agents — Core 13.3, Agents — Core 13.4, Agents — Core 13.5, Agents — Core 13.6, Agents — Core 13.7, Agents — Core 13.8, Agents — Core 13.9, Agents — Core 13.14, Agents — Core 13.15, Agents — Tools MCP Server 13.16, Agents — Tools MCP Server 13.18, Agents — Tools MCP Server 13.20, Agents — Tools MCP Server 13.23, Agents — Tools MCP Server 13.24, Agents — Tools MCP Client 13.28</v>
      </c>
      <c r="E43" s="334" t="str">
        <f>IFERROR(__xludf.DUMMYFUNCTION("IF(
 ISBLANK('DASF Risk Applicability'!$C$4),
 """",
 IFERROR(
   IF(
     QUERY(
       'DASF Risk Applicability'!$F$13:$H$74,
       ""select F where F contains '""&amp;B43&amp;""' and H = 'Show' limit 1"",
       0
     ) &lt;&gt; """",
     ""Yes"",
     ""No""
   "&amp;"),
   ""No""
 )
)"),"Yes")</f>
        <v>Yes</v>
      </c>
      <c r="F43" s="335" t="str">
        <f>IFERROR(__xludf.DUMMYFUNCTION("IF(ISBLANK($C$4), 
  ""Show"",
  IF(
    REGEXMATCH($E43, ""Yes""),
    ""Show"",
    ""Hide""
  )
)"),"Show")</f>
        <v>Show</v>
      </c>
      <c r="G43" s="164" t="str">
        <f>'Databricks AI Mitigation Contro'!E33</f>
        <v>Databricks — Out-of-the-box</v>
      </c>
      <c r="H43" s="164" t="str">
        <f>'Databricks AI Mitigation Contro'!N33</f>
        <v>NS-7</v>
      </c>
      <c r="I43" s="164" t="str">
        <f>'Databricks AI Mitigation Contro'!F33</f>
        <v>Databricks Managed</v>
      </c>
      <c r="J43" s="336" t="str">
        <f>'Databricks AI Mitigation Contro'!G33</f>
        <v>AWS</v>
      </c>
      <c r="K43" s="336" t="str">
        <f>'Databricks AI Mitigation Contro'!H33</f>
        <v>Azure</v>
      </c>
      <c r="L43" s="342" t="str">
        <f>'Databricks AI Mitigation Contro'!I33</f>
        <v>GCP</v>
      </c>
      <c r="M43" s="172" t="s">
        <v>2371</v>
      </c>
      <c r="N43" s="202" t="s">
        <v>258</v>
      </c>
      <c r="O43" s="173" t="s">
        <v>2372</v>
      </c>
      <c r="P43" s="173" t="s">
        <v>2373</v>
      </c>
      <c r="Q43" s="168" t="s">
        <v>258</v>
      </c>
      <c r="R43" s="168" t="s">
        <v>938</v>
      </c>
      <c r="S43" s="174" t="s">
        <v>1783</v>
      </c>
      <c r="T43" s="175" t="s">
        <v>1784</v>
      </c>
      <c r="U43" s="337" t="s">
        <v>1785</v>
      </c>
      <c r="V43" s="338" t="s">
        <v>258</v>
      </c>
      <c r="W43" s="283"/>
      <c r="X43" s="283"/>
      <c r="Y43" s="283"/>
      <c r="Z43" s="283"/>
      <c r="AA43" s="283"/>
      <c r="AB43" s="283"/>
      <c r="AC43" s="283"/>
      <c r="AD43" s="283"/>
      <c r="AE43" s="283"/>
      <c r="AF43" s="283"/>
      <c r="AG43" s="283"/>
      <c r="AH43" s="283"/>
      <c r="AI43" s="283"/>
      <c r="AJ43" s="283"/>
      <c r="AK43" s="283"/>
    </row>
    <row r="44">
      <c r="A44" s="63" t="str">
        <f>'Databricks AI Mitigation Contro'!B34</f>
        <v>DASF 32: Govern and monitor access of AI model and model serving endpoints</v>
      </c>
      <c r="B44" s="63" t="str">
        <f>'Databricks AI Mitigation Contro'!A34</f>
        <v>DASF 32</v>
      </c>
      <c r="C44" s="63" t="str">
        <f>'Databricks AI Mitigation Contro'!D34</f>
        <v>Mosaic AI Gateway is designed to streamline the usage and management of generative AI models and agents within an organization. It is a centralized service that brings governance, monitoring, and production readiness to model serving endpoints. It also allows you to run, secure, and govern AI traffic to democratize and accelerate AI adoption for your organization. Supported by Model Serving AI Gateway, Databricks external models via the AI Gateway allow you to streamline the usage and management of various large language model (LLM) providers, such as OpenAI and Anthropic, within an organization. You can also use Mosaic AI Model Serving as a provider to serve predictive ML models, which offers rate limits for those endpoints. As part of this support, Model Serving offers a high-level interface that simplifies the interaction with these services by providing a unified endpoint to handle specific LLM-related requests. In addition, Databricks support for external models provides centralized credential management. By storing API keys in one secure location, organizations can enhance their security posture by minimizing the exposure of sensitive API keys throughout the system. It also helps to prevent exposing these keys within code or requiring end users to manage keys safely.</v>
      </c>
      <c r="D44" s="63" t="str">
        <f>'Databricks AI Mitigation Contro'!C34</f>
        <v>Model Management 8.2, Model Management 8.4, Model Serving — Inference requests 9.1, Model Serving — Inference requests 9.2, Model Serving — Inference requests 9.5, Model Serving — Inference requests 9.6, Model Serving — Inference requests 9.7, Model Serving — Inference response 10.2, Model Serving — Inference response 10.3, Model Serving — Inference response 10.4, Model Serving — Inference response 10.5, Model Serving — Inference response 10.6, Agents — Tools MCP Server 13.16, Agents — Tools MCP Server 13.18</v>
      </c>
      <c r="E44" s="334" t="str">
        <f>IFERROR(__xludf.DUMMYFUNCTION("IF(
 ISBLANK('DASF Risk Applicability'!$C$4),
 """",
 IFERROR(
   IF(
     QUERY(
       'DASF Risk Applicability'!$F$13:$H$74,
       ""select F where F contains '""&amp;B44&amp;""' and H = 'Show' limit 1"",
       0
     ) &lt;&gt; """",
     ""Yes"",
     ""No""
   "&amp;"),
   ""No""
 )
)"),"Yes")</f>
        <v>Yes</v>
      </c>
      <c r="F44" s="335" t="str">
        <f>IFERROR(__xludf.DUMMYFUNCTION("IF(ISBLANK($C$4), 
  ""Show"",
  IF(
    REGEXMATCH($E44, ""Yes""),
    ""Show"",
    ""Hide""
  )
)"),"Show")</f>
        <v>Show</v>
      </c>
      <c r="G44" s="164" t="str">
        <f>'Databricks AI Mitigation Contro'!E34</f>
        <v>Databricks — Out-of-the-box</v>
      </c>
      <c r="H44" s="164" t="str">
        <f>'Databricks AI Mitigation Contro'!N34</f>
        <v>Features available to implement control and manually verify</v>
      </c>
      <c r="I44" s="164" t="str">
        <f>'Databricks AI Mitigation Contro'!F34</f>
        <v>Customer configured, Databricks enforced</v>
      </c>
      <c r="J44" s="336" t="str">
        <f>'Databricks AI Mitigation Contro'!G34</f>
        <v>AWS</v>
      </c>
      <c r="K44" s="336" t="str">
        <f>'Databricks AI Mitigation Contro'!H34</f>
        <v>Azure</v>
      </c>
      <c r="L44" s="342" t="str">
        <f>'Databricks AI Mitigation Contro'!I34</f>
        <v>GCP</v>
      </c>
      <c r="M44" s="197" t="s">
        <v>2374</v>
      </c>
      <c r="N44" s="202" t="s">
        <v>258</v>
      </c>
      <c r="O44" s="173" t="s">
        <v>2375</v>
      </c>
      <c r="P44" s="187" t="s">
        <v>258</v>
      </c>
      <c r="Q44" s="168" t="s">
        <v>937</v>
      </c>
      <c r="R44" s="168" t="s">
        <v>258</v>
      </c>
      <c r="S44" s="192" t="s">
        <v>258</v>
      </c>
      <c r="T44" s="175" t="s">
        <v>1795</v>
      </c>
      <c r="U44" s="339" t="s">
        <v>258</v>
      </c>
      <c r="V44" s="338" t="s">
        <v>258</v>
      </c>
      <c r="W44" s="283"/>
      <c r="X44" s="283"/>
      <c r="Y44" s="283"/>
      <c r="Z44" s="283"/>
      <c r="AA44" s="283"/>
      <c r="AB44" s="283"/>
      <c r="AC44" s="283"/>
      <c r="AD44" s="283"/>
      <c r="AE44" s="283"/>
      <c r="AF44" s="283"/>
      <c r="AG44" s="283"/>
      <c r="AH44" s="283"/>
      <c r="AI44" s="283"/>
      <c r="AJ44" s="283"/>
      <c r="AK44" s="283"/>
    </row>
    <row r="45">
      <c r="A45" s="63" t="str">
        <f>'Databricks AI Mitigation Contro'!B35</f>
        <v>DASF 33: Manage credentials securely</v>
      </c>
      <c r="B45" s="63" t="str">
        <f>'Databricks AI Mitigation Contro'!A35</f>
        <v>DASF 33</v>
      </c>
      <c r="C45" s="63" t="str">
        <f>'Databricks AI Mitigation Contro'!D35</f>
        <v>Databricks Secrets stores your credentials and references them in notebooks, scripts, configuration properties and jobs.
Integrating with heterogeneous systems requires managing a potentially large set of credentials and safely distributing them across an organization. Instead of directly entering your credentials into a notebook, use Databricks Secrets to store your credentials and reference them in notebooks and jobs to prevent credential leaks through models. Databricks secret management allows users to use and share credentials within Databricks securely. You can also choose to use a third-party secret management service, such as AWS Secrets Manager or a third-party secret manager.</v>
      </c>
      <c r="D45" s="63" t="str">
        <f>'Databricks AI Mitigation Contro'!C35</f>
        <v>Model 7.2, Model Management 8.2, Model Serving — Inference requests 9.11,  Model Serving — Inference requests 9.12, Agents — Tools MCP Client 13.27, Agents — Tools MCP Client 13.28, Agents — Tools MCP Client 13.30, Agents — Tools MCP Server 13.19, Agents — Tools MCP Server 13.20, Agents — Tools MCP Server 13.23, Agents — Tools MCP Server 13.24</v>
      </c>
      <c r="E45" s="334" t="str">
        <f>IFERROR(__xludf.DUMMYFUNCTION("IF(
 ISBLANK('DASF Risk Applicability'!$C$4),
 """",
 IFERROR(
   IF(
     QUERY(
       'DASF Risk Applicability'!$F$13:$H$74,
       ""select F where F contains '""&amp;B45&amp;""' and H = 'Show' limit 1"",
       0
     ) &lt;&gt; """",
     ""Yes"",
     ""No""
   "&amp;"),
   ""No""
 )
)"),"Yes")</f>
        <v>Yes</v>
      </c>
      <c r="F45" s="335" t="str">
        <f>IFERROR(__xludf.DUMMYFUNCTION("IF(ISBLANK($C$4), 
  ""Show"",
  IF(
    REGEXMATCH($E45, ""Yes""),
    ""Show"",
    ""Hide""
  )
)"),"Show")</f>
        <v>Show</v>
      </c>
      <c r="G45" s="164" t="str">
        <f>'Databricks AI Mitigation Contro'!E35</f>
        <v>Databricks — Implementation</v>
      </c>
      <c r="H45" s="164" t="str">
        <f>'Databricks AI Mitigation Contro'!N35</f>
        <v>DP-1</v>
      </c>
      <c r="I45" s="164" t="str">
        <f>'Databricks AI Mitigation Contro'!F35</f>
        <v>Customer configured, Databricks enforced</v>
      </c>
      <c r="J45" s="336" t="str">
        <f>'Databricks AI Mitigation Contro'!G35</f>
        <v>AWS</v>
      </c>
      <c r="K45" s="336" t="str">
        <f>'Databricks AI Mitigation Contro'!H35</f>
        <v>Azure</v>
      </c>
      <c r="L45" s="336" t="str">
        <f>'Databricks AI Mitigation Contro'!I35</f>
        <v>GCP</v>
      </c>
      <c r="M45" s="168" t="s">
        <v>258</v>
      </c>
      <c r="N45" s="172" t="s">
        <v>2376</v>
      </c>
      <c r="O45" s="187" t="s">
        <v>258</v>
      </c>
      <c r="P45" s="187" t="s">
        <v>258</v>
      </c>
      <c r="Q45" s="168" t="s">
        <v>258</v>
      </c>
      <c r="R45" s="168" t="s">
        <v>1807</v>
      </c>
      <c r="S45" s="174" t="s">
        <v>1808</v>
      </c>
      <c r="T45" s="175" t="s">
        <v>1809</v>
      </c>
      <c r="U45" s="339" t="s">
        <v>258</v>
      </c>
      <c r="V45" s="338" t="s">
        <v>258</v>
      </c>
      <c r="W45" s="283"/>
      <c r="X45" s="283"/>
      <c r="Y45" s="283"/>
      <c r="Z45" s="283"/>
      <c r="AA45" s="283"/>
      <c r="AB45" s="283"/>
      <c r="AC45" s="283"/>
      <c r="AD45" s="283"/>
      <c r="AE45" s="283"/>
      <c r="AF45" s="283"/>
      <c r="AG45" s="283"/>
      <c r="AH45" s="283"/>
      <c r="AI45" s="283"/>
      <c r="AJ45" s="283"/>
      <c r="AK45" s="283"/>
    </row>
    <row r="46">
      <c r="A46" s="63" t="str">
        <f>'Databricks AI Mitigation Contro'!B36</f>
        <v>DASF 34: Run models in multiple layers of isolation</v>
      </c>
      <c r="B46" s="63" t="str">
        <f>'Databricks AI Mitigation Contro'!A36</f>
        <v>DASF 34</v>
      </c>
      <c r="C46" s="63" t="str">
        <f>'Databricks AI Mitigation Contro'!D36</f>
        <v>Databricks Serverless Compute provides a secure-by-design model serving service featuring defense-in-depth controls like dedicated VMs, network segmentation, and encryption for data in transit and at rest. It adheres to the principle of least privilege for enhanced security.</v>
      </c>
      <c r="D46" s="63" t="str">
        <f>'Databricks AI Mitigation Contro'!C36</f>
        <v>Model 7.1, Model Serving — Inference requests 9.3, Agents — Core 13.1, Agents — Core 13.2, Agents — Core 13.3, Agents — Core 13.4, Agents — Core 13.5, Agents — Core 13.6, Agents — Core 13.7, Agents — Core 13.11, Agents — Core 13.12, Agents — Core 13.13, Agents — Core 13.14, Agents — Core 13.15, Agents — Tools MCP Client 13.32</v>
      </c>
      <c r="E46" s="334" t="str">
        <f>IFERROR(__xludf.DUMMYFUNCTION("IF(
 ISBLANK('DASF Risk Applicability'!$C$4),
 """",
 IFERROR(
   IF(
     QUERY(
       'DASF Risk Applicability'!$F$13:$H$74,
       ""select F where F contains '""&amp;B46&amp;""' and H = 'Show' limit 1"",
       0
     ) &lt;&gt; """",
     ""Yes"",
     ""No""
   "&amp;"),
   ""No""
 )
)"),"Yes")</f>
        <v>Yes</v>
      </c>
      <c r="F46" s="335" t="str">
        <f>IFERROR(__xludf.DUMMYFUNCTION("IF(ISBLANK($C$4), 
  ""Show"",
  IF(
    REGEXMATCH($E46, ""Yes""),
    ""Show"",
    ""Hide""
  )
)"),"Show")</f>
        <v>Show</v>
      </c>
      <c r="G46" s="164" t="str">
        <f>'Databricks AI Mitigation Contro'!E36</f>
        <v>Databricks — Out-of-the-box</v>
      </c>
      <c r="H46" s="164" t="str">
        <f>'Databricks AI Mitigation Contro'!N36</f>
        <v>Out of the box</v>
      </c>
      <c r="I46" s="164" t="str">
        <f>'Databricks AI Mitigation Contro'!F36</f>
        <v>Databricks Managed</v>
      </c>
      <c r="J46" s="336" t="str">
        <f>'Databricks AI Mitigation Contro'!G36</f>
        <v>AWS</v>
      </c>
      <c r="K46" s="336" t="str">
        <f>'Databricks AI Mitigation Contro'!H36</f>
        <v>Azure</v>
      </c>
      <c r="L46" s="342" t="str">
        <f>'Databricks AI Mitigation Contro'!I36</f>
        <v>GCP</v>
      </c>
      <c r="M46" s="172" t="s">
        <v>2377</v>
      </c>
      <c r="N46" s="172" t="s">
        <v>2378</v>
      </c>
      <c r="O46" s="173" t="s">
        <v>2379</v>
      </c>
      <c r="P46" s="173" t="s">
        <v>2380</v>
      </c>
      <c r="Q46" s="168" t="s">
        <v>258</v>
      </c>
      <c r="R46" s="168" t="s">
        <v>1823</v>
      </c>
      <c r="S46" s="174" t="s">
        <v>1824</v>
      </c>
      <c r="T46" s="175" t="s">
        <v>1825</v>
      </c>
      <c r="U46" s="339" t="s">
        <v>258</v>
      </c>
      <c r="V46" s="338" t="s">
        <v>258</v>
      </c>
      <c r="W46" s="283"/>
      <c r="X46" s="283"/>
      <c r="Y46" s="283"/>
      <c r="Z46" s="283"/>
      <c r="AA46" s="283"/>
      <c r="AB46" s="283"/>
      <c r="AC46" s="283"/>
      <c r="AD46" s="283"/>
      <c r="AE46" s="283"/>
      <c r="AF46" s="283"/>
      <c r="AG46" s="283"/>
      <c r="AH46" s="283"/>
      <c r="AI46" s="283"/>
      <c r="AJ46" s="283"/>
      <c r="AK46" s="283"/>
    </row>
    <row r="47">
      <c r="A47" s="63" t="str">
        <f>'Databricks AI Mitigation Contro'!B37</f>
        <v>DASF 35: Track model performance
</v>
      </c>
      <c r="B47" s="63" t="str">
        <f>'Databricks AI Mitigation Contro'!A37</f>
        <v>DASF 35</v>
      </c>
      <c r="C47" s="63" t="str">
        <f>'Databricks AI Mitigation Contro'!D37</f>
        <v>Databricks Lakehouse Monitoring provides performance metrics and data quality statistics across all account tables. It tracks the performance of machine learning models and model serving endpoints by observing inference tables with model inputs and predictions.</v>
      </c>
      <c r="D47" s="63" t="str">
        <f>'Databricks AI Mitigation Contro'!C37</f>
        <v>Evaluation 6.3,Model Serving — Inference response 10.1</v>
      </c>
      <c r="E47" s="334" t="str">
        <f>IFERROR(__xludf.DUMMYFUNCTION("IF(
 ISBLANK('DASF Risk Applicability'!$C$4),
 """",
 IFERROR(
   IF(
     QUERY(
       'DASF Risk Applicability'!$F$13:$H$74,
       ""select F where F contains '""&amp;B47&amp;""' and H = 'Show' limit 1"",
       0
     ) &lt;&gt; """",
     ""Yes"",
     ""No""
   "&amp;"),
   ""No""
 )
)"),"Yes")</f>
        <v>Yes</v>
      </c>
      <c r="F47" s="335" t="str">
        <f>IFERROR(__xludf.DUMMYFUNCTION("IF(ISBLANK($C$4), 
  ""Show"",
  IF(
    REGEXMATCH($E47, ""Yes""),
    ""Show"",
    ""Hide""
  )
)"),"Show")</f>
        <v>Show</v>
      </c>
      <c r="G47" s="164" t="str">
        <f>'Databricks AI Mitigation Contro'!E37</f>
        <v>Databricks — Implementation</v>
      </c>
      <c r="H47" s="164" t="str">
        <f>'Databricks AI Mitigation Contro'!N37</f>
        <v>Features available to implement control and manually verify</v>
      </c>
      <c r="I47" s="164" t="str">
        <f>'Databricks AI Mitigation Contro'!F37</f>
        <v>Customer configured, Databricks enforced</v>
      </c>
      <c r="J47" s="336" t="str">
        <f>'Databricks AI Mitigation Contro'!G37</f>
        <v>AWS</v>
      </c>
      <c r="K47" s="336" t="str">
        <f>'Databricks AI Mitigation Contro'!H37</f>
        <v>Azure</v>
      </c>
      <c r="L47" s="342" t="str">
        <f>'Databricks AI Mitigation Contro'!I37</f>
        <v>GCP</v>
      </c>
      <c r="M47" s="168" t="s">
        <v>258</v>
      </c>
      <c r="N47" s="168" t="s">
        <v>258</v>
      </c>
      <c r="O47" s="187" t="s">
        <v>258</v>
      </c>
      <c r="P47" s="173" t="s">
        <v>2381</v>
      </c>
      <c r="Q47" s="168" t="s">
        <v>1645</v>
      </c>
      <c r="R47" s="168" t="s">
        <v>258</v>
      </c>
      <c r="S47" s="174" t="s">
        <v>1836</v>
      </c>
      <c r="T47" s="175" t="s">
        <v>258</v>
      </c>
      <c r="U47" s="337" t="s">
        <v>1837</v>
      </c>
      <c r="V47" s="180" t="s">
        <v>2382</v>
      </c>
      <c r="W47" s="283"/>
      <c r="X47" s="283"/>
      <c r="Y47" s="283"/>
      <c r="Z47" s="283"/>
      <c r="AA47" s="283"/>
      <c r="AB47" s="283"/>
      <c r="AC47" s="283"/>
      <c r="AD47" s="283"/>
      <c r="AE47" s="283"/>
      <c r="AF47" s="283"/>
      <c r="AG47" s="283"/>
      <c r="AH47" s="283"/>
      <c r="AI47" s="283"/>
      <c r="AJ47" s="283"/>
      <c r="AK47" s="283"/>
    </row>
    <row r="48">
      <c r="A48" s="63" t="str">
        <f>'Databricks AI Mitigation Contro'!B38</f>
        <v>DASF 36: Set up monitoring alerts
</v>
      </c>
      <c r="B48" s="63" t="str">
        <f>'Databricks AI Mitigation Contro'!A38</f>
        <v>DASF 36</v>
      </c>
      <c r="C48" s="63" t="str">
        <f>'Databricks AI Mitigation Contro'!D38</f>
        <v>Databricks SQL alerts can monitor the metrics table for security-based conditions, ensuring data integrity and timely response to potential issues:
- Statistic range alert: Triggers when a specific statistic, such as the fraction of missing values, exceeds a predetermined threshold
- Data distribution shift alert: Activates upon shifts in data distribution, as indicated by the drift metrics table
- Baseline divergence alert: Alerts if data significantly diverges from a baseline, suggesting potential needs for data analysis or model retraining, particularly in InferenceLog analysis</v>
      </c>
      <c r="D48" s="63" t="str">
        <f>'Databricks AI Mitigation Contro'!C38</f>
        <v>Raw data 1.3, Model Serving — Inference response 10.1, Agents — Core 13.4, Agents — Core 13.5, Agents — Core 13.10</v>
      </c>
      <c r="E48" s="334" t="str">
        <f>IFERROR(__xludf.DUMMYFUNCTION("IF(
 ISBLANK('DASF Risk Applicability'!$C$4),
 """",
 IFERROR(
   IF(
     QUERY(
       'DASF Risk Applicability'!$F$13:$H$74,
       ""select F where F contains '""&amp;B48&amp;""' and H = 'Show' limit 1"",
       0
     ) &lt;&gt; """",
     ""Yes"",
     ""No""
   "&amp;"),
   ""No""
 )
)"),"Yes")</f>
        <v>Yes</v>
      </c>
      <c r="F48" s="335" t="str">
        <f>IFERROR(__xludf.DUMMYFUNCTION("IF(ISBLANK($C$4), 
  ""Show"",
  IF(
    REGEXMATCH($E48, ""Yes""),
    ""Show"",
    ""Hide""
  )
)"),"Show")</f>
        <v>Show</v>
      </c>
      <c r="G48" s="164" t="str">
        <f>'Databricks AI Mitigation Contro'!E38</f>
        <v>Databricks — Implementation</v>
      </c>
      <c r="H48" s="164" t="str">
        <f>'Databricks AI Mitigation Contro'!N38</f>
        <v>Features available to implement control and manually verify</v>
      </c>
      <c r="I48" s="164" t="str">
        <f>'Databricks AI Mitigation Contro'!F38</f>
        <v>Customer configured, Databricks enforced</v>
      </c>
      <c r="J48" s="336" t="str">
        <f>'Databricks AI Mitigation Contro'!G38</f>
        <v>AWS</v>
      </c>
      <c r="K48" s="336" t="str">
        <f>'Databricks AI Mitigation Contro'!H38</f>
        <v>Azure</v>
      </c>
      <c r="L48" s="342" t="str">
        <f>'Databricks AI Mitigation Contro'!I38</f>
        <v>GCP</v>
      </c>
      <c r="M48" s="168" t="s">
        <v>258</v>
      </c>
      <c r="N48" s="168" t="s">
        <v>258</v>
      </c>
      <c r="O48" s="173" t="s">
        <v>2383</v>
      </c>
      <c r="P48" s="173" t="s">
        <v>2384</v>
      </c>
      <c r="Q48" s="168" t="s">
        <v>260</v>
      </c>
      <c r="R48" s="168" t="s">
        <v>258</v>
      </c>
      <c r="S48" s="174" t="s">
        <v>1848</v>
      </c>
      <c r="T48" s="175" t="s">
        <v>1849</v>
      </c>
      <c r="U48" s="337" t="s">
        <v>1850</v>
      </c>
      <c r="V48" s="338" t="s">
        <v>258</v>
      </c>
      <c r="W48" s="283"/>
      <c r="X48" s="283"/>
      <c r="Y48" s="283"/>
      <c r="Z48" s="283"/>
      <c r="AA48" s="283"/>
      <c r="AB48" s="283"/>
      <c r="AC48" s="283"/>
      <c r="AD48" s="283"/>
      <c r="AE48" s="283"/>
      <c r="AF48" s="283"/>
      <c r="AG48" s="283"/>
      <c r="AH48" s="283"/>
      <c r="AI48" s="283"/>
      <c r="AJ48" s="283"/>
      <c r="AK48" s="283"/>
    </row>
    <row r="49">
      <c r="A49" s="63" t="str">
        <f>'Databricks AI Mitigation Contro'!B39</f>
        <v>DASF 37: Set up inference tables for monitoring and debugging models</v>
      </c>
      <c r="B49" s="63" t="str">
        <f>'Databricks AI Mitigation Contro'!A39</f>
        <v>DASF 37</v>
      </c>
      <c r="C49" s="63" t="str">
        <f>'Databricks AI Mitigation Contro'!D39</f>
        <v>Databricks inference tables automatically record incoming requests and outgoing responses to model serving endpoints, storing them as a Unity Catalog Delta table. This table can be used to monitor, debug and enhance ML models. By coupling inference tables with Lakehouse Monitoring, customers can also set up automated monitoring jobs and alerts on inference tables, such as monitoring text quality or toxicity from endpoints serving LLMs, etc.
Critical applications of an inference table include:
- Retraining dataset creation: Building datasets for the next iteration of your models
- Quality monitoring: Keeping track of production data and model performance
- Diagnostics and debugging: Investigating and resolving issues with suspicious inferences
- Mislabeled data identification: Compiling data that needs relabeling</v>
      </c>
      <c r="D49" s="63" t="str">
        <f>'Databricks AI Mitigation Contro'!C39</f>
        <v>Model Serving — Inference requests 9.1, Model Serving — Inference requests 9.2, Model Serving — Inference requests 9.3, Model Serving — Inference requests 9.4, Model Serving — Inference requests 9.5, Model Serving — Inference requests 9.6, Model Serving — Inference requests 9.7, Model Serving — Inference response 10.1, Model Serving — Inference response 10.3, Model Serving — Inference response 10.4, Model Serving — Inference response 10.6, Agents — Core 13.1, Agents — Core 13.2, Agents — Core 13.3, Agents — Core 13.5, Agents — Core 13.6, Agents — Core 13.7, Agents — Core 13.8, Agents — Core 13.9, Agents — Core 13.10, Agents — Core 13.12, Agents — Core 13.13, Agents — Core 13.14, Agents — Core 13.15, Agents — Tools MCP Server 13.16, Agents — Tools MCP Server 13.18, Agents — Tools MCP Server 13.24</v>
      </c>
      <c r="E49" s="334" t="str">
        <f>IFERROR(__xludf.DUMMYFUNCTION("IF(
 ISBLANK('DASF Risk Applicability'!$C$4),
 """",
 IFERROR(
   IF(
     QUERY(
       'DASF Risk Applicability'!$F$13:$H$74,
       ""select F where F contains '""&amp;B49&amp;""' and H = 'Show' limit 1"",
       0
     ) &lt;&gt; """",
     ""Yes"",
     ""No""
   "&amp;"),
   ""No""
 )
)"),"Yes")</f>
        <v>Yes</v>
      </c>
      <c r="F49" s="335" t="str">
        <f>IFERROR(__xludf.DUMMYFUNCTION("IF(ISBLANK($C$4), 
  ""Show"",
  IF(
    REGEXMATCH($E49, ""Yes""),
    ""Show"",
    ""Hide""
  )
)"),"Show")</f>
        <v>Show</v>
      </c>
      <c r="G49" s="164" t="str">
        <f>'Databricks AI Mitigation Contro'!E39</f>
        <v>Databricks — Implementation</v>
      </c>
      <c r="H49" s="164" t="str">
        <f>'Databricks AI Mitigation Contro'!N39</f>
        <v>Features available to implement control and manually verify</v>
      </c>
      <c r="I49" s="164" t="str">
        <f>'Databricks AI Mitigation Contro'!F39</f>
        <v>Customer configured, Databricks enforced</v>
      </c>
      <c r="J49" s="336" t="str">
        <f>'Databricks AI Mitigation Contro'!G39</f>
        <v>AWS</v>
      </c>
      <c r="K49" s="336" t="str">
        <f>'Databricks AI Mitigation Contro'!H39</f>
        <v>Azure</v>
      </c>
      <c r="L49" s="164" t="str">
        <f>'Databricks AI Mitigation Contro'!I39</f>
        <v>N/A</v>
      </c>
      <c r="M49" s="168" t="s">
        <v>258</v>
      </c>
      <c r="N49" s="168" t="s">
        <v>258</v>
      </c>
      <c r="O49" s="187" t="s">
        <v>258</v>
      </c>
      <c r="P49" s="187" t="s">
        <v>258</v>
      </c>
      <c r="Q49" s="168" t="s">
        <v>260</v>
      </c>
      <c r="R49" s="168" t="s">
        <v>258</v>
      </c>
      <c r="S49" s="174" t="s">
        <v>1858</v>
      </c>
      <c r="T49" s="175" t="s">
        <v>1859</v>
      </c>
      <c r="U49" s="339" t="s">
        <v>258</v>
      </c>
      <c r="V49" s="338" t="s">
        <v>258</v>
      </c>
      <c r="W49" s="283"/>
      <c r="X49" s="283"/>
      <c r="Y49" s="283"/>
      <c r="Z49" s="283"/>
      <c r="AA49" s="283"/>
      <c r="AB49" s="283"/>
      <c r="AC49" s="283"/>
      <c r="AD49" s="283"/>
      <c r="AE49" s="283"/>
      <c r="AF49" s="283"/>
      <c r="AG49" s="283"/>
      <c r="AH49" s="283"/>
      <c r="AI49" s="283"/>
      <c r="AJ49" s="283"/>
      <c r="AK49" s="283"/>
    </row>
    <row r="50">
      <c r="A50" s="63" t="str">
        <f>'Databricks AI Mitigation Contro'!B40</f>
        <v>DASF 38: Platform security — penetration testing, red teaming, bug bounty and vulnerability management
</v>
      </c>
      <c r="B50" s="63" t="str">
        <f>'Databricks AI Mitigation Contro'!A40</f>
        <v>DASF 38</v>
      </c>
      <c r="C50" s="63" t="str">
        <f>'Databricks AI Mitigation Contro'!D40</f>
        <v>Mitigating attacks on infrastructure hosting AI services, including AI red teaming for large language models, is crucial for safe model development and deployment. Regular security and penetration testing help identify and address infrastructure vulnerabilities before attackers can exploit them.
Databricks operates a formal, documented vulnerability management program overseen by the Chief Security Officer (CSO). The program is management-approved, reviewed annually, and communicated to all relevant internal parties. The policy mandates that vulnerabilities be addressed based on severity: critical vulnerabilities within 14 days, high-severity vulnerabilities within 30 days, and medium-severity vulnerabilities within 60 days.
AI red teaming, especially for large language models, is an essential component of ensuring model safety and security. Databricks conducts regular AI red teaming on models and systems developed internally.</v>
      </c>
      <c r="D50" s="63" t="str">
        <f>'Databricks AI Mitigation Contro'!C40</f>
        <v>Platform 12.1, Agents — Core 13.7, Agents — Core 13.11, Agents — Core 13.13, Agents — Core 13.14, Agents — Core 13.15, Agents — Tools MCP Server 13.17, Agents — Tools MCP Server 13.18, Agents — Tools MCP Server 13.21, Agents — Tools MCP Server 13.22, Agents — Tools MCP Client 13.26, Agents — Tools MCP Client 13.27, Agents — Tools MCP Client 13.29, Agents — Tools MCP Client 13.33, Agents — Tools MCP Client 13.35</v>
      </c>
      <c r="E50" s="334" t="str">
        <f>IFERROR(__xludf.DUMMYFUNCTION("IF(
 ISBLANK('DASF Risk Applicability'!$C$4),
 """",
 IFERROR(
   IF(
     QUERY(
       'DASF Risk Applicability'!$F$13:$H$74,
       ""select F where F contains '""&amp;B50&amp;""' and H = 'Show' limit 1"",
       0
     ) &lt;&gt; """",
     ""Yes"",
     ""No""
   "&amp;"),
   ""No""
 )
)"),"Yes")</f>
        <v>Yes</v>
      </c>
      <c r="F50" s="335" t="str">
        <f>IFERROR(__xludf.DUMMYFUNCTION("IF(ISBLANK($C$4), 
  ""Show"",
  IF(
    REGEXMATCH($E50, ""Yes""),
    ""Show"",
    ""Hide""
  )
)"),"Show")</f>
        <v>Show</v>
      </c>
      <c r="G50" s="164" t="str">
        <f>'Databricks AI Mitigation Contro'!E40</f>
        <v>Databricks — Out-of-the-box</v>
      </c>
      <c r="H50" s="164" t="str">
        <f>'Databricks AI Mitigation Contro'!N40</f>
        <v>Out of the box</v>
      </c>
      <c r="I50" s="164" t="str">
        <f>'Databricks AI Mitigation Contro'!F40</f>
        <v>Databricks Managed</v>
      </c>
      <c r="J50" s="336" t="str">
        <f>'Databricks AI Mitigation Contro'!G40</f>
        <v>AWS</v>
      </c>
      <c r="K50" s="336" t="str">
        <f>'Databricks AI Mitigation Contro'!H40</f>
        <v>Azure</v>
      </c>
      <c r="L50" s="336" t="str">
        <f>'Databricks AI Mitigation Contro'!I40</f>
        <v>GCP</v>
      </c>
      <c r="M50" s="197" t="s">
        <v>2385</v>
      </c>
      <c r="N50" s="197" t="s">
        <v>2386</v>
      </c>
      <c r="O50" s="198" t="s">
        <v>2387</v>
      </c>
      <c r="P50" s="187" t="s">
        <v>258</v>
      </c>
      <c r="Q50" s="168" t="s">
        <v>258</v>
      </c>
      <c r="R50" s="168" t="s">
        <v>1873</v>
      </c>
      <c r="S50" s="174" t="s">
        <v>1874</v>
      </c>
      <c r="T50" s="175" t="s">
        <v>258</v>
      </c>
      <c r="U50" s="339" t="s">
        <v>258</v>
      </c>
      <c r="V50" s="338" t="s">
        <v>258</v>
      </c>
      <c r="W50" s="283"/>
      <c r="X50" s="283"/>
      <c r="Y50" s="283"/>
      <c r="Z50" s="283"/>
      <c r="AA50" s="283"/>
      <c r="AB50" s="283"/>
      <c r="AC50" s="283"/>
      <c r="AD50" s="283"/>
      <c r="AE50" s="283"/>
      <c r="AF50" s="283"/>
      <c r="AG50" s="283"/>
      <c r="AH50" s="283"/>
      <c r="AI50" s="283"/>
      <c r="AJ50" s="283"/>
      <c r="AK50" s="283"/>
    </row>
    <row r="51">
      <c r="A51" s="63" t="str">
        <f>'Databricks AI Mitigation Contro'!B41</f>
        <v>DASF 39: Platform security — Incident Response Team
</v>
      </c>
      <c r="B51" s="63" t="str">
        <f>'Databricks AI Mitigation Contro'!A41</f>
        <v>DASF 39</v>
      </c>
      <c r="C51" s="63" t="str">
        <f>'Databricks AI Mitigation Contro'!D41</f>
        <v>Databricks has established a formal incident response plan that outlines key elements such as roles, responsibilities, escalation paths and external communication protocols. The platform handles over 9TB of audit logs daily, aiding customer and Databricks security investigations. A dedicated security incident response team operates an internal Databricks instance, consolidating essential log sources for thorough security analysis. Databricks ensures continual operational readiness with a 24/7/365 on-call rotation. Additionally, a proactive hunting program and a specialized detection team support the incident response program and require periodic AI audits and establish protocols for incident reporting, including logs review, performance monitoring, and procedures to report and address misuse.</v>
      </c>
      <c r="D51" s="63" t="str">
        <f>'Databricks AI Mitigation Contro'!C41</f>
        <v>Platform 12.2, Platform 12.3, Agents — Core 13.4, Agents — Core 13.5</v>
      </c>
      <c r="E51" s="334" t="str">
        <f>IFERROR(__xludf.DUMMYFUNCTION("IF(
 ISBLANK('DASF Risk Applicability'!$C$4),
 """",
 IFERROR(
   IF(
     QUERY(
       'DASF Risk Applicability'!$F$13:$H$74,
       ""select F where F contains '""&amp;B51&amp;""' and H = 'Show' limit 1"",
       0
     ) &lt;&gt; """",
     ""Yes"",
     ""No""
   "&amp;"),
   ""No""
 )
)"),"Yes")</f>
        <v>Yes</v>
      </c>
      <c r="F51" s="335" t="str">
        <f>IFERROR(__xludf.DUMMYFUNCTION("IF(ISBLANK($C$4), 
  ""Show"",
  IF(
    REGEXMATCH($E51, ""Yes""),
    ""Show"",
    ""Hide""
  )
)"),"Show")</f>
        <v>Show</v>
      </c>
      <c r="G51" s="164" t="str">
        <f>'Databricks AI Mitigation Contro'!E41</f>
        <v>Databricks — Out-of-the-box</v>
      </c>
      <c r="H51" s="164" t="str">
        <f>'Databricks AI Mitigation Contro'!N41</f>
        <v>Out of the box</v>
      </c>
      <c r="I51" s="164" t="str">
        <f>'Databricks AI Mitigation Contro'!F41</f>
        <v>Databricks Managed</v>
      </c>
      <c r="J51" s="336" t="str">
        <f>'Databricks AI Mitigation Contro'!G41</f>
        <v>AWS</v>
      </c>
      <c r="K51" s="336" t="str">
        <f>'Databricks AI Mitigation Contro'!H41</f>
        <v>Azure</v>
      </c>
      <c r="L51" s="336" t="str">
        <f>'Databricks AI Mitigation Contro'!I41</f>
        <v>GCP</v>
      </c>
      <c r="M51" s="168" t="s">
        <v>258</v>
      </c>
      <c r="N51" s="172" t="s">
        <v>2388</v>
      </c>
      <c r="O51" s="187" t="s">
        <v>258</v>
      </c>
      <c r="P51" s="187" t="s">
        <v>258</v>
      </c>
      <c r="Q51" s="168" t="s">
        <v>1025</v>
      </c>
      <c r="R51" s="168" t="s">
        <v>1026</v>
      </c>
      <c r="S51" s="174" t="s">
        <v>1884</v>
      </c>
      <c r="T51" s="175" t="s">
        <v>1885</v>
      </c>
      <c r="U51" s="337" t="s">
        <v>1886</v>
      </c>
      <c r="V51" s="344" t="s">
        <v>2389</v>
      </c>
      <c r="W51" s="283"/>
      <c r="X51" s="283"/>
      <c r="Y51" s="283"/>
      <c r="Z51" s="283"/>
      <c r="AA51" s="283"/>
      <c r="AB51" s="283"/>
      <c r="AC51" s="283"/>
      <c r="AD51" s="283"/>
      <c r="AE51" s="283"/>
      <c r="AF51" s="283"/>
      <c r="AG51" s="283"/>
      <c r="AH51" s="283"/>
      <c r="AI51" s="283"/>
      <c r="AJ51" s="283"/>
      <c r="AK51" s="283"/>
    </row>
    <row r="52">
      <c r="A52" s="63" t="str">
        <f>'Databricks AI Mitigation Contro'!B42</f>
        <v>DASF 40: Platform security — internal access
</v>
      </c>
      <c r="B52" s="63" t="str">
        <f>'Databricks AI Mitigation Contro'!A42</f>
        <v>DASF 40</v>
      </c>
      <c r="C52" s="63" t="str">
        <f>'Databricks AI Mitigation Contro'!D42</f>
        <v>Databricks personnel, by default, do not have access to customer workspaces or production environments. Access may be temporarily requested by Databricks staff for purposes such as investigating outages, security events or supporting deployments. Customers have the option to disable this access. Additionally, staff activity within these environments is recorded in customer audit logs. Accessing these areas requires multi-factor authentication, and employees must connect to the Databricks VPN.</v>
      </c>
      <c r="D52" s="63" t="str">
        <f>'Databricks AI Mitigation Contro'!C42</f>
        <v>Platform 12.4</v>
      </c>
      <c r="E52" s="334" t="str">
        <f>IFERROR(__xludf.DUMMYFUNCTION("IF(
 ISBLANK('DASF Risk Applicability'!$C$4),
 """",
 IFERROR(
   IF(
     QUERY(
       'DASF Risk Applicability'!$F$13:$H$74,
       ""select F where F contains '""&amp;B52&amp;""' and H = 'Show' limit 1"",
       0
     ) &lt;&gt; """",
     ""Yes"",
     ""No""
   "&amp;"),
   ""No""
 )
)"),"Yes")</f>
        <v>Yes</v>
      </c>
      <c r="F52" s="335" t="str">
        <f>IFERROR(__xludf.DUMMYFUNCTION("IF(ISBLANK($C$4), 
  ""Show"",
  IF(
    REGEXMATCH($E52, ""Yes""),
    ""Show"",
    ""Hide""
  )
)"),"Show")</f>
        <v>Show</v>
      </c>
      <c r="G52" s="164" t="str">
        <f>'Databricks AI Mitigation Contro'!E42</f>
        <v>Databricks — Out-of-the-box</v>
      </c>
      <c r="H52" s="164" t="str">
        <f>'Databricks AI Mitigation Contro'!N42</f>
        <v>Out of the box</v>
      </c>
      <c r="I52" s="164" t="str">
        <f>'Databricks AI Mitigation Contro'!F42</f>
        <v>Databricks Managed</v>
      </c>
      <c r="J52" s="336" t="str">
        <f>'Databricks AI Mitigation Contro'!G42</f>
        <v>AWS</v>
      </c>
      <c r="K52" s="336" t="str">
        <f>'Databricks AI Mitigation Contro'!H42</f>
        <v>Azure</v>
      </c>
      <c r="L52" s="336" t="str">
        <f>'Databricks AI Mitigation Contro'!I42</f>
        <v>GCP</v>
      </c>
      <c r="M52" s="168" t="s">
        <v>258</v>
      </c>
      <c r="N52" s="168" t="s">
        <v>258</v>
      </c>
      <c r="O52" s="187" t="s">
        <v>258</v>
      </c>
      <c r="P52" s="173" t="s">
        <v>2390</v>
      </c>
      <c r="Q52" s="168" t="s">
        <v>258</v>
      </c>
      <c r="R52" s="168" t="s">
        <v>1045</v>
      </c>
      <c r="S52" s="174" t="s">
        <v>1896</v>
      </c>
      <c r="T52" s="175" t="s">
        <v>258</v>
      </c>
      <c r="U52" s="339" t="s">
        <v>1897</v>
      </c>
      <c r="V52" s="338" t="s">
        <v>258</v>
      </c>
      <c r="W52" s="283"/>
      <c r="X52" s="283"/>
      <c r="Y52" s="283"/>
      <c r="Z52" s="283"/>
      <c r="AA52" s="283"/>
      <c r="AB52" s="283"/>
      <c r="AC52" s="283"/>
      <c r="AD52" s="283"/>
      <c r="AE52" s="283"/>
      <c r="AF52" s="283"/>
      <c r="AG52" s="283"/>
      <c r="AH52" s="283"/>
      <c r="AI52" s="283"/>
      <c r="AJ52" s="283"/>
      <c r="AK52" s="283"/>
    </row>
    <row r="53">
      <c r="A53" s="63" t="str">
        <f>'Databricks AI Mitigation Contro'!B43</f>
        <v>DASF 41: Platform security — secure SDLC
</v>
      </c>
      <c r="B53" s="63" t="str">
        <f>'Databricks AI Mitigation Contro'!A43</f>
        <v>DASF 41</v>
      </c>
      <c r="C53" s="63" t="str">
        <f>'Databricks AI Mitigation Contro'!D43</f>
        <v>Databricks engineering integrates security throughout the software development lifecycle (SDLC), encompassing both technical and process-level controls under the oversight of our chief security officer (CSO). Activities within our SDLC include:
- Code peer reviews
- Static and dynamic scans for code and containers, including dependencies
- Feature-level security reviews
- Annual software engineering security training
- Cross-organizational collaborations between security, product management, product security and security champions
- Controls to prevent over-disclosure of technical information about AI systems and organizational details that could enable adversarial targeting
These development controls are augmented by internal and external penetration testing programs, with findings tracked for resolution and reported to our executive team. Databricks’ processes undergo an independent annual review, the results of which are published in our SOC 2 Type 2 report, available upon request.</v>
      </c>
      <c r="D53" s="63" t="str">
        <f>'Databricks AI Mitigation Contro'!C43</f>
        <v>Platform 12.5</v>
      </c>
      <c r="E53" s="334" t="str">
        <f>IFERROR(__xludf.DUMMYFUNCTION("IF(
 ISBLANK('DASF Risk Applicability'!$C$4),
 """",
 IFERROR(
   IF(
     QUERY(
       'DASF Risk Applicability'!$F$13:$H$74,
       ""select F where F contains '""&amp;B53&amp;""' and H = 'Show' limit 1"",
       0
     ) &lt;&gt; """",
     ""Yes"",
     ""No""
   "&amp;"),
   ""No""
 )
)"),"Yes")</f>
        <v>Yes</v>
      </c>
      <c r="F53" s="335" t="str">
        <f>IFERROR(__xludf.DUMMYFUNCTION("IF(ISBLANK($C$4), 
  ""Show"",
  IF(
    REGEXMATCH($E53, ""Yes""),
    ""Show"",
    ""Hide""
  )
)"),"Show")</f>
        <v>Show</v>
      </c>
      <c r="G53" s="164" t="str">
        <f>'Databricks AI Mitigation Contro'!E43</f>
        <v>Databricks — Out-of-the-box</v>
      </c>
      <c r="H53" s="164" t="str">
        <f>'Databricks AI Mitigation Contro'!N43</f>
        <v>Out of the box</v>
      </c>
      <c r="I53" s="164" t="str">
        <f>'Databricks AI Mitigation Contro'!F43</f>
        <v>Databricks Managed</v>
      </c>
      <c r="J53" s="336" t="str">
        <f>'Databricks AI Mitigation Contro'!G43</f>
        <v>AWS</v>
      </c>
      <c r="K53" s="336" t="str">
        <f>'Databricks AI Mitigation Contro'!H43</f>
        <v>Azure</v>
      </c>
      <c r="L53" s="336" t="str">
        <f>'Databricks AI Mitigation Contro'!I43</f>
        <v>GCP</v>
      </c>
      <c r="M53" s="168" t="s">
        <v>258</v>
      </c>
      <c r="N53" s="172" t="s">
        <v>2391</v>
      </c>
      <c r="O53" s="187" t="s">
        <v>258</v>
      </c>
      <c r="P53" s="187" t="s">
        <v>258</v>
      </c>
      <c r="Q53" s="168" t="s">
        <v>258</v>
      </c>
      <c r="R53" s="168" t="s">
        <v>1056</v>
      </c>
      <c r="S53" s="174" t="s">
        <v>1905</v>
      </c>
      <c r="T53" s="175" t="s">
        <v>1906</v>
      </c>
      <c r="U53" s="337" t="s">
        <v>1907</v>
      </c>
      <c r="V53" s="338" t="s">
        <v>258</v>
      </c>
      <c r="W53" s="283"/>
      <c r="X53" s="283"/>
      <c r="Y53" s="283"/>
      <c r="Z53" s="283"/>
      <c r="AA53" s="283"/>
      <c r="AB53" s="283"/>
      <c r="AC53" s="283"/>
      <c r="AD53" s="283"/>
      <c r="AE53" s="283"/>
      <c r="AF53" s="283"/>
      <c r="AG53" s="283"/>
      <c r="AH53" s="283"/>
      <c r="AI53" s="283"/>
      <c r="AJ53" s="283"/>
      <c r="AK53" s="283"/>
    </row>
    <row r="54">
      <c r="A54" s="63" t="str">
        <f>'Databricks AI Mitigation Contro'!B44</f>
        <v>DASF 42: Employ data-centric MLOps and LLMOps
</v>
      </c>
      <c r="B54" s="63" t="str">
        <f>'Databricks AI Mitigation Contro'!A44</f>
        <v>DASF 42</v>
      </c>
      <c r="C54" s="63" t="str">
        <f>'Databricks AI Mitigation Contro'!D44</f>
        <v>MLOps enhances efficiency, scalability, security and risk reduction in machine learning projects. Databricks integrates with MLflow, focusing on enterprise reliability, security and scalability for managing the machine learning lifecycle. The latest update to MLflow introduces new LLMOps features for better management and deployment of large language models (LLMs). This includes integrations with Hugging Face Transformers, OpenAI and the external models in Mosaic AI Model Serving.
MLflow also integrates with LangChain and a prompt engineering UI, facilitating generative AI application development for use cases such as chatbots, document summarization and text classification.</v>
      </c>
      <c r="D54" s="63" t="str">
        <f>'Databricks AI Mitigation Contro'!C44</f>
        <v>Data Prep 2.1,  Data Prep 2.2, Data Prep 2.3, Data Prep 2.4, Governance 4.2, Algorithms 5.1, Algorithms 5.3, Evaluation 6.1, Evaluation 6.3,Model 7.1, Model 7.2, Model 7.3, Model Management 8.3, Operations 11.1</v>
      </c>
      <c r="E54" s="334" t="str">
        <f>IFERROR(__xludf.DUMMYFUNCTION("IF(
 ISBLANK('DASF Risk Applicability'!$C$4),
 """",
 IFERROR(
   IF(
     QUERY(
       'DASF Risk Applicability'!$F$13:$H$74,
       ""select F where F contains '""&amp;B54&amp;""' and H = 'Show' limit 1"",
       0
     ) &lt;&gt; """",
     ""Yes"",
     ""No""
   "&amp;"),
   ""No""
 )
)"),"Yes")</f>
        <v>Yes</v>
      </c>
      <c r="F54" s="335" t="str">
        <f>IFERROR(__xludf.DUMMYFUNCTION("IF(ISBLANK($C$4), 
  ""Show"",
  IF(
    REGEXMATCH($E54, ""Yes""),
    ""Show"",
    ""Hide""
  )
)"),"Show")</f>
        <v>Show</v>
      </c>
      <c r="G54" s="164" t="str">
        <f>'Databricks AI Mitigation Contro'!E44</f>
        <v>Databricks — Implementation</v>
      </c>
      <c r="H54" s="164" t="str">
        <f>'Databricks AI Mitigation Contro'!N44</f>
        <v>Features available to implement control and manually verify</v>
      </c>
      <c r="I54" s="164" t="str">
        <f>'Databricks AI Mitigation Contro'!F44</f>
        <v>Customer-managed</v>
      </c>
      <c r="J54" s="336" t="str">
        <f>'Databricks AI Mitigation Contro'!G44</f>
        <v>AWS</v>
      </c>
      <c r="K54" s="336" t="str">
        <f>'Databricks AI Mitigation Contro'!H44</f>
        <v>Azure</v>
      </c>
      <c r="L54" s="336" t="str">
        <f>'Databricks AI Mitigation Contro'!I44</f>
        <v>GCP</v>
      </c>
      <c r="M54" s="168" t="s">
        <v>258</v>
      </c>
      <c r="N54" s="168" t="s">
        <v>258</v>
      </c>
      <c r="O54" s="173" t="s">
        <v>2392</v>
      </c>
      <c r="P54" s="173" t="s">
        <v>2393</v>
      </c>
      <c r="Q54" s="194" t="s">
        <v>430</v>
      </c>
      <c r="R54" s="168" t="s">
        <v>258</v>
      </c>
      <c r="S54" s="174" t="s">
        <v>1920</v>
      </c>
      <c r="T54" s="175" t="s">
        <v>1921</v>
      </c>
      <c r="U54" s="337" t="s">
        <v>1897</v>
      </c>
      <c r="V54" s="338" t="s">
        <v>258</v>
      </c>
      <c r="W54" s="283"/>
      <c r="X54" s="283"/>
      <c r="Y54" s="283"/>
      <c r="Z54" s="283"/>
      <c r="AA54" s="283"/>
      <c r="AB54" s="283"/>
      <c r="AC54" s="283"/>
      <c r="AD54" s="283"/>
      <c r="AE54" s="283"/>
      <c r="AF54" s="283"/>
      <c r="AG54" s="283"/>
      <c r="AH54" s="283"/>
      <c r="AI54" s="283"/>
      <c r="AJ54" s="283"/>
      <c r="AK54" s="283"/>
    </row>
    <row r="55">
      <c r="A55" s="63" t="str">
        <f>'Databricks AI Mitigation Contro'!B45</f>
        <v>DASF 43: Use access control lists
</v>
      </c>
      <c r="B55" s="63" t="str">
        <f>'Databricks AI Mitigation Contro'!A45</f>
        <v>DASF 43</v>
      </c>
      <c r="C55" s="63" t="str">
        <f>'Databricks AI Mitigation Contro'!D45</f>
        <v>Databricks access control lists (ACLs) enable you to configure permissions for accessing and interacting with workspace objects, including folders, notebooks, experiments, models, clusters, pools, jobs, Delta Live Tables pipelines, alerts, dashboards, queries and SQL warehouses.</v>
      </c>
      <c r="D55" s="63" t="str">
        <f>'Databricks AI Mitigation Contro'!C45</f>
        <v>Data Prep 2.3, Algorithms 5.3, Model 7.1</v>
      </c>
      <c r="E55" s="334" t="str">
        <f>IFERROR(__xludf.DUMMYFUNCTION("IF(
 ISBLANK('DASF Risk Applicability'!$C$4),
 """",
 IFERROR(
   IF(
     QUERY(
       'DASF Risk Applicability'!$F$13:$H$74,
       ""select F where F contains '""&amp;B55&amp;""' and H = 'Show' limit 1"",
       0
     ) &lt;&gt; """",
     ""Yes"",
     ""No""
   "&amp;"),
   ""No""
 )
)"),"Yes")</f>
        <v>Yes</v>
      </c>
      <c r="F55" s="335" t="str">
        <f>IFERROR(__xludf.DUMMYFUNCTION("IF(ISBLANK($C$4), 
  ""Show"",
  IF(
    REGEXMATCH($E55, ""Yes""),
    ""Show"",
    ""Hide""
  )
)"),"Show")</f>
        <v>Show</v>
      </c>
      <c r="G55" s="164" t="str">
        <f>'Databricks AI Mitigation Contro'!E45</f>
        <v>Databricks — Implementation</v>
      </c>
      <c r="H55" s="164" t="str">
        <f>'Databricks AI Mitigation Contro'!N45</f>
        <v>INFO-8, INFO-9, INFO-10</v>
      </c>
      <c r="I55" s="164" t="str">
        <f>'Databricks AI Mitigation Contro'!F45</f>
        <v>Customer configured, Databricks enforced</v>
      </c>
      <c r="J55" s="336" t="str">
        <f>'Databricks AI Mitigation Contro'!G45</f>
        <v>AWS</v>
      </c>
      <c r="K55" s="336" t="str">
        <f>'Databricks AI Mitigation Contro'!H45</f>
        <v>Azure</v>
      </c>
      <c r="L55" s="336" t="str">
        <f>'Databricks AI Mitigation Contro'!I45</f>
        <v>GCP</v>
      </c>
      <c r="M55" s="168" t="s">
        <v>258</v>
      </c>
      <c r="N55" s="172" t="s">
        <v>2394</v>
      </c>
      <c r="O55" s="187" t="s">
        <v>258</v>
      </c>
      <c r="P55" s="187" t="s">
        <v>258</v>
      </c>
      <c r="Q55" s="168" t="s">
        <v>258</v>
      </c>
      <c r="R55" s="168" t="s">
        <v>562</v>
      </c>
      <c r="S55" s="174" t="s">
        <v>1933</v>
      </c>
      <c r="T55" s="175" t="s">
        <v>1934</v>
      </c>
      <c r="U55" s="337" t="s">
        <v>1935</v>
      </c>
      <c r="V55" s="338" t="s">
        <v>258</v>
      </c>
      <c r="W55" s="283"/>
      <c r="X55" s="283"/>
      <c r="Y55" s="283"/>
      <c r="Z55" s="283"/>
      <c r="AA55" s="283"/>
      <c r="AB55" s="283"/>
      <c r="AC55" s="283"/>
      <c r="AD55" s="283"/>
      <c r="AE55" s="283"/>
      <c r="AF55" s="283"/>
      <c r="AG55" s="283"/>
      <c r="AH55" s="283"/>
      <c r="AI55" s="283"/>
      <c r="AJ55" s="283"/>
      <c r="AK55" s="283"/>
    </row>
    <row r="56">
      <c r="A56" s="63" t="str">
        <f>'Databricks AI Mitigation Contro'!B46</f>
        <v>DASF 44: Triggering actions in response to a specific event
</v>
      </c>
      <c r="B56" s="63" t="str">
        <f>'Databricks AI Mitigation Contro'!A46</f>
        <v>DASF 44</v>
      </c>
      <c r="C56" s="63" t="str">
        <f>'Databricks AI Mitigation Contro'!D46</f>
        <v>Webhooks in the MLflow Model Registry enable you to automate machine learning workflow by triggering actions in response to specific events. These webhooks facilitate seamless integrations, allowing for the automatic execution of various processes. For example, webhooks are used for:
- CI workflow trigger: Validate your model automatically when creating a new version
- Team notifications: Send alerts through a messaging app when a model stage transition request is received
- Model fairness evaluation: Invoke a workflow to assess model fairness and bias upon a production transition request
- Automated deployment: Trigger a deployment pipeline when a new tag is created on a model</v>
      </c>
      <c r="D56" s="63" t="str">
        <f>'Databricks AI Mitigation Contro'!C46</f>
        <v>Evaluation 6.1, Operations 11.1</v>
      </c>
      <c r="E56" s="334" t="str">
        <f>IFERROR(__xludf.DUMMYFUNCTION("IF(
 ISBLANK('DASF Risk Applicability'!$C$4),
 """",
 IFERROR(
   IF(
     QUERY(
       'DASF Risk Applicability'!$F$13:$H$74,
       ""select F where F contains '""&amp;B56&amp;""' and H = 'Show' limit 1"",
       0
     ) &lt;&gt; """",
     ""Yes"",
     ""No""
   "&amp;"),
   ""No""
 )
)"),"Yes")</f>
        <v>Yes</v>
      </c>
      <c r="F56" s="335" t="str">
        <f>IFERROR(__xludf.DUMMYFUNCTION("IF(ISBLANK($C$4), 
  ""Show"",
  IF(
    REGEXMATCH($E56, ""Yes""),
    ""Show"",
    ""Hide""
  )
)"),"Show")</f>
        <v>Show</v>
      </c>
      <c r="G56" s="164" t="str">
        <f>'Databricks AI Mitigation Contro'!E46</f>
        <v>Databricks — Implementation</v>
      </c>
      <c r="H56" s="164" t="str">
        <f>'Databricks AI Mitigation Contro'!N46</f>
        <v>Features available to implement control and manually verify</v>
      </c>
      <c r="I56" s="164" t="str">
        <f>'Databricks AI Mitigation Contro'!F46</f>
        <v>Customer configured, Databricks enforced</v>
      </c>
      <c r="J56" s="336" t="str">
        <f>'Databricks AI Mitigation Contro'!G46</f>
        <v>AWS</v>
      </c>
      <c r="K56" s="336" t="str">
        <f>'Databricks AI Mitigation Contro'!H46</f>
        <v>Azure</v>
      </c>
      <c r="L56" s="336" t="str">
        <f>'Databricks AI Mitigation Contro'!I46</f>
        <v>GCP</v>
      </c>
      <c r="M56" s="168" t="s">
        <v>258</v>
      </c>
      <c r="N56" s="168" t="s">
        <v>258</v>
      </c>
      <c r="O56" s="187" t="s">
        <v>258</v>
      </c>
      <c r="P56" s="187" t="s">
        <v>258</v>
      </c>
      <c r="Q56" s="168" t="s">
        <v>1944</v>
      </c>
      <c r="R56" s="168" t="s">
        <v>1002</v>
      </c>
      <c r="S56" s="174" t="s">
        <v>1945</v>
      </c>
      <c r="T56" s="175" t="s">
        <v>258</v>
      </c>
      <c r="U56" s="337" t="s">
        <v>1946</v>
      </c>
      <c r="V56" s="338" t="s">
        <v>258</v>
      </c>
      <c r="W56" s="283"/>
      <c r="X56" s="283"/>
      <c r="Y56" s="283"/>
      <c r="Z56" s="283"/>
      <c r="AA56" s="283"/>
      <c r="AB56" s="283"/>
      <c r="AC56" s="283"/>
      <c r="AD56" s="283"/>
      <c r="AE56" s="283"/>
      <c r="AF56" s="283"/>
      <c r="AG56" s="283"/>
      <c r="AH56" s="283"/>
      <c r="AI56" s="283"/>
      <c r="AJ56" s="283"/>
      <c r="AK56" s="283"/>
    </row>
    <row r="57">
      <c r="A57" s="63" t="str">
        <f>'Databricks AI Mitigation Contro'!B47</f>
        <v>DASF 45: Evaluate models</v>
      </c>
      <c r="B57" s="63" t="str">
        <f>'Databricks AI Mitigation Contro'!A47</f>
        <v>DASF 45</v>
      </c>
      <c r="C57" s="63" t="str">
        <f>'Databricks AI Mitigation Contro'!D47</f>
        <v>Model evaluation is a critical component of the machine learning lifecycle. It provides data scientists with the tools to measure, interpret and explain the performance of their models. MLflow plays a critical role in accelerating model development by offering insights into the reasons behind a model’s performance and guiding improvements and iterations. MLflow offers many industry-standard native evaluation metrics for classical machine learning algorithms and LLMs, and also facilitates the use of custom evaluation metrics.</v>
      </c>
      <c r="D57" s="63" t="str">
        <f>'Databricks AI Mitigation Contro'!C47</f>
        <v>Evaluation 6.1, Evaluation 6.2, Evaluation 6.3, Model 7.3, Model Serving — Inference requests 9.5, Model Serving — Inference requests 9.6, Model Serving — Inference response 10.4, Operations 11.1, Agents — Core 13.5, Agents — Core 13.7</v>
      </c>
      <c r="E57" s="334" t="str">
        <f>IFERROR(__xludf.DUMMYFUNCTION("IF(
 ISBLANK('DASF Risk Applicability'!$C$4),
 """",
 IFERROR(
   IF(
     QUERY(
       'DASF Risk Applicability'!$F$13:$H$74,
       ""select F where F contains '""&amp;B57&amp;""' and H = 'Show' limit 1"",
       0
     ) &lt;&gt; """",
     ""Yes"",
     ""No""
   "&amp;"),
   ""No""
 )
)"),"Yes")</f>
        <v>Yes</v>
      </c>
      <c r="F57" s="335" t="str">
        <f>IFERROR(__xludf.DUMMYFUNCTION("IF(ISBLANK($C$4), 
  ""Show"",
  IF(
    REGEXMATCH($E57, ""Yes""),
    ""Show"",
    ""Hide""
  )
)"),"Show")</f>
        <v>Show</v>
      </c>
      <c r="G57" s="164" t="str">
        <f>'Databricks AI Mitigation Contro'!E47</f>
        <v>Databricks — Implementation</v>
      </c>
      <c r="H57" s="164" t="str">
        <f>'Databricks AI Mitigation Contro'!N47</f>
        <v>Features available to implement control and manually verify</v>
      </c>
      <c r="I57" s="164" t="str">
        <f>'Databricks AI Mitigation Contro'!F47</f>
        <v>Customer configured, Databricks enforced</v>
      </c>
      <c r="J57" s="336" t="str">
        <f>'Databricks AI Mitigation Contro'!G47</f>
        <v>AWS</v>
      </c>
      <c r="K57" s="336" t="str">
        <f>'Databricks AI Mitigation Contro'!H47</f>
        <v>Azure</v>
      </c>
      <c r="L57" s="336" t="str">
        <f>'Databricks AI Mitigation Contro'!I47</f>
        <v>GCP</v>
      </c>
      <c r="M57" s="197" t="s">
        <v>2395</v>
      </c>
      <c r="N57" s="202" t="s">
        <v>258</v>
      </c>
      <c r="O57" s="187" t="s">
        <v>258</v>
      </c>
      <c r="P57" s="187" t="s">
        <v>258</v>
      </c>
      <c r="Q57" s="168" t="s">
        <v>1957</v>
      </c>
      <c r="R57" s="168" t="s">
        <v>258</v>
      </c>
      <c r="S57" s="192" t="s">
        <v>258</v>
      </c>
      <c r="T57" s="175" t="s">
        <v>1633</v>
      </c>
      <c r="U57" s="337" t="s">
        <v>1958</v>
      </c>
      <c r="V57" s="180" t="s">
        <v>2396</v>
      </c>
      <c r="W57" s="283"/>
      <c r="X57" s="283"/>
      <c r="Y57" s="283"/>
      <c r="Z57" s="283"/>
      <c r="AA57" s="283"/>
      <c r="AB57" s="283"/>
      <c r="AC57" s="283"/>
      <c r="AD57" s="283"/>
      <c r="AE57" s="283"/>
      <c r="AF57" s="283"/>
      <c r="AG57" s="283"/>
      <c r="AH57" s="283"/>
      <c r="AI57" s="283"/>
      <c r="AJ57" s="283"/>
      <c r="AK57" s="283"/>
    </row>
    <row r="58">
      <c r="A58" s="63" t="str">
        <f>'Databricks AI Mitigation Contro'!B48</f>
        <v>DASF 46: Store and retrieve embeddings securely </v>
      </c>
      <c r="B58" s="63" t="str">
        <f>'Databricks AI Mitigation Contro'!A48</f>
        <v>DASF 46</v>
      </c>
      <c r="C58" s="63" t="str">
        <f>'Databricks AI Mitigation Contro'!D48</f>
        <v>Mosaic AI Vector Search is a vector database that is built into the Databricks Data Intelligence Platform and integrated with its governance and productivity tools. A vector database is a database that is optimized to store and retrieve embeddings. Embeddings are mathematical representations of the semantic content of data, typically text or image data. Embeddings are usually generated by feature extraction models for text, image, audio or multi-modal data, and are a key component of many GenAI applications that depend on finding documents or images that are similar to each other. Examples are RAG systems, recommender systems, and image and video recognition.
Databricks implements the following security controls to protect your data:
Every customer request to Vector Search is logically isolated, authenticated and authorized
Mosaic AI Vector Search encrypts all data at rest (AES-256) and in transit (TLS 1.2+)  and optionally can be encrypted with Customer Managed Keys (CMK). </v>
      </c>
      <c r="D58" s="63" t="str">
        <f>'Databricks AI Mitigation Contro'!C48</f>
        <v>Model Serving — Inference requests 9.1, Model Serving — Inference requests 9.2, Model Serving — Inference requests 9.5, Model Serving — Inference requests 9.6, Model Serving — Inference requests 9.7, Model Serving — Inference requests 9.8, Model Serving — Inference requests 9.9, Model Serving — Inference requests 9.10, Model Serving — Inference response 10.4, Agents — Core 13.1, Agents — Tools MCP Server 13.16, Agents — Tools MCP Server 13.18</v>
      </c>
      <c r="E58" s="334" t="str">
        <f>IFERROR(__xludf.DUMMYFUNCTION("IF(
 ISBLANK('DASF Risk Applicability'!$C$4),
 """",
 IFERROR(
   IF(
     QUERY(
       'DASF Risk Applicability'!$F$13:$H$74,
       ""select F where F contains '""&amp;B58&amp;""' and H = 'Show' limit 1"",
       0
     ) &lt;&gt; """",
     ""Yes"",
     ""No""
   "&amp;"),
   ""No""
 )
)"),"Yes")</f>
        <v>Yes</v>
      </c>
      <c r="F58" s="335" t="str">
        <f>IFERROR(__xludf.DUMMYFUNCTION("IF(ISBLANK($C$4), 
  ""Show"",
  IF(
    REGEXMATCH($E58, ""Yes""),
    ""Show"",
    ""Hide""
  )
)"),"Show")</f>
        <v>Show</v>
      </c>
      <c r="G58" s="164" t="str">
        <f>'Databricks AI Mitigation Contro'!E48</f>
        <v>Databricks — Implementation</v>
      </c>
      <c r="H58" s="164" t="str">
        <f>'Databricks AI Mitigation Contro'!N48</f>
        <v>GOV-16</v>
      </c>
      <c r="I58" s="164" t="str">
        <f>'Databricks AI Mitigation Contro'!F48</f>
        <v>Co-managed</v>
      </c>
      <c r="J58" s="336" t="str">
        <f>'Databricks AI Mitigation Contro'!G48</f>
        <v>AWS</v>
      </c>
      <c r="K58" s="336" t="str">
        <f>'Databricks AI Mitigation Contro'!H48</f>
        <v>Azure</v>
      </c>
      <c r="L58" s="342" t="str">
        <f>'Databricks AI Mitigation Contro'!I48</f>
        <v>GCP</v>
      </c>
      <c r="M58" s="168" t="s">
        <v>258</v>
      </c>
      <c r="N58" s="168" t="s">
        <v>258</v>
      </c>
      <c r="O58" s="187" t="s">
        <v>258</v>
      </c>
      <c r="P58" s="187" t="s">
        <v>258</v>
      </c>
      <c r="Q58" s="168" t="s">
        <v>258</v>
      </c>
      <c r="R58" s="168" t="s">
        <v>258</v>
      </c>
      <c r="S58" s="174" t="s">
        <v>1968</v>
      </c>
      <c r="T58" s="175" t="s">
        <v>1969</v>
      </c>
      <c r="U58" s="337" t="s">
        <v>1970</v>
      </c>
      <c r="V58" s="338" t="s">
        <v>258</v>
      </c>
      <c r="W58" s="283"/>
      <c r="X58" s="283"/>
      <c r="Y58" s="283"/>
      <c r="Z58" s="283"/>
      <c r="AA58" s="283"/>
      <c r="AB58" s="283"/>
      <c r="AC58" s="283"/>
      <c r="AD58" s="283"/>
      <c r="AE58" s="283"/>
      <c r="AF58" s="283"/>
      <c r="AG58" s="283"/>
      <c r="AH58" s="283"/>
      <c r="AI58" s="283"/>
      <c r="AJ58" s="283"/>
      <c r="AK58" s="283"/>
    </row>
    <row r="59">
      <c r="A59" s="63" t="str">
        <f>'Databricks AI Mitigation Contro'!B49</f>
        <v>DASF 47: Compare LLM outputs on set prompts
</v>
      </c>
      <c r="B59" s="63" t="str">
        <f>'Databricks AI Mitigation Contro'!A49</f>
        <v>DASF 47</v>
      </c>
      <c r="C59" s="63" t="str">
        <f>'Databricks AI Mitigation Contro'!D49</f>
        <v>New, no-code visual tools allow users to compare models’ output based on set prompts, which are automatically tracked within MLflow. With integration into Mosaic AI Model Serving, customers can deploy the best model to production. The AI Playground is a chat-like environment where you can test, prompt and compare LLMs.</v>
      </c>
      <c r="D59" s="63" t="str">
        <f>'Databricks AI Mitigation Contro'!C49</f>
        <v>Evaluation 6.2</v>
      </c>
      <c r="E59" s="334" t="str">
        <f>IFERROR(__xludf.DUMMYFUNCTION("IF(
 ISBLANK('DASF Risk Applicability'!$C$4),
 """",
 IFERROR(
   IF(
     QUERY(
       'DASF Risk Applicability'!$F$13:$H$74,
       ""select F where F contains '""&amp;B59&amp;""' and H = 'Show' limit 1"",
       0
     ) &lt;&gt; """",
     ""Yes"",
     ""No""
   "&amp;"),
   ""No""
 )
)"),"Yes")</f>
        <v>Yes</v>
      </c>
      <c r="F59" s="335" t="str">
        <f>IFERROR(__xludf.DUMMYFUNCTION("IF(ISBLANK($C$4), 
  ""Show"",
  IF(
    REGEXMATCH($E59, ""Yes""),
    ""Show"",
    ""Hide""
  )
)"),"Show")</f>
        <v>Show</v>
      </c>
      <c r="G59" s="164" t="str">
        <f>'Databricks AI Mitigation Contro'!E49</f>
        <v>Databricks — Implementation</v>
      </c>
      <c r="H59" s="164" t="str">
        <f>'Databricks AI Mitigation Contro'!N49</f>
        <v>Features available to implement control and manually verify</v>
      </c>
      <c r="I59" s="164" t="str">
        <f>'Databricks AI Mitigation Contro'!F49</f>
        <v>Customer configured, Databricks enforced</v>
      </c>
      <c r="J59" s="336" t="str">
        <f>'Databricks AI Mitigation Contro'!G49</f>
        <v>AWS</v>
      </c>
      <c r="K59" s="336" t="str">
        <f>'Databricks AI Mitigation Contro'!H49</f>
        <v>Azure</v>
      </c>
      <c r="L59" s="342" t="str">
        <f>'Databricks AI Mitigation Contro'!I49</f>
        <v>GCP</v>
      </c>
      <c r="M59" s="168" t="s">
        <v>258</v>
      </c>
      <c r="N59" s="168" t="s">
        <v>258</v>
      </c>
      <c r="O59" s="187" t="s">
        <v>258</v>
      </c>
      <c r="P59" s="187" t="s">
        <v>258</v>
      </c>
      <c r="Q59" s="168" t="s">
        <v>1645</v>
      </c>
      <c r="R59" s="168" t="s">
        <v>258</v>
      </c>
      <c r="S59" s="192" t="s">
        <v>258</v>
      </c>
      <c r="T59" s="175" t="s">
        <v>258</v>
      </c>
      <c r="U59" s="339" t="s">
        <v>258</v>
      </c>
      <c r="V59" s="338" t="s">
        <v>258</v>
      </c>
      <c r="W59" s="283"/>
      <c r="X59" s="283"/>
      <c r="Y59" s="283"/>
      <c r="Z59" s="283"/>
      <c r="AA59" s="283"/>
      <c r="AB59" s="283"/>
      <c r="AC59" s="283"/>
      <c r="AD59" s="283"/>
      <c r="AE59" s="283"/>
      <c r="AF59" s="283"/>
      <c r="AG59" s="283"/>
      <c r="AH59" s="283"/>
      <c r="AI59" s="283"/>
      <c r="AJ59" s="283"/>
      <c r="AK59" s="283"/>
    </row>
    <row r="60">
      <c r="A60" s="63" t="str">
        <f>'Databricks AI Mitigation Contro'!B50</f>
        <v>DASF 48: Use hardened Runtime for Machine Learning
</v>
      </c>
      <c r="B60" s="63" t="str">
        <f>'Databricks AI Mitigation Contro'!A50</f>
        <v>DASF 48</v>
      </c>
      <c r="C60" s="63" t="str">
        <f>'Databricks AI Mitigation Contro'!D50</f>
        <v>Databricks Runtime for Machine Learning (Databricks Runtime ML) now automates cluster creation with versatile infrastructure, encompassing pre-built ML/DL libraries and custom library integration. Enhanced scalability and cost management tools optimize performance and expenditure. The refined user interface caters to various expertise levels, while new collaboration features support team-based projects. Comprehensive training resources and detailed documentation complement these improvements.</v>
      </c>
      <c r="D60" s="63" t="str">
        <f>'Databricks AI Mitigation Contro'!C50</f>
        <v>Model 7.3</v>
      </c>
      <c r="E60" s="334" t="str">
        <f>IFERROR(__xludf.DUMMYFUNCTION("IF(
 ISBLANK('DASF Risk Applicability'!$C$4),
 """",
 IFERROR(
   IF(
     QUERY(
       'DASF Risk Applicability'!$F$13:$H$74,
       ""select F where F contains '""&amp;B60&amp;""' and H = 'Show' limit 1"",
       0
     ) &lt;&gt; """",
     ""Yes"",
     ""No""
   "&amp;"),
   ""No""
 )
)"),"Yes")</f>
        <v>Yes</v>
      </c>
      <c r="F60" s="335" t="str">
        <f>IFERROR(__xludf.DUMMYFUNCTION("IF(ISBLANK($C$4), 
  ""Show"",
  IF(
    REGEXMATCH($E60, ""Yes""),
    ""Show"",
    ""Hide""
  )
)"),"Show")</f>
        <v>Show</v>
      </c>
      <c r="G60" s="164" t="str">
        <f>'Databricks AI Mitigation Contro'!E50</f>
        <v>Databricks — Out-of-the-box</v>
      </c>
      <c r="H60" s="164" t="str">
        <f>'Databricks AI Mitigation Contro'!N50</f>
        <v>Out of the box</v>
      </c>
      <c r="I60" s="164" t="str">
        <f>'Databricks AI Mitigation Contro'!F50</f>
        <v>Databricks Managed</v>
      </c>
      <c r="J60" s="336" t="str">
        <f>'Databricks AI Mitigation Contro'!G50</f>
        <v>AWS</v>
      </c>
      <c r="K60" s="336" t="str">
        <f>'Databricks AI Mitigation Contro'!H50</f>
        <v>Azure</v>
      </c>
      <c r="L60" s="336" t="str">
        <f>'Databricks AI Mitigation Contro'!I50</f>
        <v>GCP</v>
      </c>
      <c r="M60" s="172" t="s">
        <v>2397</v>
      </c>
      <c r="N60" s="172" t="s">
        <v>2398</v>
      </c>
      <c r="O60" s="187" t="s">
        <v>1535</v>
      </c>
      <c r="P60" s="187" t="s">
        <v>258</v>
      </c>
      <c r="Q60" s="168" t="s">
        <v>258</v>
      </c>
      <c r="R60" s="168" t="s">
        <v>1989</v>
      </c>
      <c r="S60" s="174" t="s">
        <v>1990</v>
      </c>
      <c r="T60" s="175" t="s">
        <v>258</v>
      </c>
      <c r="U60" s="339" t="s">
        <v>258</v>
      </c>
      <c r="V60" s="338" t="s">
        <v>258</v>
      </c>
      <c r="W60" s="283"/>
      <c r="X60" s="283"/>
      <c r="Y60" s="283"/>
      <c r="Z60" s="283"/>
      <c r="AA60" s="283"/>
      <c r="AB60" s="283"/>
      <c r="AC60" s="283"/>
      <c r="AD60" s="283"/>
      <c r="AE60" s="283"/>
      <c r="AF60" s="283"/>
      <c r="AG60" s="283"/>
      <c r="AH60" s="283"/>
      <c r="AI60" s="283"/>
      <c r="AJ60" s="283"/>
      <c r="AK60" s="283"/>
    </row>
    <row r="61">
      <c r="A61" s="63" t="str">
        <f>'Databricks AI Mitigation Contro'!B51</f>
        <v>DASF 49: Automate LLM evaluation
</v>
      </c>
      <c r="B61" s="63" t="str">
        <f>'Databricks AI Mitigation Contro'!A51</f>
        <v>DASF 49</v>
      </c>
      <c r="C61" s="63" t="str">
        <f>'Databricks AI Mitigation Contro'!D51</f>
        <v>The “LLM-as-a-judge” feature in MLflow 2.8 automates LLM evaluation, offering a practical alternative to human judgment. It’s designed to be efficient and cost-effective, maintaining consistency with human scores. This tool supports various metrics, including standard and customizable GenAI metrics, and allows users to select an LLM as a judge and define specific grading criteria.</v>
      </c>
      <c r="D61" s="63" t="str">
        <f>'Databricks AI Mitigation Contro'!C51</f>
        <v>Evaluation 6.1, Model Serving — Inference requests 9.8, Agents — Core 13.5, Agents — Core 13.6, Agents — Core 13.7, Agents — Core 13.10</v>
      </c>
      <c r="E61" s="334" t="str">
        <f>IFERROR(__xludf.DUMMYFUNCTION("IF(
 ISBLANK('DASF Risk Applicability'!$C$4),
 """",
 IFERROR(
   IF(
     QUERY(
       'DASF Risk Applicability'!$F$13:$H$74,
       ""select F where F contains '""&amp;B61&amp;""' and H = 'Show' limit 1"",
       0
     ) &lt;&gt; """",
     ""Yes"",
     ""No""
   "&amp;"),
   ""No""
 )
)"),"Yes")</f>
        <v>Yes</v>
      </c>
      <c r="F61" s="335" t="str">
        <f>IFERROR(__xludf.DUMMYFUNCTION("IF(ISBLANK($C$4), 
  ""Show"",
  IF(
    REGEXMATCH($E61, ""Yes""),
    ""Show"",
    ""Hide""
  )
)"),"Show")</f>
        <v>Show</v>
      </c>
      <c r="G61" s="164" t="str">
        <f>'Databricks AI Mitigation Contro'!E51</f>
        <v>Databricks — Implementation</v>
      </c>
      <c r="H61" s="164" t="str">
        <f>'Databricks AI Mitigation Contro'!N51</f>
        <v>Features available to implement control and manually verify</v>
      </c>
      <c r="I61" s="164" t="str">
        <f>'Databricks AI Mitigation Contro'!F51</f>
        <v>Customer configured, Databricks enforced</v>
      </c>
      <c r="J61" s="336" t="str">
        <f>'Databricks AI Mitigation Contro'!G51</f>
        <v>AWS</v>
      </c>
      <c r="K61" s="336" t="str">
        <f>'Databricks AI Mitigation Contro'!H51</f>
        <v>Azure</v>
      </c>
      <c r="L61" s="342" t="str">
        <f>'Databricks AI Mitigation Contro'!I51</f>
        <v>GCP</v>
      </c>
      <c r="M61" s="168" t="s">
        <v>258</v>
      </c>
      <c r="N61" s="168" t="s">
        <v>258</v>
      </c>
      <c r="O61" s="187" t="s">
        <v>258</v>
      </c>
      <c r="P61" s="187" t="s">
        <v>258</v>
      </c>
      <c r="Q61" s="168" t="s">
        <v>1998</v>
      </c>
      <c r="R61" s="168" t="s">
        <v>258</v>
      </c>
      <c r="S61" s="192" t="s">
        <v>258</v>
      </c>
      <c r="T61" s="175" t="s">
        <v>1633</v>
      </c>
      <c r="U61" s="339" t="s">
        <v>258</v>
      </c>
      <c r="V61" s="338" t="s">
        <v>258</v>
      </c>
      <c r="W61" s="283"/>
      <c r="X61" s="283"/>
      <c r="Y61" s="283"/>
      <c r="Z61" s="283"/>
      <c r="AA61" s="283"/>
      <c r="AB61" s="283"/>
      <c r="AC61" s="283"/>
      <c r="AD61" s="283"/>
      <c r="AE61" s="283"/>
      <c r="AF61" s="283"/>
      <c r="AG61" s="283"/>
      <c r="AH61" s="283"/>
      <c r="AI61" s="283"/>
      <c r="AJ61" s="283"/>
      <c r="AK61" s="283"/>
    </row>
    <row r="62">
      <c r="A62" s="63" t="str">
        <f>'Databricks AI Mitigation Contro'!B52</f>
        <v>DASF 50: Platform compliance</v>
      </c>
      <c r="B62" s="63" t="str">
        <f>'Databricks AI Mitigation Contro'!A52</f>
        <v>DASF 50</v>
      </c>
      <c r="C62" s="63" t="str">
        <f>'Databricks AI Mitigation Contro'!D52</f>
        <v>Develop your solutions on a platform created using some of the most rigorous security and compliance standards in the world. Get independent audit reports verifying that Databricks adheres to security controls for ISO 27001, ISO 27018, SOC 1, SOC 2, FedRAMP, HITRUST, IRAP, etc.
Use platform with established data policy with trust and safety commitments. </v>
      </c>
      <c r="D62" s="63" t="str">
        <f>'Databricks AI Mitigation Contro'!C52</f>
        <v>Platform 12.6</v>
      </c>
      <c r="E62" s="334" t="str">
        <f>IFERROR(__xludf.DUMMYFUNCTION("IF(
 ISBLANK('DASF Risk Applicability'!$C$4),
 """",
 IFERROR(
   IF(
     QUERY(
       'DASF Risk Applicability'!$F$13:$H$74,
       ""select F where F contains '""&amp;B62&amp;""' and H = 'Show' limit 1"",
       0
     ) &lt;&gt; """",
     ""Yes"",
     ""No""
   "&amp;"),
   ""No""
 )
)"),"Yes")</f>
        <v>Yes</v>
      </c>
      <c r="F62" s="335" t="str">
        <f>IFERROR(__xludf.DUMMYFUNCTION("IF(ISBLANK($C$4), 
  ""Show"",
  IF(
    REGEXMATCH($E62, ""Yes""),
    ""Show"",
    ""Hide""
  )
)"),"Show")</f>
        <v>Show</v>
      </c>
      <c r="G62" s="164" t="str">
        <f>'Databricks AI Mitigation Contro'!E52</f>
        <v>Databricks — Out-of-the-box</v>
      </c>
      <c r="H62" s="164" t="str">
        <f>'Databricks AI Mitigation Contro'!N52</f>
        <v>Out of the box</v>
      </c>
      <c r="I62" s="164" t="str">
        <f>'Databricks AI Mitigation Contro'!F52</f>
        <v>Co-managed</v>
      </c>
      <c r="J62" s="336" t="str">
        <f>'Databricks AI Mitigation Contro'!G52</f>
        <v>AWS</v>
      </c>
      <c r="K62" s="336" t="str">
        <f>'Databricks AI Mitigation Contro'!H52</f>
        <v>Azure</v>
      </c>
      <c r="L62" s="336" t="str">
        <f>'Databricks AI Mitigation Contro'!I52</f>
        <v>GCP</v>
      </c>
      <c r="M62" s="168" t="s">
        <v>258</v>
      </c>
      <c r="N62" s="168" t="s">
        <v>258</v>
      </c>
      <c r="O62" s="187" t="s">
        <v>258</v>
      </c>
      <c r="P62" s="187" t="s">
        <v>258</v>
      </c>
      <c r="Q62" s="168" t="s">
        <v>1066</v>
      </c>
      <c r="R62" s="168" t="s">
        <v>1067</v>
      </c>
      <c r="S62" s="192" t="s">
        <v>258</v>
      </c>
      <c r="T62" s="175" t="s">
        <v>258</v>
      </c>
      <c r="U62" s="337" t="s">
        <v>2005</v>
      </c>
      <c r="V62" s="180" t="s">
        <v>2399</v>
      </c>
      <c r="W62" s="283"/>
      <c r="X62" s="283"/>
      <c r="Y62" s="283"/>
      <c r="Z62" s="283"/>
      <c r="AA62" s="283"/>
      <c r="AB62" s="283"/>
      <c r="AC62" s="283"/>
      <c r="AD62" s="283"/>
      <c r="AE62" s="283"/>
      <c r="AF62" s="283"/>
      <c r="AG62" s="283"/>
      <c r="AH62" s="283"/>
      <c r="AI62" s="283"/>
      <c r="AJ62" s="283"/>
      <c r="AK62" s="283"/>
    </row>
    <row r="63">
      <c r="A63" s="63" t="str">
        <f>'Databricks AI Mitigation Contro'!B53</f>
        <v>DASF 51: Share data and AI assets securely</v>
      </c>
      <c r="B63" s="63" t="str">
        <f>'Databricks AI Mitigation Contro'!A53</f>
        <v>DASF 51</v>
      </c>
      <c r="C63" s="63" t="str">
        <f>'Databricks AI Mitigation Contro'!D53</f>
        <v>Databricks Delta Sharing lets you share data and AI assets securely in Databricks with users outside your organization, whether those users use Databricks or not.</v>
      </c>
      <c r="D63" s="63" t="str">
        <f>'Databricks AI Mitigation Contro'!C53</f>
        <v>Raw data 1.1, Raw data 1.6, Raw data 1.7, Datasets 3.1, Model Management 8.1, Model Management 8.2</v>
      </c>
      <c r="E63" s="334" t="str">
        <f>IFERROR(__xludf.DUMMYFUNCTION("IF(
 ISBLANK('DASF Risk Applicability'!$C$4),
 """",
 IFERROR(
   IF(
     QUERY(
       'DASF Risk Applicability'!$F$13:$H$74,
       ""select F where F contains '""&amp;B63&amp;""' and H = 'Show' limit 1"",
       0
     ) &lt;&gt; """",
     ""Yes"",
     ""No""
   "&amp;"),
   ""No""
 )
)"),"Yes")</f>
        <v>Yes</v>
      </c>
      <c r="F63" s="335" t="str">
        <f>IFERROR(__xludf.DUMMYFUNCTION("IF(ISBLANK($C$4), 
  ""Show"",
  IF(
    REGEXMATCH($E63, ""Yes""),
    ""Show"",
    ""Hide""
  )
)"),"Show")</f>
        <v>Show</v>
      </c>
      <c r="G63" s="164" t="str">
        <f>'Databricks AI Mitigation Contro'!E53</f>
        <v>Databricks — Out-of-the-box</v>
      </c>
      <c r="H63" s="164" t="str">
        <f>'Databricks AI Mitigation Contro'!N53</f>
        <v>GOV-17, GOV-18, GOV-19, INFO-18</v>
      </c>
      <c r="I63" s="164" t="str">
        <f>'Databricks AI Mitigation Contro'!F53</f>
        <v>Co-managed</v>
      </c>
      <c r="J63" s="336" t="str">
        <f>'Databricks AI Mitigation Contro'!G53</f>
        <v>AWS</v>
      </c>
      <c r="K63" s="336" t="str">
        <f>'Databricks AI Mitigation Contro'!H53</f>
        <v>Azure</v>
      </c>
      <c r="L63" s="336" t="str">
        <f>'Databricks AI Mitigation Contro'!I53</f>
        <v>GCP</v>
      </c>
      <c r="M63" s="168" t="s">
        <v>258</v>
      </c>
      <c r="N63" s="168" t="s">
        <v>258</v>
      </c>
      <c r="O63" s="187" t="s">
        <v>258</v>
      </c>
      <c r="P63" s="187" t="s">
        <v>258</v>
      </c>
      <c r="Q63" s="168" t="s">
        <v>258</v>
      </c>
      <c r="R63" s="168" t="s">
        <v>332</v>
      </c>
      <c r="S63" s="174" t="s">
        <v>2017</v>
      </c>
      <c r="T63" s="175" t="s">
        <v>258</v>
      </c>
      <c r="U63" s="337" t="s">
        <v>2018</v>
      </c>
      <c r="V63" s="338" t="s">
        <v>258</v>
      </c>
      <c r="W63" s="283"/>
      <c r="X63" s="283"/>
      <c r="Y63" s="283"/>
      <c r="Z63" s="283"/>
      <c r="AA63" s="283"/>
      <c r="AB63" s="283"/>
      <c r="AC63" s="283"/>
      <c r="AD63" s="283"/>
      <c r="AE63" s="283"/>
      <c r="AF63" s="283"/>
      <c r="AG63" s="283"/>
      <c r="AH63" s="283"/>
      <c r="AI63" s="283"/>
      <c r="AJ63" s="283"/>
      <c r="AK63" s="283"/>
    </row>
    <row r="64">
      <c r="A64" s="63" t="str">
        <f>'Databricks AI Mitigation Contro'!B54</f>
        <v>DASF 52: Source code control
</v>
      </c>
      <c r="B64" s="63" t="str">
        <f>'Databricks AI Mitigation Contro'!A54</f>
        <v>DASF 52</v>
      </c>
      <c r="C64" s="63" t="str">
        <f>'Databricks AI Mitigation Contro'!D54</f>
        <v>Databricks’ Git Repository integration supports effective code and third-party libraries management, enhancing customer control over their development environment.</v>
      </c>
      <c r="D64" s="63" t="str">
        <f>'Databricks AI Mitigation Contro'!C54</f>
        <v>Data Prep 2.1, Model 7.4</v>
      </c>
      <c r="E64" s="334" t="str">
        <f>IFERROR(__xludf.DUMMYFUNCTION("IF(
 ISBLANK('DASF Risk Applicability'!$C$4),
 """",
 IFERROR(
   IF(
     QUERY(
       'DASF Risk Applicability'!$F$13:$H$74,
       ""select F where F contains '""&amp;B64&amp;""' and H = 'Show' limit 1"",
       0
     ) &lt;&gt; """",
     ""Yes"",
     ""No""
   "&amp;"),
   ""No""
 )
)"),"Yes")</f>
        <v>Yes</v>
      </c>
      <c r="F64" s="335" t="str">
        <f>IFERROR(__xludf.DUMMYFUNCTION("IF(ISBLANK($C$4), 
  ""Show"",
  IF(
    REGEXMATCH($E64, ""Yes""),
    ""Show"",
    ""Hide""
  )
)"),"Show")</f>
        <v>Show</v>
      </c>
      <c r="G64" s="164" t="str">
        <f>'Databricks AI Mitigation Contro'!E54</f>
        <v>Databricks — Out-of-the-box</v>
      </c>
      <c r="H64" s="164" t="str">
        <f>'Databricks AI Mitigation Contro'!N54</f>
        <v>INFO-11, INFO-38 </v>
      </c>
      <c r="I64" s="164" t="str">
        <f>'Databricks AI Mitigation Contro'!F54</f>
        <v>Customer configured, Databricks enforced</v>
      </c>
      <c r="J64" s="336" t="str">
        <f>'Databricks AI Mitigation Contro'!G54</f>
        <v>AWS</v>
      </c>
      <c r="K64" s="336" t="str">
        <f>'Databricks AI Mitigation Contro'!H54</f>
        <v>Azure</v>
      </c>
      <c r="L64" s="336" t="str">
        <f>'Databricks AI Mitigation Contro'!I54</f>
        <v>GCP</v>
      </c>
      <c r="M64" s="211"/>
      <c r="N64" s="212" t="s">
        <v>258</v>
      </c>
      <c r="O64" s="213" t="s">
        <v>258</v>
      </c>
      <c r="P64" s="213" t="s">
        <v>258</v>
      </c>
      <c r="Q64" s="164" t="s">
        <v>575</v>
      </c>
      <c r="R64" s="212" t="s">
        <v>576</v>
      </c>
      <c r="S64" s="214" t="s">
        <v>2030</v>
      </c>
      <c r="T64" s="215" t="s">
        <v>2031</v>
      </c>
      <c r="U64" s="345" t="s">
        <v>258</v>
      </c>
      <c r="V64" s="346" t="s">
        <v>258</v>
      </c>
      <c r="W64" s="283"/>
      <c r="X64" s="283"/>
      <c r="Y64" s="283"/>
      <c r="Z64" s="283"/>
      <c r="AA64" s="283"/>
      <c r="AB64" s="283"/>
      <c r="AC64" s="283"/>
      <c r="AD64" s="283"/>
      <c r="AE64" s="283"/>
      <c r="AF64" s="283"/>
      <c r="AG64" s="283"/>
      <c r="AH64" s="283"/>
      <c r="AI64" s="283"/>
      <c r="AJ64" s="283"/>
      <c r="AK64" s="283"/>
    </row>
    <row r="65">
      <c r="A65" s="63" t="str">
        <f>'Databricks AI Mitigation Contro'!B55</f>
        <v>DASF 53: Third-party library control
</v>
      </c>
      <c r="B65" s="63" t="str">
        <f>'Databricks AI Mitigation Contro'!A55</f>
        <v>DASF 53</v>
      </c>
      <c r="C65" s="63" t="str">
        <f>'Databricks AI Mitigation Contro'!D55</f>
        <v>Databricks’ library management system allows administrators to manage the installation and usage of third-party libraries effectively. This feature enhances the security and efficiency of systems, pipelines and data by giving administrators precise control over their development environment.</v>
      </c>
      <c r="D65" s="63" t="str">
        <f>'Databricks AI Mitigation Contro'!C55</f>
        <v>Algorithms 5.4, Model 7.3, Model 7.4, Agents — Tools MCP Client 13.35, Agents — Tools MCP Server 13.21</v>
      </c>
      <c r="E65" s="334" t="str">
        <f>IFERROR(__xludf.DUMMYFUNCTION("IF(
 ISBLANK('DASF Risk Applicability'!$C$4),
 """",
 IFERROR(
   IF(
     QUERY(
       'DASF Risk Applicability'!$F$13:$H$74,
       ""select F where F contains '""&amp;B65&amp;""' and H = 'Show' limit 1"",
       0
     ) &lt;&gt; """",
     ""Yes"",
     ""No""
   "&amp;"),
   ""No""
 )
)"),"Yes")</f>
        <v>Yes</v>
      </c>
      <c r="F65" s="335" t="str">
        <f>IFERROR(__xludf.DUMMYFUNCTION("IF(ISBLANK($C$4), 
  ""Show"",
  IF(
    REGEXMATCH($E65, ""Yes""),
    ""Show"",
    ""Hide""
  )
)"),"Show")</f>
        <v>Show</v>
      </c>
      <c r="G65" s="164" t="str">
        <f>'Databricks AI Mitigation Contro'!E55</f>
        <v>Databricks — Out-of-the-box</v>
      </c>
      <c r="H65" s="164" t="str">
        <f>'Databricks AI Mitigation Contro'!N55</f>
        <v>INFO-11</v>
      </c>
      <c r="I65" s="164" t="str">
        <f>'Databricks AI Mitigation Contro'!F55</f>
        <v>Customer configured, Databricks enforced</v>
      </c>
      <c r="J65" s="336" t="str">
        <f>'Databricks AI Mitigation Contro'!G55</f>
        <v>AWS</v>
      </c>
      <c r="K65" s="336" t="str">
        <f>'Databricks AI Mitigation Contro'!H55</f>
        <v>Azure</v>
      </c>
      <c r="L65" s="336" t="str">
        <f>'Databricks AI Mitigation Contro'!I55</f>
        <v>GCP</v>
      </c>
      <c r="M65" s="219" t="s">
        <v>2400</v>
      </c>
      <c r="N65" s="219" t="s">
        <v>2401</v>
      </c>
      <c r="O65" s="213" t="s">
        <v>258</v>
      </c>
      <c r="P65" s="213" t="s">
        <v>258</v>
      </c>
      <c r="Q65" s="212" t="s">
        <v>575</v>
      </c>
      <c r="R65" s="212" t="s">
        <v>576</v>
      </c>
      <c r="S65" s="214" t="s">
        <v>2042</v>
      </c>
      <c r="T65" s="215" t="s">
        <v>2043</v>
      </c>
      <c r="U65" s="347" t="s">
        <v>2044</v>
      </c>
      <c r="V65" s="346" t="s">
        <v>258</v>
      </c>
      <c r="W65" s="283"/>
      <c r="X65" s="283"/>
      <c r="Y65" s="283"/>
      <c r="Z65" s="283"/>
      <c r="AA65" s="283"/>
      <c r="AB65" s="283"/>
      <c r="AC65" s="283"/>
      <c r="AD65" s="283"/>
      <c r="AE65" s="283"/>
      <c r="AF65" s="283"/>
      <c r="AG65" s="283"/>
      <c r="AH65" s="283"/>
      <c r="AI65" s="283"/>
      <c r="AJ65" s="283"/>
      <c r="AK65" s="283"/>
    </row>
    <row r="66">
      <c r="A66" s="63" t="str">
        <f>'Databricks AI Mitigation Contro'!B56</f>
        <v>DASF 54: Implement AI guardrails</v>
      </c>
      <c r="B66" s="63" t="str">
        <f>'Databricks AI Mitigation Contro'!A56</f>
        <v>DASF 54</v>
      </c>
      <c r="C66" s="63" t="str">
        <f>'Databricks AI Mitigation Contro'!D56</f>
        <v>AI Guardrails allow users to configure and enforce data compliance at the model serving endpoint level and to reduce harmful content on any requests sent to the underlying model. Bad requests and responses are blocked, and a default message is returned to the user. You can configure and enforce data compliance at the model serving endpoint level and reduce harmful content on any requests sent to the underlying model with AI Guardrails. With AI Guardrails, you can configure the following controls on your AI system:
- Safety filtering prevents your model from interacting with unsafe and harmful content, like violent crime, self-harm, and hate speech.
- Personally identifiable information (PII) detection to detect any sensitive information (such as names, addresses, and credit card numbers) for users
- Topic moderation to list a set of allowed topics. Given a chat request, this guardrail flags the request if its topic is not one of the permitted topics.
- Keyword filtering will specify different sets of invalid keywords for both the input and the output. One potential use case for keyword filtering is so the model does not talk about competitors.
</v>
      </c>
      <c r="D66" s="63" t="str">
        <f>'Databricks AI Mitigation Contro'!C56</f>
        <v>Model Serving — Inference requests 9.1, Model Serving — Inference requests 9.2, Model Serving — Inference requests 9.5, Model Serving — Inference requests 9.6, Model Serving — Inference requests 9.8,  Model Serving — Inference requests 9.12,Model Serving — Inference response 10.6, Agents — Core 13.1, Agents — Core 13.2, Agents — Core 13.3, Agents — Core 13.5, Agents — Core 13.6, Agents — Core 13.7, Agents — Core 13.8, Agents — Core 13.9, Agents — Core 13.15, Agents — Tools MCP Server 13.16, Agents — Tools MCP Server 13.18, Agents — Tools MCP Server 13.24, Agents — Tools MCP Client 13.32 </v>
      </c>
      <c r="E66" s="334" t="str">
        <f>IFERROR(__xludf.DUMMYFUNCTION("IF(
 ISBLANK('DASF Risk Applicability'!$C$4),
 """",
 IFERROR(
   IF(
     QUERY(
       'DASF Risk Applicability'!$F$13:$H$74,
       ""select F where F contains '""&amp;B66&amp;""' and H = 'Show' limit 1"",
       0
     ) &lt;&gt; """",
     ""Yes"",
     ""No""
   "&amp;"),
   ""No""
 )
)"),"Yes")</f>
        <v>Yes</v>
      </c>
      <c r="F66" s="335" t="str">
        <f>IFERROR(__xludf.DUMMYFUNCTION("IF(ISBLANK($C$4), 
  ""Show"",
  IF(
    REGEXMATCH($E66, ""Yes""),
    ""Show"",
    ""Hide""
  )
)"),"Show")</f>
        <v>Show</v>
      </c>
      <c r="G66" s="164" t="str">
        <f>'Databricks AI Mitigation Contro'!E56</f>
        <v>Databricks — Implementation</v>
      </c>
      <c r="H66" s="164" t="str">
        <f>'Databricks AI Mitigation Contro'!N56</f>
        <v>Features available to implement control and manually verify</v>
      </c>
      <c r="I66" s="164" t="str">
        <f>'Databricks AI Mitigation Contro'!F56</f>
        <v>Customer configured, Databricks enforced</v>
      </c>
      <c r="J66" s="336" t="str">
        <f>'Databricks AI Mitigation Contro'!G56</f>
        <v>AWS</v>
      </c>
      <c r="K66" s="336" t="str">
        <f>'Databricks AI Mitigation Contro'!H56</f>
        <v>Azure</v>
      </c>
      <c r="L66" s="342" t="str">
        <f>'Databricks AI Mitigation Contro'!I56</f>
        <v>GCP</v>
      </c>
      <c r="M66" s="212" t="s">
        <v>258</v>
      </c>
      <c r="N66" s="212" t="s">
        <v>258</v>
      </c>
      <c r="O66" s="213" t="s">
        <v>258</v>
      </c>
      <c r="P66" s="213" t="s">
        <v>258</v>
      </c>
      <c r="Q66" s="212" t="s">
        <v>852</v>
      </c>
      <c r="R66" s="212" t="s">
        <v>258</v>
      </c>
      <c r="S66" s="222" t="s">
        <v>258</v>
      </c>
      <c r="T66" s="215" t="s">
        <v>2053</v>
      </c>
      <c r="U66" s="345" t="s">
        <v>258</v>
      </c>
      <c r="V66" s="348" t="s">
        <v>2402</v>
      </c>
      <c r="W66" s="283"/>
      <c r="X66" s="283"/>
      <c r="Y66" s="283"/>
      <c r="Z66" s="283"/>
      <c r="AA66" s="283"/>
      <c r="AB66" s="283"/>
      <c r="AC66" s="283"/>
      <c r="AD66" s="283"/>
      <c r="AE66" s="283"/>
      <c r="AF66" s="283"/>
      <c r="AG66" s="283"/>
      <c r="AH66" s="283"/>
      <c r="AI66" s="283"/>
      <c r="AJ66" s="283"/>
      <c r="AK66" s="283"/>
    </row>
    <row r="67">
      <c r="A67" s="63" t="str">
        <f>'Databricks AI Mitigation Contro'!B57</f>
        <v>DASF 55: Monitor audit logs</v>
      </c>
      <c r="B67" s="63" t="str">
        <f>'Databricks AI Mitigation Contro'!A57</f>
        <v>DASF 55</v>
      </c>
      <c r="C67" s="63" t="str">
        <f>'Databricks AI Mitigation Contro'!D57</f>
        <v>Audit logs and system tables serve as a centralized operational data store, backed by Delta Lake and governed by Unity Catalog. Audit logs and system tables can be used for a variety of purposes, from user activity, model serving events, and cost monitoring to audit logging. Databricks recommends that customers configure system tables and set up automated monitoring and alerting to meet their needs. The blog post Improve Lakehouse Security Monitoring Using System Tables in Databricks Unity Catalog is a good starting point to help customers get started. 
Customers that are using Enhanced Security Monitoring or the Compliance Security Profile can monitor and alert on suspicious activity detected by the behavior-based malware and file integrity monitoring agents.</v>
      </c>
      <c r="D67" s="63" t="str">
        <f>'Databricks AI Mitigation Contro'!C57</f>
        <v>Raw Data 1.1, Raw Data 1.10, Data Prep 2.1, Datasets 3.1, Governance 4.1, Algorithms 5.1, Model 7.1, Model 7.2, Model Management 8.2, Model Management 8.4, Model Serving — Inference requests 9.10, Model Serving — Inference requests 9.11,  Model Serving — Inference requests 9.12, Model Serving — Inference requests 9.13,  Model Serving — Inference response 10.1, Platform 12.7, Agents — Core 13.1, Agents — Core 13.2, Agents — Core 13.3, Agents — Core 13.4, Agents — Core 13.6, Agents — Core 13.7, Agents — Core 13.8, Agents — Core 13.9, Agents — Core 13.11, Agents — Core 13.12, Agents — Core 13.13, Agents — Core 13.14, Agents — Core 13.15, Agents — Tools MCP Server 13.16, Agents — Tools MCP Server 13.17, Agents — Tools MCP Server 13.18, Agents — Tools MCP Server 13.19, Agents — Tools MCP Server 13.20, Agents — Tools MCP Server 13.21, Agents — Tools MCP Server 13.22, Agents — Tools MCP Server 13.23, Agents — Tools MCP Server 13.24, Agents — Tools MCP Server 13.25, Agents — Tools MCP Client 13.26, Agents — Tools MCP Client 13.27, Agents — Tools MCP Client 13.28, Agents — Tools MCP Client 13.29, Agents — Tools MCP Client 13.30, Agents — Tools MCP Client 13.31, Agents — Tools MCP Client 13.32, Agents — Tools MCP Client 13.33, Agents — Tools MCP Client 13.34, Agents — Tools MCP Client 13.35</v>
      </c>
      <c r="E67" s="334" t="str">
        <f>IFERROR(__xludf.DUMMYFUNCTION("IF(
 ISBLANK('DASF Risk Applicability'!$C$4),
 """",
 IFERROR(
   IF(
     QUERY(
       'DASF Risk Applicability'!$F$13:$H$74,
       ""select F where F contains '""&amp;B67&amp;""' and H = 'Show' limit 1"",
       0
     ) &lt;&gt; """",
     ""Yes"",
     ""No""
   "&amp;"),
   ""No""
 )
)"),"Yes")</f>
        <v>Yes</v>
      </c>
      <c r="F67" s="335" t="str">
        <f>IFERROR(__xludf.DUMMYFUNCTION("IF(ISBLANK($C$4), 
  ""Show"",
  IF(
    REGEXMATCH($E67, ""Yes""),
    ""Show"",
    ""Hide""
  )
)"),"Show")</f>
        <v>Show</v>
      </c>
      <c r="G67" s="164" t="str">
        <f>'Databricks AI Mitigation Contro'!E57</f>
        <v>Databricks — Configuration</v>
      </c>
      <c r="H67" s="164" t="str">
        <f>'Databricks AI Mitigation Contro'!N57</f>
        <v>GOV-3, GOV-34</v>
      </c>
      <c r="I67" s="164" t="str">
        <f>'Databricks AI Mitigation Contro'!F57</f>
        <v>Co-managed</v>
      </c>
      <c r="J67" s="336" t="str">
        <f>'Databricks AI Mitigation Contro'!G57</f>
        <v>AWS</v>
      </c>
      <c r="K67" s="336" t="str">
        <f>'Databricks AI Mitigation Contro'!H57</f>
        <v>Azure</v>
      </c>
      <c r="L67" s="336" t="str">
        <f>'Databricks AI Mitigation Contro'!I57</f>
        <v>GCP</v>
      </c>
      <c r="M67" s="212" t="s">
        <v>258</v>
      </c>
      <c r="N67" s="219" t="s">
        <v>2403</v>
      </c>
      <c r="O67" s="213" t="s">
        <v>1535</v>
      </c>
      <c r="P67" s="226" t="s">
        <v>2404</v>
      </c>
      <c r="Q67" s="212" t="s">
        <v>260</v>
      </c>
      <c r="R67" s="212" t="s">
        <v>387</v>
      </c>
      <c r="S67" s="214" t="s">
        <v>2066</v>
      </c>
      <c r="T67" s="215" t="s">
        <v>2067</v>
      </c>
      <c r="U67" s="347" t="s">
        <v>2068</v>
      </c>
      <c r="V67" s="348" t="s">
        <v>2405</v>
      </c>
      <c r="W67" s="283"/>
      <c r="X67" s="283"/>
      <c r="Y67" s="283"/>
      <c r="Z67" s="283"/>
      <c r="AA67" s="283"/>
      <c r="AB67" s="283"/>
      <c r="AC67" s="283"/>
      <c r="AD67" s="283"/>
      <c r="AE67" s="283"/>
      <c r="AF67" s="283"/>
      <c r="AG67" s="283"/>
      <c r="AH67" s="283"/>
      <c r="AI67" s="283"/>
      <c r="AJ67" s="283"/>
      <c r="AK67" s="283"/>
    </row>
    <row r="68">
      <c r="A68" s="63" t="str">
        <f>'Databricks AI Mitigation Contro'!B58</f>
        <v>DASF 56: Restrict outbound connections from models </v>
      </c>
      <c r="B68" s="63" t="str">
        <f>'Databricks AI Mitigation Contro'!A58</f>
        <v>DASF 56</v>
      </c>
      <c r="C68" s="63" t="str">
        <f>'Databricks AI Mitigation Contro'!D58</f>
        <v>Egress Control enables you to control outbound connections from your Model Serving compute resources. 
With this feature, you can restrict access to the internet while allowing access via Unity Catalog Connections or Private Link. Further, this feature blocks direct access to cloud storage (over the shared S3 gateway) to ensure that all data access occurs via Unity Catalog-controlled paths to reduce the risk of data exfiltration.</v>
      </c>
      <c r="D68" s="63" t="str">
        <f>'Databricks AI Mitigation Contro'!C58</f>
        <v>
Model 7.1, Model 7.3, Model 7.4, Model Serving — Inference requests 9.1, Model Serving — Inference requests 9.3, Model Serving — Inference requests 9.9, Agents — Core 13.2, Agents — Core 13.3, Agents — Core 13.6, Agents — Core 13.7, Agents — Core 13.11, Agents — Core 13.13, Agents — Tools MCP Server 13.16, Agents — Tools MCP Server 13.18, Agents — Tools MCP Server 13.23</v>
      </c>
      <c r="E68" s="334" t="str">
        <f>IFERROR(__xludf.DUMMYFUNCTION("IF(
 ISBLANK('DASF Risk Applicability'!$C$4),
 """",
 IFERROR(
   IF(
     QUERY(
       'DASF Risk Applicability'!$F$13:$H$74,
       ""select F where F contains '""&amp;B68&amp;""' and H = 'Show' limit 1"",
       0
     ) &lt;&gt; """",
     ""Yes"",
     ""No""
   "&amp;"),
   ""No""
 )
)"),"Yes")</f>
        <v>Yes</v>
      </c>
      <c r="F68" s="335" t="str">
        <f>IFERROR(__xludf.DUMMYFUNCTION("IF(ISBLANK($C$4), 
  ""Show"",
  IF(
    REGEXMATCH($E68, ""Yes""),
    ""Show"",
    ""Hide""
  )
)"),"Show")</f>
        <v>Show</v>
      </c>
      <c r="G68" s="164" t="str">
        <f>'Databricks AI Mitigation Contro'!E58</f>
        <v>Databricks — Configuration</v>
      </c>
      <c r="H68" s="164" t="str">
        <f>'Databricks AI Mitigation Contro'!N58</f>
        <v>Features available to implement control and manually verify</v>
      </c>
      <c r="I68" s="164" t="str">
        <f>'Databricks AI Mitigation Contro'!F58</f>
        <v>Customer configured, Databricks enforced</v>
      </c>
      <c r="J68" s="342" t="str">
        <f>'Databricks AI Mitigation Contro'!G58</f>
        <v>AWS</v>
      </c>
      <c r="K68" s="342" t="str">
        <f>'Databricks AI Mitigation Contro'!H58</f>
        <v>Azure</v>
      </c>
      <c r="L68" s="342" t="str">
        <f>'Databricks AI Mitigation Contro'!I58</f>
        <v>GCP</v>
      </c>
      <c r="M68" s="212" t="s">
        <v>258</v>
      </c>
      <c r="N68" s="219" t="s">
        <v>2406</v>
      </c>
      <c r="O68" s="226" t="s">
        <v>2407</v>
      </c>
      <c r="P68" s="213" t="s">
        <v>258</v>
      </c>
      <c r="Q68" s="212" t="s">
        <v>258</v>
      </c>
      <c r="R68" s="212" t="s">
        <v>2080</v>
      </c>
      <c r="S68" s="214" t="s">
        <v>2081</v>
      </c>
      <c r="T68" s="215" t="s">
        <v>258</v>
      </c>
      <c r="U68" s="347" t="s">
        <v>1897</v>
      </c>
      <c r="V68" s="229" t="s">
        <v>2408</v>
      </c>
      <c r="W68" s="283"/>
      <c r="X68" s="283"/>
      <c r="Y68" s="283"/>
      <c r="Z68" s="283"/>
      <c r="AA68" s="283"/>
      <c r="AB68" s="283"/>
      <c r="AC68" s="283"/>
      <c r="AD68" s="283"/>
      <c r="AE68" s="283"/>
      <c r="AF68" s="283"/>
      <c r="AG68" s="283"/>
      <c r="AH68" s="283"/>
      <c r="AI68" s="283"/>
      <c r="AJ68" s="283"/>
      <c r="AK68" s="283"/>
    </row>
    <row r="69">
      <c r="A69" s="63" t="str">
        <f>'Databricks AI Mitigation Contro'!B59</f>
        <v>DASF 57: Use attribute-based access controls (ABAC) 
</v>
      </c>
      <c r="B69" s="63" t="str">
        <f>'Databricks AI Mitigation Contro'!A59</f>
        <v>DASF 57</v>
      </c>
      <c r="C69" s="63" t="str">
        <f>'Databricks AI Mitigation Contro'!D59</f>
        <v>Attribute-based access controls (ABAC) allow data stewards to set policies on data and AI assets using various criteria like user-defined tags, workspace details, location, identity and time. Whether it’s restricting sensitive data to authorized personnel or adjusting access dynamically based on project needs, ABAC ensures security measures are applied with detailed accuracy. Implement attribute-based access controls (ABAC) to define access policies based on attributes or characteristics of the user or the resource being accessed. Use row level filters and column masking for fine-grained access controls.</v>
      </c>
      <c r="D69" s="63" t="str">
        <f>'Databricks AI Mitigation Contro'!C59</f>
        <v>Model Serving — Inference requests 9.10,Model Serving — Inference requests 9.13</v>
      </c>
      <c r="E69" s="334" t="str">
        <f>IFERROR(__xludf.DUMMYFUNCTION("IF(
 ISBLANK('DASF Risk Applicability'!$C$4),
 """",
 IFERROR(
   IF(
     QUERY(
       'DASF Risk Applicability'!$F$13:$H$74,
       ""select F where F contains '""&amp;B69&amp;""' and H = 'Show' limit 1"",
       0
     ) &lt;&gt; """",
     ""Yes"",
     ""No""
   "&amp;"),
   ""No""
 )
)"),"Yes")</f>
        <v>Yes</v>
      </c>
      <c r="F69" s="335" t="str">
        <f>IFERROR(__xludf.DUMMYFUNCTION("IF(ISBLANK($C$4), 
  ""Show"",
  IF(
    REGEXMATCH($E69, ""Yes""),
    ""Show"",
    ""Hide""
  )
)"),"Show")</f>
        <v>Show</v>
      </c>
      <c r="G69" s="164" t="str">
        <f>'Databricks AI Mitigation Contro'!E59</f>
        <v>Databricks — Implementation</v>
      </c>
      <c r="H69" s="164" t="str">
        <f>'Databricks AI Mitigation Contro'!N59</f>
        <v>GOV-16</v>
      </c>
      <c r="I69" s="164" t="str">
        <f>'Databricks AI Mitigation Contro'!F59</f>
        <v>Customer configured, Databricks enforced</v>
      </c>
      <c r="J69" s="336" t="str">
        <f>'Databricks AI Mitigation Contro'!G59</f>
        <v>AWS</v>
      </c>
      <c r="K69" s="336" t="str">
        <f>'Databricks AI Mitigation Contro'!H59</f>
        <v>Azure</v>
      </c>
      <c r="L69" s="336" t="str">
        <f>'Databricks AI Mitigation Contro'!I59</f>
        <v>GCP</v>
      </c>
      <c r="M69" s="212" t="s">
        <v>258</v>
      </c>
      <c r="N69" s="212" t="s">
        <v>258</v>
      </c>
      <c r="O69" s="226" t="s">
        <v>2409</v>
      </c>
      <c r="P69" s="213" t="s">
        <v>258</v>
      </c>
      <c r="Q69" s="212" t="s">
        <v>258</v>
      </c>
      <c r="R69" s="212" t="s">
        <v>562</v>
      </c>
      <c r="S69" s="214" t="s">
        <v>2094</v>
      </c>
      <c r="T69" s="215" t="s">
        <v>1597</v>
      </c>
      <c r="U69" s="347" t="s">
        <v>2095</v>
      </c>
      <c r="V69" s="346" t="s">
        <v>258</v>
      </c>
      <c r="W69" s="283"/>
      <c r="X69" s="283"/>
      <c r="Y69" s="283"/>
      <c r="Z69" s="283"/>
      <c r="AA69" s="283"/>
      <c r="AB69" s="283"/>
      <c r="AC69" s="283"/>
      <c r="AD69" s="283"/>
      <c r="AE69" s="283"/>
      <c r="AF69" s="283"/>
      <c r="AG69" s="283"/>
      <c r="AH69" s="283"/>
      <c r="AI69" s="283"/>
      <c r="AJ69" s="283"/>
      <c r="AK69" s="283"/>
    </row>
    <row r="70">
      <c r="A70" s="63" t="str">
        <f>'Databricks AI Mitigation Contro'!B60</f>
        <v>DASF 58: Protect data with filters and masking
</v>
      </c>
      <c r="B70" s="63" t="str">
        <f>'Databricks AI Mitigation Contro'!A60</f>
        <v>DASF 58</v>
      </c>
      <c r="C70" s="63" t="str">
        <f>'Databricks AI Mitigation Contro'!D60</f>
        <v>Implement filters on sensitive table data using row filters and column masks by harnessing the power of Unity Catalog to secure your data at a granular level. Row filters allow you to apply a filter to a table so that queries return only rows that meet the filter criteria. Column masks let you apply a masking function to a table column.</v>
      </c>
      <c r="D70" s="63" t="str">
        <f>'Databricks AI Mitigation Contro'!C60</f>
        <v>Model Serving — Inference requests 9.10, Model Serving — Inference requests 9.13</v>
      </c>
      <c r="E70" s="334" t="str">
        <f>IFERROR(__xludf.DUMMYFUNCTION("IF(
 ISBLANK('DASF Risk Applicability'!$C$4),
 """",
 IFERROR(
   IF(
     QUERY(
       'DASF Risk Applicability'!$F$13:$H$74,
       ""select F where F contains '""&amp;B70&amp;""' and H = 'Show' limit 1"",
       0
     ) &lt;&gt; """",
     ""Yes"",
     ""No""
   "&amp;"),
   ""No""
 )
)"),"Yes")</f>
        <v>Yes</v>
      </c>
      <c r="F70" s="335" t="str">
        <f>IFERROR(__xludf.DUMMYFUNCTION("IF(ISBLANK($C$4), 
  ""Show"",
  IF(
    REGEXMATCH($E70, ""Yes""),
    ""Show"",
    ""Hide""
  )
)"),"Show")</f>
        <v>Show</v>
      </c>
      <c r="G70" s="164" t="str">
        <f>'Databricks AI Mitigation Contro'!E60</f>
        <v>Databricks — Implementation</v>
      </c>
      <c r="H70" s="164" t="str">
        <f>'Databricks AI Mitigation Contro'!N60</f>
        <v>GOV-16</v>
      </c>
      <c r="I70" s="164" t="str">
        <f>'Databricks AI Mitigation Contro'!F60</f>
        <v>Customer configured, Databricks enforced</v>
      </c>
      <c r="J70" s="336" t="str">
        <f>'Databricks AI Mitigation Contro'!G60</f>
        <v>AWS</v>
      </c>
      <c r="K70" s="336" t="str">
        <f>'Databricks AI Mitigation Contro'!H60</f>
        <v>Azure</v>
      </c>
      <c r="L70" s="336" t="str">
        <f>'Databricks AI Mitigation Contro'!I60</f>
        <v>GCP</v>
      </c>
      <c r="M70" s="212" t="s">
        <v>258</v>
      </c>
      <c r="N70" s="212" t="s">
        <v>258</v>
      </c>
      <c r="O70" s="213" t="s">
        <v>258</v>
      </c>
      <c r="P70" s="213" t="s">
        <v>258</v>
      </c>
      <c r="Q70" s="212" t="s">
        <v>258</v>
      </c>
      <c r="R70" s="212" t="s">
        <v>2104</v>
      </c>
      <c r="S70" s="214" t="s">
        <v>2105</v>
      </c>
      <c r="T70" s="215" t="s">
        <v>2106</v>
      </c>
      <c r="U70" s="347" t="s">
        <v>2107</v>
      </c>
      <c r="V70" s="348" t="s">
        <v>2410</v>
      </c>
      <c r="W70" s="283"/>
      <c r="X70" s="283"/>
      <c r="Y70" s="283"/>
      <c r="Z70" s="283"/>
      <c r="AA70" s="283"/>
      <c r="AB70" s="283"/>
      <c r="AC70" s="283"/>
      <c r="AD70" s="283"/>
      <c r="AE70" s="283"/>
      <c r="AF70" s="283"/>
      <c r="AG70" s="283"/>
      <c r="AH70" s="283"/>
      <c r="AI70" s="283"/>
      <c r="AJ70" s="283"/>
      <c r="AK70" s="283"/>
    </row>
    <row r="71">
      <c r="A71" s="63" t="str">
        <f>'Databricks AI Mitigation Contro'!B61</f>
        <v>DASF 59: Use clean rooms</v>
      </c>
      <c r="B71" s="63" t="str">
        <f>'Databricks AI Mitigation Contro'!A61</f>
        <v>DASF 59</v>
      </c>
      <c r="C71" s="63" t="str">
        <f>'Databricks AI Mitigation Contro'!D61</f>
        <v>Building AI applications today necessitates collaborative efforts across organizations and teams, emphasizing a commitment to privacy and data security. Databricks Clean Rooms offer a secure environment for private collaboration on diverse data and AI tasks, spanning machine learning, SQL queries, Python, R and more. Designed to facilitate seamless collaboration across different cloud and data platforms, Databricks Clean Rooms ensure multiparty collaboration without compromising data privacy or security and enables organizations to build scalable AI applications in a privacy-safe manner.</v>
      </c>
      <c r="D71" s="63" t="str">
        <f>'Databricks AI Mitigation Contro'!C61</f>
        <v>Raw data 1.1, Raw data 1.7, Model Management 8.2, Model Serving — Inference requests 9.10</v>
      </c>
      <c r="E71" s="334" t="str">
        <f>IFERROR(__xludf.DUMMYFUNCTION("IF(
 ISBLANK('DASF Risk Applicability'!$C$4),
 """",
 IFERROR(
   IF(
     QUERY(
       'DASF Risk Applicability'!$F$13:$H$74,
       ""select F where F contains '""&amp;B71&amp;""' and H = 'Show' limit 1"",
       0
     ) &lt;&gt; """",
     ""Yes"",
     ""No""
   "&amp;"),
   ""No""
 )
)"),"Yes")</f>
        <v>Yes</v>
      </c>
      <c r="F71" s="335" t="str">
        <f>IFERROR(__xludf.DUMMYFUNCTION("IF(ISBLANK($C$4), 
  ""Show"",
  IF(
    REGEXMATCH($E71, ""Yes""),
    ""Show"",
    ""Hide""
  )
)"),"Show")</f>
        <v>Show</v>
      </c>
      <c r="G71" s="164" t="str">
        <f>'Databricks AI Mitigation Contro'!E61</f>
        <v>Databricks — Implementation</v>
      </c>
      <c r="H71" s="164" t="str">
        <f>'Databricks AI Mitigation Contro'!N61</f>
        <v>Features available to implement control and manually verify</v>
      </c>
      <c r="I71" s="164" t="str">
        <f>'Databricks AI Mitigation Contro'!F61</f>
        <v>Co-managed</v>
      </c>
      <c r="J71" s="336" t="str">
        <f>'Databricks AI Mitigation Contro'!G61</f>
        <v>AWS</v>
      </c>
      <c r="K71" s="336" t="str">
        <f>'Databricks AI Mitigation Contro'!H61</f>
        <v>Azure</v>
      </c>
      <c r="L71" s="342" t="str">
        <f>'Databricks AI Mitigation Contro'!I61</f>
        <v>GCP</v>
      </c>
      <c r="M71" s="212" t="s">
        <v>258</v>
      </c>
      <c r="N71" s="212" t="s">
        <v>258</v>
      </c>
      <c r="O71" s="213" t="s">
        <v>258</v>
      </c>
      <c r="P71" s="213" t="s">
        <v>258</v>
      </c>
      <c r="Q71" s="212" t="s">
        <v>258</v>
      </c>
      <c r="R71" s="212" t="s">
        <v>345</v>
      </c>
      <c r="S71" s="214" t="s">
        <v>2118</v>
      </c>
      <c r="T71" s="215" t="s">
        <v>258</v>
      </c>
      <c r="U71" s="347" t="s">
        <v>2107</v>
      </c>
      <c r="V71" s="346" t="s">
        <v>258</v>
      </c>
      <c r="W71" s="283"/>
      <c r="X71" s="283"/>
      <c r="Y71" s="283"/>
      <c r="Z71" s="283"/>
      <c r="AA71" s="283"/>
      <c r="AB71" s="283"/>
      <c r="AC71" s="283"/>
      <c r="AD71" s="283"/>
      <c r="AE71" s="283"/>
      <c r="AF71" s="283"/>
      <c r="AG71" s="283"/>
      <c r="AH71" s="283"/>
      <c r="AI71" s="283"/>
      <c r="AJ71" s="283"/>
      <c r="AK71" s="283"/>
    </row>
    <row r="72">
      <c r="A72" s="63" t="str">
        <f>'Databricks AI Mitigation Contro'!B62</f>
        <v>DASF 60: Rate limit number of inference queries</v>
      </c>
      <c r="B72" s="63" t="str">
        <f>'Databricks AI Mitigation Contro'!A62</f>
        <v>DASF 60</v>
      </c>
      <c r="C72" s="63" t="str">
        <f>'Databricks AI Mitigation Contro'!D62</f>
        <v>Enforce request rate limits to manage traffic at the endpoint level on a per-user and per-endpoint basis, effectively controlling access levels and volume.</v>
      </c>
      <c r="D72" s="63" t="str">
        <f>'Databricks AI Mitigation Contro'!C62</f>
        <v>Model Serving — Inference requests 9.1, Model Serving — Inference requests 9.2, Model Serving — Inference requests 9.5, Model Serving — Inference requests 9.6, Model Serving — Inference requests 9.7, Model Serving — Inference response 10.2, Model Serving — Inference response 10.3, Model Serving — Inference response 10.4, Model Serving — Inference response 10.5, Model Serving — Inference response 10.6, Agents — Core 13.4, Agents — Core 13.5, Agents — Core 13.10, Agents — Tools MCP Server 13.16, Agents — Tools MCP Server 13.18</v>
      </c>
      <c r="E72" s="334" t="str">
        <f>IFERROR(__xludf.DUMMYFUNCTION("IF(
 ISBLANK('DASF Risk Applicability'!$C$4),
 """",
 IFERROR(
   IF(
     QUERY(
       'DASF Risk Applicability'!$F$13:$H$74,
       ""select F where F contains '""&amp;B72&amp;""' and H = 'Show' limit 1"",
       0
     ) &lt;&gt; """",
     ""Yes"",
     ""No""
   "&amp;"),
   ""No""
 )
)"),"Yes")</f>
        <v>Yes</v>
      </c>
      <c r="F72" s="335" t="str">
        <f>IFERROR(__xludf.DUMMYFUNCTION("IF(ISBLANK($C$4), 
  ""Show"",
  IF(
    REGEXMATCH($E72, ""Yes""),
    ""Show"",
    ""Hide""
  )
)"),"Show")</f>
        <v>Show</v>
      </c>
      <c r="G72" s="164" t="str">
        <f>'Databricks AI Mitigation Contro'!E62</f>
        <v>Databricks — Configuration</v>
      </c>
      <c r="H72" s="164" t="str">
        <f>'Databricks AI Mitigation Contro'!N62</f>
        <v>Features available to implement control and manually verify</v>
      </c>
      <c r="I72" s="164" t="str">
        <f>'Databricks AI Mitigation Contro'!F62</f>
        <v>Customer configured, Databricks enforced</v>
      </c>
      <c r="J72" s="336" t="str">
        <f>'Databricks AI Mitigation Contro'!G62</f>
        <v>AWS</v>
      </c>
      <c r="K72" s="336" t="str">
        <f>'Databricks AI Mitigation Contro'!H62</f>
        <v>Azure</v>
      </c>
      <c r="L72" s="342" t="str">
        <f>'Databricks AI Mitigation Contro'!I62</f>
        <v>GCP</v>
      </c>
      <c r="M72" s="219" t="s">
        <v>2411</v>
      </c>
      <c r="N72" s="212" t="s">
        <v>258</v>
      </c>
      <c r="O72" s="212" t="s">
        <v>2128</v>
      </c>
      <c r="P72" s="212" t="s">
        <v>258</v>
      </c>
      <c r="Q72" s="212" t="s">
        <v>258</v>
      </c>
      <c r="R72" s="212" t="s">
        <v>2107</v>
      </c>
      <c r="S72" s="214" t="s">
        <v>2129</v>
      </c>
      <c r="T72" s="215" t="s">
        <v>2130</v>
      </c>
      <c r="U72" s="347" t="s">
        <v>2131</v>
      </c>
      <c r="V72" s="229" t="s">
        <v>2412</v>
      </c>
      <c r="W72" s="283"/>
      <c r="X72" s="283"/>
      <c r="Y72" s="283"/>
      <c r="Z72" s="283"/>
      <c r="AA72" s="283"/>
      <c r="AB72" s="283"/>
      <c r="AC72" s="283"/>
      <c r="AD72" s="283"/>
      <c r="AE72" s="283"/>
      <c r="AF72" s="283"/>
      <c r="AG72" s="283"/>
      <c r="AH72" s="283"/>
      <c r="AI72" s="283"/>
      <c r="AJ72" s="283"/>
      <c r="AK72" s="283"/>
    </row>
    <row r="73" hidden="1">
      <c r="A73" s="63" t="str">
        <f>'Databricks AI Mitigation Contro'!B63</f>
        <v>DASF 61: Train users on AI risk taxonomy and AI/ML security</v>
      </c>
      <c r="B73" s="63" t="str">
        <f>'Databricks AI Mitigation Contro'!A63</f>
        <v>DASF 61</v>
      </c>
      <c r="C73" s="63" t="str">
        <f>'Databricks AI Mitigation Contro'!D63</f>
        <v>Provide secure coding education and AI vulnerability awareness for model developers. Training personnel who manage AI infrastructure on cybersecurity best practices is essential to prevent human errors that could lead to security breaches.
Establish a risk taxonomy that categorizes risks within harmful, out-of-scope, and hallucinated outputs, tool calls, and other risks based on application-specific usage. 
https://www.databricks.com/trust/responsibleAI
https://www.databricks.com/trust/ai-security</v>
      </c>
      <c r="D73" s="63" t="str">
        <f>'Databricks AI Mitigation Contro'!C63</f>
        <v>All</v>
      </c>
      <c r="E73" s="334" t="str">
        <f>IFERROR(__xludf.DUMMYFUNCTION("IF(
 ISBLANK('DASF Risk Applicability'!$C$4),
 """",
 IFERROR(
   IF(
     QUERY(
       'DASF Risk Applicability'!$F$13:$H$74,
       ""select F where F contains '""&amp;B73&amp;""' and H = 'Show' limit 1"",
       0
     ) &lt;&gt; """",
     ""Yes"",
     ""No""
   "&amp;"),
   ""No""
 )
)"),"No")</f>
        <v>No</v>
      </c>
      <c r="F73" s="335" t="str">
        <f>IFERROR(__xludf.DUMMYFUNCTION("IF(ISBLANK($C$4), 
  ""Show"",
  IF(
    REGEXMATCH($E73, ""Yes""),
    ""Show"",
    ""Hide""
  )
)"),"Hide")</f>
        <v>Hide</v>
      </c>
      <c r="G73" s="164" t="str">
        <f>'Databricks AI Mitigation Contro'!E63</f>
        <v>Databricks - academy</v>
      </c>
      <c r="H73" s="164" t="str">
        <f>'Databricks AI Mitigation Contro'!N63</f>
        <v>Education Certification</v>
      </c>
      <c r="I73" s="164" t="str">
        <f>'Databricks AI Mitigation Contro'!F63</f>
        <v>Co-managed</v>
      </c>
      <c r="J73" s="336" t="str">
        <f>'Databricks AI Mitigation Contro'!G63</f>
        <v>AWS </v>
      </c>
      <c r="K73" s="342" t="str">
        <f>'Databricks AI Mitigation Contro'!H63</f>
        <v>Azure</v>
      </c>
      <c r="L73" s="342" t="str">
        <f>'Databricks AI Mitigation Contro'!I63</f>
        <v>GCP</v>
      </c>
      <c r="M73" s="219" t="s">
        <v>2413</v>
      </c>
      <c r="N73" s="349" t="s">
        <v>2414</v>
      </c>
      <c r="O73" s="212" t="s">
        <v>258</v>
      </c>
      <c r="P73" s="212" t="s">
        <v>258</v>
      </c>
      <c r="Q73" s="212" t="s">
        <v>2143</v>
      </c>
      <c r="R73" s="212" t="s">
        <v>2144</v>
      </c>
      <c r="S73" s="214" t="s">
        <v>2145</v>
      </c>
      <c r="T73" s="215" t="s">
        <v>2146</v>
      </c>
      <c r="U73" s="347" t="s">
        <v>2147</v>
      </c>
      <c r="V73" s="346" t="s">
        <v>258</v>
      </c>
      <c r="W73" s="283"/>
      <c r="X73" s="283"/>
      <c r="Y73" s="283"/>
      <c r="Z73" s="283"/>
      <c r="AA73" s="283"/>
      <c r="AB73" s="283"/>
      <c r="AC73" s="283"/>
      <c r="AD73" s="283"/>
      <c r="AE73" s="283"/>
      <c r="AF73" s="283"/>
      <c r="AG73" s="283"/>
      <c r="AH73" s="283"/>
      <c r="AI73" s="283"/>
      <c r="AJ73" s="283"/>
      <c r="AK73" s="283"/>
    </row>
    <row r="74">
      <c r="A74" s="63" t="str">
        <f>'Databricks AI Mitigation Contro'!B64</f>
        <v>DASF 62: Implement network segmentation</v>
      </c>
      <c r="B74" s="63" t="str">
        <f>'Databricks AI Mitigation Contro'!A64</f>
        <v>DASF 62</v>
      </c>
      <c r="C74" s="63" t="str">
        <f>'Databricks AI Mitigation Contro'!D64</f>
        <v>Establish network and security policies to define and enforce egress rules from models and outbound network connections from your serverless compute resources.</v>
      </c>
      <c r="D74" s="63" t="str">
        <f>'Databricks AI Mitigation Contro'!C64</f>
        <v>Model Serving — Inference requests 9.13, Agents — Core 13.11, Agents — Core 13.13, Agents — Tools MCP Server 13.25, Agents — Tools MCP Client 13.32</v>
      </c>
      <c r="E74" s="334" t="str">
        <f>IFERROR(__xludf.DUMMYFUNCTION("IF(
 ISBLANK('DASF Risk Applicability'!$C$4),
 """",
 IFERROR(
   IF(
     QUERY(
       'DASF Risk Applicability'!$F$13:$H$74,
       ""select F where F contains '""&amp;B74&amp;""' and H = 'Show' limit 1"",
       0
     ) &lt;&gt; """",
     ""Yes"",
     ""No""
   "&amp;"),
   ""No""
 )
)"),"Yes")</f>
        <v>Yes</v>
      </c>
      <c r="F74" s="335" t="str">
        <f>IFERROR(__xludf.DUMMYFUNCTION("IF(ISBLANK($C$4), 
  ""Show"",
  IF(
    REGEXMATCH($E74, ""Yes""),
    ""Show"",
    ""Hide""
  )
)"),"Show")</f>
        <v>Show</v>
      </c>
      <c r="G74" s="164" t="str">
        <f>'Databricks AI Mitigation Contro'!E64</f>
        <v>Databricks — Configuration</v>
      </c>
      <c r="H74" s="164" t="str">
        <f>'Databricks AI Mitigation Contro'!N64</f>
        <v>Features available to implement control and manually verify</v>
      </c>
      <c r="I74" s="164" t="str">
        <f>'Databricks AI Mitigation Contro'!F64</f>
        <v>Co-managed</v>
      </c>
      <c r="J74" s="342" t="str">
        <f>'Databricks AI Mitigation Contro'!G64</f>
        <v>AWS</v>
      </c>
      <c r="K74" s="342" t="str">
        <f>'Databricks AI Mitigation Contro'!H64</f>
        <v>Azure</v>
      </c>
      <c r="L74" s="342" t="str">
        <f>'Databricks AI Mitigation Contro'!I64</f>
        <v>GCP</v>
      </c>
      <c r="M74" s="239" t="s">
        <v>2415</v>
      </c>
      <c r="N74" s="212" t="s">
        <v>258</v>
      </c>
      <c r="O74" s="212" t="s">
        <v>2156</v>
      </c>
      <c r="P74" s="212" t="s">
        <v>258</v>
      </c>
      <c r="Q74" s="212" t="s">
        <v>258</v>
      </c>
      <c r="R74" s="212" t="s">
        <v>1823</v>
      </c>
      <c r="S74" s="214" t="s">
        <v>2157</v>
      </c>
      <c r="T74" s="215" t="s">
        <v>258</v>
      </c>
      <c r="U74" s="347" t="s">
        <v>2158</v>
      </c>
      <c r="V74" s="346" t="s">
        <v>258</v>
      </c>
      <c r="W74" s="283"/>
      <c r="X74" s="283"/>
      <c r="Y74" s="283"/>
      <c r="Z74" s="283"/>
      <c r="AA74" s="283"/>
      <c r="AB74" s="283"/>
      <c r="AC74" s="283"/>
      <c r="AD74" s="283"/>
      <c r="AE74" s="283"/>
      <c r="AF74" s="283"/>
      <c r="AG74" s="283"/>
      <c r="AH74" s="283"/>
      <c r="AI74" s="283"/>
      <c r="AJ74" s="283"/>
      <c r="AK74" s="283"/>
    </row>
    <row r="75">
      <c r="A75" s="63" t="str">
        <f>'Databricks AI Mitigation Contro'!B65</f>
        <v>DASF 63: Update software</v>
      </c>
      <c r="B75" s="63" t="str">
        <f>'Databricks AI Mitigation Contro'!A65</f>
        <v>DASF 63</v>
      </c>
      <c r="C75" s="63" t="str">
        <f>'Databricks AI Mitigation Contro'!D65</f>
        <v>Patch and update software regularly to address existing and potential vulnerabilities throughout the AI lifecycle. In Databricks, automatic cluster updates ensure that all clusters within a workspace receive the latest OS images and security patches periodically. Account administrators can customize the maintenance window frequency, start date, and time.</v>
      </c>
      <c r="D75" s="63" t="str">
        <f>'Databricks AI Mitigation Contro'!C65</f>
        <v>Platform 12.1, Agents — Core 13.11, Agents — Tools MCP Server 13.21, Agents — Tools MCP Client 13.33, Agents — Tools MCP Client 13.35</v>
      </c>
      <c r="E75" s="334" t="str">
        <f>IFERROR(__xludf.DUMMYFUNCTION("IF(
 ISBLANK('DASF Risk Applicability'!$C$4),
 """",
 IFERROR(
   IF(
     QUERY(
       'DASF Risk Applicability'!$F$13:$H$74,
       ""select F where F contains '""&amp;B75&amp;""' and H = 'Show' limit 1"",
       0
     ) &lt;&gt; """",
     ""Yes"",
     ""No""
   "&amp;"),
   ""No""
 )
)"),"Yes")</f>
        <v>Yes</v>
      </c>
      <c r="F75" s="335" t="str">
        <f>IFERROR(__xludf.DUMMYFUNCTION("IF(ISBLANK($C$4), 
  ""Show"",
  IF(
    REGEXMATCH($E75, ""Yes""),
    ""Show"",
    ""Hide""
  )
)"),"Show")</f>
        <v>Show</v>
      </c>
      <c r="G75" s="164" t="str">
        <f>'Databricks AI Mitigation Contro'!E65</f>
        <v>Databricks — Out-of-the-box</v>
      </c>
      <c r="H75" s="164" t="str">
        <f>'Databricks AI Mitigation Contro'!N65</f>
        <v>Features available to implement control and manually verify</v>
      </c>
      <c r="I75" s="164" t="str">
        <f>'Databricks AI Mitigation Contro'!F65</f>
        <v>Databricks Managed</v>
      </c>
      <c r="J75" s="336" t="str">
        <f>'Databricks AI Mitigation Contro'!G65</f>
        <v>AWS</v>
      </c>
      <c r="K75" s="336" t="str">
        <f>'Databricks AI Mitigation Contro'!H65</f>
        <v>Azure</v>
      </c>
      <c r="L75" s="342" t="str">
        <f>'Databricks AI Mitigation Contro'!I65</f>
        <v>GCP</v>
      </c>
      <c r="M75" s="213" t="s">
        <v>258</v>
      </c>
      <c r="N75" s="219" t="s">
        <v>2416</v>
      </c>
      <c r="O75" s="212" t="s">
        <v>2168</v>
      </c>
      <c r="P75" s="212" t="s">
        <v>2169</v>
      </c>
      <c r="Q75" s="212" t="s">
        <v>258</v>
      </c>
      <c r="R75" s="212" t="s">
        <v>2170</v>
      </c>
      <c r="S75" s="214" t="s">
        <v>2171</v>
      </c>
      <c r="T75" s="215" t="s">
        <v>258</v>
      </c>
      <c r="U75" s="347" t="s">
        <v>2172</v>
      </c>
      <c r="V75" s="346" t="s">
        <v>258</v>
      </c>
      <c r="W75" s="283"/>
      <c r="X75" s="283"/>
      <c r="Y75" s="283"/>
      <c r="Z75" s="283"/>
      <c r="AA75" s="283"/>
      <c r="AB75" s="283"/>
      <c r="AC75" s="283"/>
      <c r="AD75" s="283"/>
      <c r="AE75" s="283"/>
      <c r="AF75" s="283"/>
      <c r="AG75" s="283"/>
      <c r="AH75" s="283"/>
      <c r="AI75" s="283"/>
      <c r="AJ75" s="283"/>
      <c r="AK75" s="283"/>
    </row>
    <row r="76">
      <c r="A76" s="63" t="str">
        <f>'Databricks AI Mitigation Contro'!B66</f>
        <v>DASF 64: Limit access from AI models and agents</v>
      </c>
      <c r="B76" s="63" t="str">
        <f>'Databricks AI Mitigation Contro'!A66</f>
        <v>DASF 64</v>
      </c>
      <c r="C76" s="63" t="str">
        <f>'Databricks AI Mitigation Contro'!D66</f>
        <v>Allow AI models and agents access to enterprise resources based on the principle of least privilege. In Unity Catalog, a "securable object" is any object that can be permissioned to a principal (e.g., user, service principal, or group) and is organized hierarchically. Treat AI as a principal and assign permissions accordingly. 
With on-behalf-of-user authentication, agents deployed via Mosaic AI model serving can access Databricks resources using the identity of the Databricks end user who queried the agent. This enables accessing sensitive information on a per-user basis, with fine-grained enforcement of data access control in Unity Catalog.
</v>
      </c>
      <c r="D76" s="63" t="str">
        <f>'Databricks AI Mitigation Contro'!C66</f>
        <v>Model Serving — Inference requests 9.12, Model Serving — Inference requests 9.13, Agents — Core 13.1, Agents — Core 13.2, Agents — Core 13.3, Agents — Core 13.6, Agents — Core 13.7, Agents — Core 13.9, Agents — Core 13.11, Agents — Core 13.12, Agents — Core 13.13, Agents — Core 13.14, Agents — Core 13.15, Agents — Tools MCP Server 13.16, Agents — Tools MCP Server 13.17, Agents — Tools MCP Server 13.18, Agents — Tools MCP Server 13.19, Agents — Tools MCP Server 13.20, Agents — Tools MCP Server 13.22, Agents — Tools MCP Server 13.23, Agents — Tools MCP Server 13.24, Agents — Tools MCP Client 13.28, Agents — Tools MCP Client 13.30, Agents — Tools MCP Client 13.31, Agents — Tools MCP Client 13.34</v>
      </c>
      <c r="E76" s="334" t="str">
        <f>IFERROR(__xludf.DUMMYFUNCTION("IF(
 ISBLANK('DASF Risk Applicability'!$C$4),
 """",
 IFERROR(
   IF(
     QUERY(
       'DASF Risk Applicability'!$F$13:$H$74,
       ""select F where F contains '""&amp;B76&amp;""' and H = 'Show' limit 1"",
       0
     ) &lt;&gt; """",
     ""Yes"",
     ""No""
   "&amp;"),
   ""No""
 )
)"),"Yes")</f>
        <v>Yes</v>
      </c>
      <c r="F76" s="335" t="str">
        <f>IFERROR(__xludf.DUMMYFUNCTION("IF(ISBLANK($C$4), 
  ""Show"",
  IF(
    REGEXMATCH($E76, ""Yes""),
    ""Show"",
    ""Hide""
  )
)"),"Show")</f>
        <v>Show</v>
      </c>
      <c r="G76" s="164" t="str">
        <f>'Databricks AI Mitigation Contro'!E66</f>
        <v>Databricks — Implementation</v>
      </c>
      <c r="H76" s="164" t="str">
        <f>'Databricks AI Mitigation Contro'!N66</f>
        <v>Features available to implement control and manually verify</v>
      </c>
      <c r="I76" s="164" t="str">
        <f>'Databricks AI Mitigation Contro'!F66</f>
        <v>Co-managed</v>
      </c>
      <c r="J76" s="336" t="str">
        <f>'Databricks AI Mitigation Contro'!G66</f>
        <v>AWS</v>
      </c>
      <c r="K76" s="336" t="str">
        <f>'Databricks AI Mitigation Contro'!H66</f>
        <v>Azure</v>
      </c>
      <c r="L76" s="336" t="str">
        <f>'Databricks AI Mitigation Contro'!I66</f>
        <v>GCP</v>
      </c>
      <c r="M76" s="212" t="s">
        <v>258</v>
      </c>
      <c r="N76" s="212" t="s">
        <v>258</v>
      </c>
      <c r="O76" s="212" t="s">
        <v>2178</v>
      </c>
      <c r="P76" s="212" t="s">
        <v>258</v>
      </c>
      <c r="Q76" s="212" t="s">
        <v>258</v>
      </c>
      <c r="R76" s="212" t="s">
        <v>2179</v>
      </c>
      <c r="S76" s="214" t="s">
        <v>2180</v>
      </c>
      <c r="T76" s="215" t="s">
        <v>2181</v>
      </c>
      <c r="U76" s="347" t="s">
        <v>2182</v>
      </c>
      <c r="V76" s="229" t="s">
        <v>2417</v>
      </c>
      <c r="W76" s="283"/>
      <c r="X76" s="283"/>
      <c r="Y76" s="283"/>
      <c r="Z76" s="283"/>
      <c r="AA76" s="283"/>
      <c r="AB76" s="283"/>
      <c r="AC76" s="283"/>
      <c r="AD76" s="283"/>
      <c r="AE76" s="283"/>
      <c r="AF76" s="283"/>
      <c r="AG76" s="283"/>
      <c r="AH76" s="283"/>
      <c r="AI76" s="283"/>
      <c r="AJ76" s="283"/>
      <c r="AK76" s="283"/>
    </row>
    <row r="77">
      <c r="A77" s="282"/>
      <c r="B77" s="283"/>
      <c r="C77" s="283"/>
      <c r="D77" s="283"/>
      <c r="E77" s="283"/>
      <c r="F77" s="283"/>
      <c r="G77" s="282"/>
      <c r="H77" s="282"/>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row>
    <row r="78">
      <c r="A78" s="282"/>
      <c r="B78" s="283"/>
      <c r="C78" s="283"/>
      <c r="D78" s="283"/>
      <c r="E78" s="283"/>
      <c r="F78" s="283"/>
      <c r="G78" s="282"/>
      <c r="H78" s="282"/>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row>
    <row r="79">
      <c r="A79" s="282"/>
      <c r="B79" s="283"/>
      <c r="C79" s="283"/>
      <c r="D79" s="283"/>
      <c r="E79" s="283"/>
      <c r="F79" s="283"/>
      <c r="G79" s="282"/>
      <c r="H79" s="282"/>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row>
    <row r="80">
      <c r="A80" s="282"/>
      <c r="B80" s="283"/>
      <c r="C80" s="283"/>
      <c r="D80" s="283"/>
      <c r="E80" s="283"/>
      <c r="F80" s="283"/>
      <c r="G80" s="282"/>
      <c r="H80" s="282"/>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row>
    <row r="81">
      <c r="A81" s="282"/>
      <c r="B81" s="283"/>
      <c r="C81" s="283"/>
      <c r="D81" s="283"/>
      <c r="E81" s="283"/>
      <c r="F81" s="283"/>
      <c r="G81" s="282"/>
      <c r="H81" s="282"/>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row>
    <row r="82">
      <c r="A82" s="282"/>
      <c r="B82" s="283"/>
      <c r="C82" s="283"/>
      <c r="D82" s="283"/>
      <c r="E82" s="283"/>
      <c r="F82" s="283"/>
      <c r="G82" s="282"/>
      <c r="H82" s="282"/>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row>
    <row r="83">
      <c r="A83" s="282"/>
      <c r="B83" s="283"/>
      <c r="C83" s="283"/>
      <c r="D83" s="283"/>
      <c r="E83" s="283"/>
      <c r="F83" s="283"/>
      <c r="G83" s="282"/>
      <c r="H83" s="282"/>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row>
    <row r="84">
      <c r="A84" s="282"/>
      <c r="B84" s="283"/>
      <c r="C84" s="283"/>
      <c r="D84" s="283"/>
      <c r="E84" s="283"/>
      <c r="F84" s="283"/>
      <c r="G84" s="282"/>
      <c r="H84" s="282"/>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row>
    <row r="85">
      <c r="A85" s="282"/>
      <c r="B85" s="283"/>
      <c r="C85" s="283"/>
      <c r="D85" s="283"/>
      <c r="E85" s="283"/>
      <c r="F85" s="283"/>
      <c r="G85" s="282"/>
      <c r="H85" s="282"/>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row>
    <row r="86">
      <c r="A86" s="282"/>
      <c r="B86" s="283"/>
      <c r="C86" s="283"/>
      <c r="D86" s="283"/>
      <c r="E86" s="283"/>
      <c r="F86" s="283"/>
      <c r="G86" s="282"/>
      <c r="H86" s="282"/>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row>
    <row r="87">
      <c r="A87" s="282"/>
      <c r="B87" s="283"/>
      <c r="C87" s="283"/>
      <c r="D87" s="283"/>
      <c r="E87" s="283"/>
      <c r="F87" s="283"/>
      <c r="G87" s="282"/>
      <c r="H87" s="282"/>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row>
    <row r="88">
      <c r="A88" s="282"/>
      <c r="B88" s="283"/>
      <c r="C88" s="283"/>
      <c r="D88" s="283"/>
      <c r="E88" s="283"/>
      <c r="F88" s="283"/>
      <c r="G88" s="282"/>
      <c r="H88" s="282"/>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row>
    <row r="89">
      <c r="A89" s="282"/>
      <c r="B89" s="283"/>
      <c r="C89" s="283"/>
      <c r="D89" s="283"/>
      <c r="E89" s="283"/>
      <c r="F89" s="283"/>
      <c r="G89" s="282"/>
      <c r="H89" s="282"/>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row>
    <row r="90">
      <c r="A90" s="282"/>
      <c r="B90" s="283"/>
      <c r="C90" s="283"/>
      <c r="D90" s="283"/>
      <c r="E90" s="283"/>
      <c r="F90" s="283"/>
      <c r="G90" s="282"/>
      <c r="H90" s="282"/>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row>
    <row r="91">
      <c r="A91" s="282"/>
      <c r="B91" s="283"/>
      <c r="C91" s="283"/>
      <c r="D91" s="283"/>
      <c r="E91" s="283"/>
      <c r="F91" s="283"/>
      <c r="G91" s="282"/>
      <c r="H91" s="282"/>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row>
    <row r="92">
      <c r="A92" s="282"/>
      <c r="B92" s="283"/>
      <c r="C92" s="283"/>
      <c r="D92" s="283"/>
      <c r="E92" s="283"/>
      <c r="F92" s="283"/>
      <c r="G92" s="282"/>
      <c r="H92" s="282"/>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row>
    <row r="93">
      <c r="A93" s="282"/>
      <c r="B93" s="283"/>
      <c r="C93" s="283"/>
      <c r="D93" s="283"/>
      <c r="E93" s="283"/>
      <c r="F93" s="283"/>
      <c r="G93" s="282"/>
      <c r="H93" s="282"/>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row>
    <row r="94">
      <c r="A94" s="282"/>
      <c r="B94" s="283"/>
      <c r="C94" s="283"/>
      <c r="D94" s="283"/>
      <c r="E94" s="283"/>
      <c r="F94" s="283"/>
      <c r="G94" s="282"/>
      <c r="H94" s="282"/>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row>
    <row r="95">
      <c r="A95" s="282"/>
      <c r="B95" s="283"/>
      <c r="C95" s="283"/>
      <c r="D95" s="283"/>
      <c r="E95" s="283"/>
      <c r="F95" s="283"/>
      <c r="G95" s="282"/>
      <c r="H95" s="282"/>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row>
    <row r="96">
      <c r="A96" s="282"/>
      <c r="B96" s="283"/>
      <c r="C96" s="283"/>
      <c r="D96" s="283"/>
      <c r="E96" s="283"/>
      <c r="F96" s="283"/>
      <c r="G96" s="282"/>
      <c r="H96" s="282"/>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row>
    <row r="97">
      <c r="A97" s="282"/>
      <c r="B97" s="283"/>
      <c r="C97" s="283"/>
      <c r="D97" s="283"/>
      <c r="E97" s="283"/>
      <c r="F97" s="283"/>
      <c r="G97" s="282"/>
      <c r="H97" s="282"/>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row>
    <row r="98">
      <c r="A98" s="282"/>
      <c r="B98" s="283"/>
      <c r="C98" s="283"/>
      <c r="D98" s="283"/>
      <c r="E98" s="283"/>
      <c r="F98" s="283"/>
      <c r="G98" s="282"/>
      <c r="H98" s="282"/>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row>
    <row r="99">
      <c r="A99" s="282"/>
      <c r="B99" s="283"/>
      <c r="C99" s="283"/>
      <c r="D99" s="283"/>
      <c r="E99" s="283"/>
      <c r="F99" s="283"/>
      <c r="G99" s="282"/>
      <c r="H99" s="282"/>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row>
    <row r="100">
      <c r="A100" s="282"/>
      <c r="B100" s="283"/>
      <c r="C100" s="283"/>
      <c r="D100" s="283"/>
      <c r="E100" s="283"/>
      <c r="F100" s="283"/>
      <c r="G100" s="282"/>
      <c r="H100" s="282"/>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row>
    <row r="101">
      <c r="A101" s="282"/>
      <c r="B101" s="283"/>
      <c r="C101" s="283"/>
      <c r="D101" s="283"/>
      <c r="E101" s="283"/>
      <c r="F101" s="283"/>
      <c r="G101" s="282"/>
      <c r="H101" s="282"/>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row>
    <row r="102">
      <c r="A102" s="282"/>
      <c r="B102" s="283"/>
      <c r="C102" s="283"/>
      <c r="D102" s="283"/>
      <c r="E102" s="283"/>
      <c r="F102" s="283"/>
      <c r="G102" s="282"/>
      <c r="H102" s="282"/>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row>
    <row r="103">
      <c r="A103" s="282"/>
      <c r="B103" s="283"/>
      <c r="C103" s="283"/>
      <c r="D103" s="283"/>
      <c r="E103" s="283"/>
      <c r="F103" s="283"/>
      <c r="G103" s="282"/>
      <c r="H103" s="282"/>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row>
    <row r="104">
      <c r="A104" s="282"/>
      <c r="B104" s="283"/>
      <c r="C104" s="283"/>
      <c r="D104" s="283"/>
      <c r="E104" s="283"/>
      <c r="F104" s="283"/>
      <c r="G104" s="282"/>
      <c r="H104" s="282"/>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row>
    <row r="105">
      <c r="A105" s="282"/>
      <c r="B105" s="283"/>
      <c r="C105" s="283"/>
      <c r="D105" s="283"/>
      <c r="E105" s="283"/>
      <c r="F105" s="283"/>
      <c r="G105" s="282"/>
      <c r="H105" s="282"/>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row>
    <row r="106">
      <c r="A106" s="282"/>
      <c r="B106" s="283"/>
      <c r="C106" s="283"/>
      <c r="D106" s="283"/>
      <c r="E106" s="283"/>
      <c r="F106" s="283"/>
      <c r="G106" s="282"/>
      <c r="H106" s="282"/>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row>
    <row r="107">
      <c r="A107" s="282"/>
      <c r="B107" s="283"/>
      <c r="C107" s="283"/>
      <c r="D107" s="283"/>
      <c r="E107" s="283"/>
      <c r="F107" s="283"/>
      <c r="G107" s="282"/>
      <c r="H107" s="282"/>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row>
    <row r="108">
      <c r="A108" s="282"/>
      <c r="B108" s="283"/>
      <c r="C108" s="283"/>
      <c r="D108" s="283"/>
      <c r="E108" s="283"/>
      <c r="F108" s="283"/>
      <c r="G108" s="282"/>
      <c r="H108" s="282"/>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row>
    <row r="109">
      <c r="A109" s="282"/>
      <c r="B109" s="283"/>
      <c r="C109" s="283"/>
      <c r="D109" s="283"/>
      <c r="E109" s="283"/>
      <c r="F109" s="283"/>
      <c r="G109" s="282"/>
      <c r="H109" s="282"/>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row>
    <row r="110">
      <c r="A110" s="282"/>
      <c r="B110" s="283"/>
      <c r="C110" s="283"/>
      <c r="D110" s="283"/>
      <c r="E110" s="283"/>
      <c r="F110" s="283"/>
      <c r="G110" s="282"/>
      <c r="H110" s="282"/>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row>
    <row r="111">
      <c r="A111" s="282"/>
      <c r="B111" s="283"/>
      <c r="C111" s="283"/>
      <c r="D111" s="283"/>
      <c r="E111" s="283"/>
      <c r="F111" s="283"/>
      <c r="G111" s="282"/>
      <c r="H111" s="282"/>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row>
    <row r="112">
      <c r="A112" s="282"/>
      <c r="B112" s="283"/>
      <c r="C112" s="283"/>
      <c r="D112" s="283"/>
      <c r="E112" s="283"/>
      <c r="F112" s="283"/>
      <c r="G112" s="282"/>
      <c r="H112" s="282"/>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row>
    <row r="113">
      <c r="A113" s="282"/>
      <c r="B113" s="283"/>
      <c r="C113" s="283"/>
      <c r="D113" s="283"/>
      <c r="E113" s="283"/>
      <c r="F113" s="283"/>
      <c r="G113" s="282"/>
      <c r="H113" s="282"/>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row>
    <row r="114">
      <c r="A114" s="282"/>
      <c r="B114" s="283"/>
      <c r="C114" s="283"/>
      <c r="D114" s="283"/>
      <c r="E114" s="283"/>
      <c r="F114" s="283"/>
      <c r="G114" s="282"/>
      <c r="H114" s="282"/>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row>
    <row r="115">
      <c r="A115" s="282"/>
      <c r="B115" s="283"/>
      <c r="C115" s="283"/>
      <c r="D115" s="283"/>
      <c r="E115" s="283"/>
      <c r="F115" s="283"/>
      <c r="G115" s="282"/>
      <c r="H115" s="282"/>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row>
    <row r="116">
      <c r="A116" s="282"/>
      <c r="B116" s="283"/>
      <c r="C116" s="283"/>
      <c r="D116" s="283"/>
      <c r="E116" s="283"/>
      <c r="F116" s="283"/>
      <c r="G116" s="282"/>
      <c r="H116" s="282"/>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row>
    <row r="117">
      <c r="A117" s="282"/>
      <c r="B117" s="283"/>
      <c r="C117" s="283"/>
      <c r="D117" s="283"/>
      <c r="E117" s="283"/>
      <c r="F117" s="283"/>
      <c r="G117" s="282"/>
      <c r="H117" s="282"/>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row>
    <row r="118">
      <c r="A118" s="282"/>
      <c r="B118" s="283"/>
      <c r="C118" s="283"/>
      <c r="D118" s="283"/>
      <c r="E118" s="283"/>
      <c r="F118" s="283"/>
      <c r="G118" s="282"/>
      <c r="H118" s="282"/>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row>
    <row r="119">
      <c r="A119" s="282"/>
      <c r="B119" s="283"/>
      <c r="C119" s="283"/>
      <c r="D119" s="283"/>
      <c r="E119" s="283"/>
      <c r="F119" s="283"/>
      <c r="G119" s="282"/>
      <c r="H119" s="282"/>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row>
    <row r="120">
      <c r="A120" s="282"/>
      <c r="B120" s="283"/>
      <c r="C120" s="283"/>
      <c r="D120" s="283"/>
      <c r="E120" s="283"/>
      <c r="F120" s="283"/>
      <c r="G120" s="282"/>
      <c r="H120" s="282"/>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row>
    <row r="121">
      <c r="A121" s="282"/>
      <c r="B121" s="283"/>
      <c r="C121" s="283"/>
      <c r="D121" s="283"/>
      <c r="E121" s="283"/>
      <c r="F121" s="283"/>
      <c r="G121" s="282"/>
      <c r="H121" s="282"/>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row>
    <row r="122">
      <c r="A122" s="282"/>
      <c r="B122" s="283"/>
      <c r="C122" s="283"/>
      <c r="D122" s="283"/>
      <c r="E122" s="283"/>
      <c r="F122" s="283"/>
      <c r="G122" s="282"/>
      <c r="H122" s="282"/>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row>
    <row r="123">
      <c r="A123" s="282"/>
      <c r="B123" s="283"/>
      <c r="C123" s="283"/>
      <c r="D123" s="283"/>
      <c r="E123" s="283"/>
      <c r="F123" s="283"/>
      <c r="G123" s="282"/>
      <c r="H123" s="282"/>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row>
    <row r="124">
      <c r="A124" s="282"/>
      <c r="B124" s="283"/>
      <c r="C124" s="283"/>
      <c r="D124" s="283"/>
      <c r="E124" s="283"/>
      <c r="F124" s="283"/>
      <c r="G124" s="282"/>
      <c r="H124" s="282"/>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row>
    <row r="125">
      <c r="A125" s="282"/>
      <c r="B125" s="283"/>
      <c r="C125" s="283"/>
      <c r="D125" s="283"/>
      <c r="E125" s="283"/>
      <c r="F125" s="283"/>
      <c r="G125" s="282"/>
      <c r="H125" s="282"/>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row>
    <row r="126">
      <c r="A126" s="282"/>
      <c r="B126" s="283"/>
      <c r="C126" s="283"/>
      <c r="D126" s="283"/>
      <c r="E126" s="283"/>
      <c r="F126" s="283"/>
      <c r="G126" s="282"/>
      <c r="H126" s="282"/>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row>
    <row r="127">
      <c r="A127" s="282"/>
      <c r="B127" s="283"/>
      <c r="C127" s="283"/>
      <c r="D127" s="283"/>
      <c r="E127" s="283"/>
      <c r="F127" s="283"/>
      <c r="G127" s="282"/>
      <c r="H127" s="282"/>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row>
    <row r="128">
      <c r="A128" s="282"/>
      <c r="B128" s="283"/>
      <c r="C128" s="283"/>
      <c r="D128" s="283"/>
      <c r="E128" s="283"/>
      <c r="F128" s="283"/>
      <c r="G128" s="282"/>
      <c r="H128" s="282"/>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row>
    <row r="129">
      <c r="A129" s="282"/>
      <c r="B129" s="283"/>
      <c r="C129" s="283"/>
      <c r="D129" s="283"/>
      <c r="E129" s="283"/>
      <c r="F129" s="283"/>
      <c r="G129" s="282"/>
      <c r="H129" s="282"/>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row>
    <row r="130">
      <c r="A130" s="282"/>
      <c r="B130" s="283"/>
      <c r="C130" s="283"/>
      <c r="D130" s="283"/>
      <c r="E130" s="283"/>
      <c r="F130" s="283"/>
      <c r="G130" s="282"/>
      <c r="H130" s="282"/>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row>
    <row r="131">
      <c r="A131" s="282"/>
      <c r="B131" s="283"/>
      <c r="C131" s="283"/>
      <c r="D131" s="283"/>
      <c r="E131" s="283"/>
      <c r="F131" s="283"/>
      <c r="G131" s="282"/>
      <c r="H131" s="282"/>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row>
    <row r="132">
      <c r="A132" s="282"/>
      <c r="B132" s="283"/>
      <c r="C132" s="283"/>
      <c r="D132" s="283"/>
      <c r="E132" s="283"/>
      <c r="F132" s="283"/>
      <c r="G132" s="282"/>
      <c r="H132" s="282"/>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row>
    <row r="133">
      <c r="A133" s="282"/>
      <c r="B133" s="283"/>
      <c r="C133" s="283"/>
      <c r="D133" s="283"/>
      <c r="E133" s="283"/>
      <c r="F133" s="283"/>
      <c r="G133" s="282"/>
      <c r="H133" s="282"/>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row>
    <row r="134">
      <c r="A134" s="282"/>
      <c r="B134" s="283"/>
      <c r="C134" s="283"/>
      <c r="D134" s="283"/>
      <c r="E134" s="283"/>
      <c r="F134" s="283"/>
      <c r="G134" s="282"/>
      <c r="H134" s="282"/>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row>
    <row r="135">
      <c r="A135" s="282"/>
      <c r="B135" s="283"/>
      <c r="C135" s="283"/>
      <c r="D135" s="283"/>
      <c r="E135" s="283"/>
      <c r="F135" s="283"/>
      <c r="G135" s="282"/>
      <c r="H135" s="282"/>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row>
    <row r="136">
      <c r="A136" s="282"/>
      <c r="B136" s="283"/>
      <c r="C136" s="283"/>
      <c r="D136" s="283"/>
      <c r="E136" s="283"/>
      <c r="F136" s="283"/>
      <c r="G136" s="282"/>
      <c r="H136" s="282"/>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row>
    <row r="137">
      <c r="A137" s="282"/>
      <c r="B137" s="283"/>
      <c r="C137" s="283"/>
      <c r="D137" s="283"/>
      <c r="E137" s="283"/>
      <c r="F137" s="283"/>
      <c r="G137" s="282"/>
      <c r="H137" s="282"/>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row>
    <row r="138">
      <c r="A138" s="282"/>
      <c r="B138" s="283"/>
      <c r="C138" s="283"/>
      <c r="D138" s="283"/>
      <c r="E138" s="283"/>
      <c r="F138" s="283"/>
      <c r="G138" s="282"/>
      <c r="H138" s="282"/>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row>
    <row r="139">
      <c r="A139" s="282"/>
      <c r="B139" s="283"/>
      <c r="C139" s="283"/>
      <c r="D139" s="283"/>
      <c r="E139" s="283"/>
      <c r="F139" s="283"/>
      <c r="G139" s="282"/>
      <c r="H139" s="282"/>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row>
    <row r="140">
      <c r="A140" s="282"/>
      <c r="B140" s="283"/>
      <c r="C140" s="283"/>
      <c r="D140" s="283"/>
      <c r="E140" s="283"/>
      <c r="F140" s="283"/>
      <c r="G140" s="282"/>
      <c r="H140" s="282"/>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row>
    <row r="141">
      <c r="A141" s="282"/>
      <c r="B141" s="283"/>
      <c r="C141" s="283"/>
      <c r="D141" s="283"/>
      <c r="E141" s="283"/>
      <c r="F141" s="283"/>
      <c r="G141" s="282"/>
      <c r="H141" s="282"/>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row>
    <row r="142">
      <c r="A142" s="282"/>
      <c r="B142" s="283"/>
      <c r="C142" s="283"/>
      <c r="D142" s="283"/>
      <c r="E142" s="283"/>
      <c r="F142" s="283"/>
      <c r="G142" s="282"/>
      <c r="H142" s="282"/>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row>
    <row r="143">
      <c r="A143" s="282"/>
      <c r="B143" s="283"/>
      <c r="C143" s="283"/>
      <c r="D143" s="283"/>
      <c r="E143" s="283"/>
      <c r="F143" s="283"/>
      <c r="G143" s="282"/>
      <c r="H143" s="282"/>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row>
    <row r="144">
      <c r="A144" s="282"/>
      <c r="B144" s="283"/>
      <c r="C144" s="283"/>
      <c r="D144" s="283"/>
      <c r="E144" s="283"/>
      <c r="F144" s="283"/>
      <c r="G144" s="282"/>
      <c r="H144" s="282"/>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row>
    <row r="145">
      <c r="A145" s="282"/>
      <c r="B145" s="283"/>
      <c r="C145" s="283"/>
      <c r="D145" s="283"/>
      <c r="E145" s="283"/>
      <c r="F145" s="283"/>
      <c r="G145" s="282"/>
      <c r="H145" s="282"/>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row>
    <row r="146">
      <c r="A146" s="282"/>
      <c r="B146" s="283"/>
      <c r="C146" s="283"/>
      <c r="D146" s="283"/>
      <c r="E146" s="283"/>
      <c r="F146" s="283"/>
      <c r="G146" s="282"/>
      <c r="H146" s="282"/>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row>
    <row r="147">
      <c r="A147" s="282"/>
      <c r="B147" s="283"/>
      <c r="C147" s="283"/>
      <c r="D147" s="283"/>
      <c r="E147" s="283"/>
      <c r="F147" s="283"/>
      <c r="G147" s="282"/>
      <c r="H147" s="282"/>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row>
    <row r="148">
      <c r="A148" s="282"/>
      <c r="B148" s="283"/>
      <c r="C148" s="283"/>
      <c r="D148" s="283"/>
      <c r="E148" s="283"/>
      <c r="F148" s="283"/>
      <c r="G148" s="282"/>
      <c r="H148" s="282"/>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row>
    <row r="149">
      <c r="A149" s="282"/>
      <c r="B149" s="283"/>
      <c r="C149" s="283"/>
      <c r="D149" s="283"/>
      <c r="E149" s="283"/>
      <c r="F149" s="283"/>
      <c r="G149" s="282"/>
      <c r="H149" s="282"/>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row>
    <row r="150">
      <c r="A150" s="282"/>
      <c r="B150" s="283"/>
      <c r="C150" s="283"/>
      <c r="D150" s="283"/>
      <c r="E150" s="283"/>
      <c r="F150" s="283"/>
      <c r="G150" s="282"/>
      <c r="H150" s="282"/>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row>
    <row r="151">
      <c r="A151" s="282"/>
      <c r="B151" s="283"/>
      <c r="C151" s="283"/>
      <c r="D151" s="283"/>
      <c r="E151" s="283"/>
      <c r="F151" s="283"/>
      <c r="G151" s="282"/>
      <c r="H151" s="282"/>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row>
    <row r="152">
      <c r="A152" s="282"/>
      <c r="B152" s="283"/>
      <c r="C152" s="283"/>
      <c r="D152" s="283"/>
      <c r="E152" s="283"/>
      <c r="F152" s="283"/>
      <c r="G152" s="282"/>
      <c r="H152" s="282"/>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row>
    <row r="153">
      <c r="A153" s="282"/>
      <c r="B153" s="283"/>
      <c r="C153" s="283"/>
      <c r="D153" s="283"/>
      <c r="E153" s="283"/>
      <c r="F153" s="283"/>
      <c r="G153" s="282"/>
      <c r="H153" s="282"/>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row>
    <row r="154">
      <c r="A154" s="282"/>
      <c r="B154" s="283"/>
      <c r="C154" s="283"/>
      <c r="D154" s="283"/>
      <c r="E154" s="283"/>
      <c r="F154" s="283"/>
      <c r="G154" s="282"/>
      <c r="H154" s="282"/>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row>
    <row r="155">
      <c r="A155" s="282"/>
      <c r="B155" s="283"/>
      <c r="C155" s="283"/>
      <c r="D155" s="283"/>
      <c r="E155" s="283"/>
      <c r="F155" s="283"/>
      <c r="G155" s="282"/>
      <c r="H155" s="282"/>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row>
    <row r="156">
      <c r="A156" s="282"/>
      <c r="B156" s="283"/>
      <c r="C156" s="283"/>
      <c r="D156" s="283"/>
      <c r="E156" s="283"/>
      <c r="F156" s="283"/>
      <c r="G156" s="282"/>
      <c r="H156" s="282"/>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row>
    <row r="157">
      <c r="A157" s="282"/>
      <c r="B157" s="283"/>
      <c r="C157" s="283"/>
      <c r="D157" s="283"/>
      <c r="E157" s="283"/>
      <c r="F157" s="283"/>
      <c r="G157" s="282"/>
      <c r="H157" s="282"/>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row>
    <row r="158">
      <c r="A158" s="282"/>
      <c r="B158" s="283"/>
      <c r="C158" s="283"/>
      <c r="D158" s="283"/>
      <c r="E158" s="283"/>
      <c r="F158" s="283"/>
      <c r="G158" s="282"/>
      <c r="H158" s="282"/>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row>
    <row r="159">
      <c r="A159" s="282"/>
      <c r="B159" s="283"/>
      <c r="C159" s="283"/>
      <c r="D159" s="283"/>
      <c r="E159" s="283"/>
      <c r="F159" s="283"/>
      <c r="G159" s="282"/>
      <c r="H159" s="282"/>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row>
    <row r="160">
      <c r="A160" s="282"/>
      <c r="B160" s="283"/>
      <c r="C160" s="283"/>
      <c r="D160" s="283"/>
      <c r="E160" s="283"/>
      <c r="F160" s="283"/>
      <c r="G160" s="282"/>
      <c r="H160" s="282"/>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row>
    <row r="161">
      <c r="A161" s="282"/>
      <c r="B161" s="283"/>
      <c r="C161" s="283"/>
      <c r="D161" s="283"/>
      <c r="E161" s="283"/>
      <c r="F161" s="283"/>
      <c r="G161" s="282"/>
      <c r="H161" s="282"/>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row>
    <row r="162">
      <c r="A162" s="282"/>
      <c r="B162" s="283"/>
      <c r="C162" s="283"/>
      <c r="D162" s="283"/>
      <c r="E162" s="283"/>
      <c r="F162" s="283"/>
      <c r="G162" s="282"/>
      <c r="H162" s="282"/>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row>
    <row r="163">
      <c r="A163" s="282"/>
      <c r="B163" s="283"/>
      <c r="C163" s="283"/>
      <c r="D163" s="283"/>
      <c r="E163" s="283"/>
      <c r="F163" s="283"/>
      <c r="G163" s="282"/>
      <c r="H163" s="282"/>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row>
    <row r="164">
      <c r="A164" s="282"/>
      <c r="B164" s="283"/>
      <c r="C164" s="283"/>
      <c r="D164" s="283"/>
      <c r="E164" s="283"/>
      <c r="F164" s="283"/>
      <c r="G164" s="282"/>
      <c r="H164" s="282"/>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row>
    <row r="165">
      <c r="A165" s="282"/>
      <c r="B165" s="283"/>
      <c r="C165" s="283"/>
      <c r="D165" s="283"/>
      <c r="E165" s="283"/>
      <c r="F165" s="283"/>
      <c r="G165" s="282"/>
      <c r="H165" s="282"/>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row>
    <row r="166">
      <c r="A166" s="282"/>
      <c r="B166" s="283"/>
      <c r="C166" s="283"/>
      <c r="D166" s="283"/>
      <c r="E166" s="283"/>
      <c r="F166" s="283"/>
      <c r="G166" s="282"/>
      <c r="H166" s="282"/>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row>
    <row r="167">
      <c r="A167" s="282"/>
      <c r="B167" s="283"/>
      <c r="C167" s="283"/>
      <c r="D167" s="283"/>
      <c r="E167" s="283"/>
      <c r="F167" s="283"/>
      <c r="G167" s="282"/>
      <c r="H167" s="282"/>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row>
    <row r="168">
      <c r="A168" s="282"/>
      <c r="B168" s="283"/>
      <c r="C168" s="283"/>
      <c r="D168" s="283"/>
      <c r="E168" s="283"/>
      <c r="F168" s="283"/>
      <c r="G168" s="282"/>
      <c r="H168" s="282"/>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row>
    <row r="169">
      <c r="A169" s="282"/>
      <c r="B169" s="283"/>
      <c r="C169" s="283"/>
      <c r="D169" s="283"/>
      <c r="E169" s="283"/>
      <c r="F169" s="283"/>
      <c r="G169" s="282"/>
      <c r="H169" s="282"/>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row>
    <row r="170">
      <c r="A170" s="282"/>
      <c r="B170" s="283"/>
      <c r="C170" s="283"/>
      <c r="D170" s="283"/>
      <c r="E170" s="283"/>
      <c r="F170" s="283"/>
      <c r="G170" s="282"/>
      <c r="H170" s="282"/>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row>
    <row r="171">
      <c r="A171" s="282"/>
      <c r="B171" s="283"/>
      <c r="C171" s="283"/>
      <c r="D171" s="283"/>
      <c r="E171" s="283"/>
      <c r="F171" s="283"/>
      <c r="G171" s="282"/>
      <c r="H171" s="282"/>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row>
    <row r="172">
      <c r="A172" s="282"/>
      <c r="B172" s="283"/>
      <c r="C172" s="283"/>
      <c r="D172" s="283"/>
      <c r="E172" s="283"/>
      <c r="F172" s="283"/>
      <c r="G172" s="282"/>
      <c r="H172" s="282"/>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row>
    <row r="173">
      <c r="A173" s="282"/>
      <c r="B173" s="283"/>
      <c r="C173" s="283"/>
      <c r="D173" s="283"/>
      <c r="E173" s="283"/>
      <c r="F173" s="283"/>
      <c r="G173" s="282"/>
      <c r="H173" s="282"/>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row>
    <row r="174">
      <c r="A174" s="282"/>
      <c r="B174" s="283"/>
      <c r="C174" s="283"/>
      <c r="D174" s="283"/>
      <c r="E174" s="283"/>
      <c r="F174" s="283"/>
      <c r="G174" s="282"/>
      <c r="H174" s="282"/>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row>
    <row r="175">
      <c r="A175" s="282"/>
      <c r="B175" s="283"/>
      <c r="C175" s="283"/>
      <c r="D175" s="283"/>
      <c r="E175" s="283"/>
      <c r="F175" s="283"/>
      <c r="G175" s="282"/>
      <c r="H175" s="282"/>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row>
    <row r="176">
      <c r="A176" s="282"/>
      <c r="B176" s="283"/>
      <c r="C176" s="283"/>
      <c r="D176" s="283"/>
      <c r="E176" s="283"/>
      <c r="F176" s="283"/>
      <c r="G176" s="282"/>
      <c r="H176" s="282"/>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row>
    <row r="177">
      <c r="A177" s="282"/>
      <c r="B177" s="283"/>
      <c r="C177" s="283"/>
      <c r="D177" s="283"/>
      <c r="E177" s="283"/>
      <c r="F177" s="283"/>
      <c r="G177" s="282"/>
      <c r="H177" s="282"/>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row>
    <row r="178">
      <c r="A178" s="282"/>
      <c r="B178" s="283"/>
      <c r="C178" s="283"/>
      <c r="D178" s="283"/>
      <c r="E178" s="283"/>
      <c r="F178" s="283"/>
      <c r="G178" s="282"/>
      <c r="H178" s="282"/>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row>
    <row r="179">
      <c r="A179" s="282"/>
      <c r="B179" s="283"/>
      <c r="C179" s="283"/>
      <c r="D179" s="283"/>
      <c r="E179" s="283"/>
      <c r="F179" s="283"/>
      <c r="G179" s="282"/>
      <c r="H179" s="282"/>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row>
    <row r="180">
      <c r="A180" s="282"/>
      <c r="B180" s="283"/>
      <c r="C180" s="283"/>
      <c r="D180" s="283"/>
      <c r="E180" s="283"/>
      <c r="F180" s="283"/>
      <c r="G180" s="282"/>
      <c r="H180" s="282"/>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row>
    <row r="181">
      <c r="A181" s="282"/>
      <c r="B181" s="283"/>
      <c r="C181" s="283"/>
      <c r="D181" s="283"/>
      <c r="E181" s="283"/>
      <c r="F181" s="283"/>
      <c r="G181" s="282"/>
      <c r="H181" s="282"/>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row>
    <row r="182">
      <c r="A182" s="282"/>
      <c r="B182" s="283"/>
      <c r="C182" s="283"/>
      <c r="D182" s="283"/>
      <c r="E182" s="283"/>
      <c r="F182" s="283"/>
      <c r="G182" s="282"/>
      <c r="H182" s="282"/>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row>
    <row r="183">
      <c r="A183" s="282"/>
      <c r="B183" s="283"/>
      <c r="C183" s="283"/>
      <c r="D183" s="283"/>
      <c r="E183" s="283"/>
      <c r="F183" s="283"/>
      <c r="G183" s="282"/>
      <c r="H183" s="282"/>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row>
    <row r="184">
      <c r="A184" s="282"/>
      <c r="B184" s="283"/>
      <c r="C184" s="283"/>
      <c r="D184" s="283"/>
      <c r="E184" s="283"/>
      <c r="F184" s="283"/>
      <c r="G184" s="282"/>
      <c r="H184" s="282"/>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row>
    <row r="185">
      <c r="A185" s="282"/>
      <c r="B185" s="283"/>
      <c r="C185" s="283"/>
      <c r="D185" s="283"/>
      <c r="E185" s="283"/>
      <c r="F185" s="283"/>
      <c r="G185" s="282"/>
      <c r="H185" s="282"/>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row>
    <row r="186">
      <c r="A186" s="282"/>
      <c r="B186" s="283"/>
      <c r="C186" s="283"/>
      <c r="D186" s="283"/>
      <c r="E186" s="283"/>
      <c r="F186" s="283"/>
      <c r="G186" s="282"/>
      <c r="H186" s="282"/>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row>
    <row r="187">
      <c r="A187" s="282"/>
      <c r="B187" s="283"/>
      <c r="C187" s="283"/>
      <c r="D187" s="283"/>
      <c r="E187" s="283"/>
      <c r="F187" s="283"/>
      <c r="G187" s="282"/>
      <c r="H187" s="282"/>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row>
    <row r="188">
      <c r="A188" s="282"/>
      <c r="B188" s="283"/>
      <c r="C188" s="283"/>
      <c r="D188" s="283"/>
      <c r="E188" s="283"/>
      <c r="F188" s="283"/>
      <c r="G188" s="282"/>
      <c r="H188" s="282"/>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row>
    <row r="189">
      <c r="A189" s="282"/>
      <c r="B189" s="283"/>
      <c r="C189" s="283"/>
      <c r="D189" s="283"/>
      <c r="E189" s="283"/>
      <c r="F189" s="283"/>
      <c r="G189" s="282"/>
      <c r="H189" s="282"/>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row>
    <row r="190">
      <c r="A190" s="282"/>
      <c r="B190" s="283"/>
      <c r="C190" s="283"/>
      <c r="D190" s="283"/>
      <c r="E190" s="283"/>
      <c r="F190" s="283"/>
      <c r="G190" s="282"/>
      <c r="H190" s="282"/>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row>
    <row r="191">
      <c r="A191" s="282"/>
      <c r="B191" s="283"/>
      <c r="C191" s="283"/>
      <c r="D191" s="283"/>
      <c r="E191" s="283"/>
      <c r="F191" s="283"/>
      <c r="G191" s="282"/>
      <c r="H191" s="282"/>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row>
    <row r="192">
      <c r="A192" s="282"/>
      <c r="B192" s="283"/>
      <c r="C192" s="283"/>
      <c r="D192" s="283"/>
      <c r="E192" s="283"/>
      <c r="F192" s="283"/>
      <c r="G192" s="282"/>
      <c r="H192" s="282"/>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row>
    <row r="193">
      <c r="A193" s="282"/>
      <c r="B193" s="283"/>
      <c r="C193" s="283"/>
      <c r="D193" s="283"/>
      <c r="E193" s="283"/>
      <c r="F193" s="283"/>
      <c r="G193" s="282"/>
      <c r="H193" s="282"/>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row>
    <row r="194">
      <c r="A194" s="282"/>
      <c r="B194" s="283"/>
      <c r="C194" s="283"/>
      <c r="D194" s="283"/>
      <c r="E194" s="283"/>
      <c r="F194" s="283"/>
      <c r="G194" s="282"/>
      <c r="H194" s="282"/>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row>
    <row r="195">
      <c r="A195" s="282"/>
      <c r="B195" s="283"/>
      <c r="C195" s="283"/>
      <c r="D195" s="283"/>
      <c r="E195" s="283"/>
      <c r="F195" s="283"/>
      <c r="G195" s="282"/>
      <c r="H195" s="282"/>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row>
    <row r="196">
      <c r="A196" s="282"/>
      <c r="B196" s="283"/>
      <c r="C196" s="283"/>
      <c r="D196" s="283"/>
      <c r="E196" s="283"/>
      <c r="F196" s="283"/>
      <c r="G196" s="282"/>
      <c r="H196" s="282"/>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row>
    <row r="197">
      <c r="A197" s="282"/>
      <c r="B197" s="283"/>
      <c r="C197" s="283"/>
      <c r="D197" s="283"/>
      <c r="E197" s="283"/>
      <c r="F197" s="283"/>
      <c r="G197" s="282"/>
      <c r="H197" s="282"/>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row>
    <row r="198">
      <c r="A198" s="282"/>
      <c r="B198" s="283"/>
      <c r="C198" s="283"/>
      <c r="D198" s="283"/>
      <c r="E198" s="283"/>
      <c r="F198" s="283"/>
      <c r="G198" s="282"/>
      <c r="H198" s="282"/>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row>
    <row r="199">
      <c r="A199" s="282"/>
      <c r="B199" s="283"/>
      <c r="C199" s="283"/>
      <c r="D199" s="283"/>
      <c r="E199" s="283"/>
      <c r="F199" s="283"/>
      <c r="G199" s="282"/>
      <c r="H199" s="282"/>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row>
    <row r="200">
      <c r="A200" s="282"/>
      <c r="B200" s="283"/>
      <c r="C200" s="283"/>
      <c r="D200" s="283"/>
      <c r="E200" s="283"/>
      <c r="F200" s="283"/>
      <c r="G200" s="282"/>
      <c r="H200" s="282"/>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row>
    <row r="201">
      <c r="A201" s="282"/>
      <c r="B201" s="283"/>
      <c r="C201" s="283"/>
      <c r="D201" s="283"/>
      <c r="E201" s="283"/>
      <c r="F201" s="283"/>
      <c r="G201" s="282"/>
      <c r="H201" s="282"/>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row>
    <row r="202">
      <c r="A202" s="282"/>
      <c r="B202" s="283"/>
      <c r="C202" s="283"/>
      <c r="D202" s="283"/>
      <c r="E202" s="283"/>
      <c r="F202" s="283"/>
      <c r="G202" s="282"/>
      <c r="H202" s="282"/>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row>
    <row r="203">
      <c r="A203" s="282"/>
      <c r="B203" s="283"/>
      <c r="C203" s="283"/>
      <c r="D203" s="283"/>
      <c r="E203" s="283"/>
      <c r="F203" s="283"/>
      <c r="G203" s="282"/>
      <c r="H203" s="282"/>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row>
    <row r="204">
      <c r="A204" s="282"/>
      <c r="B204" s="283"/>
      <c r="C204" s="283"/>
      <c r="D204" s="283"/>
      <c r="E204" s="283"/>
      <c r="F204" s="283"/>
      <c r="G204" s="282"/>
      <c r="H204" s="282"/>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row>
    <row r="205">
      <c r="A205" s="282"/>
      <c r="B205" s="283"/>
      <c r="C205" s="283"/>
      <c r="D205" s="283"/>
      <c r="E205" s="283"/>
      <c r="F205" s="283"/>
      <c r="G205" s="282"/>
      <c r="H205" s="282"/>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row>
    <row r="206">
      <c r="A206" s="282"/>
      <c r="B206" s="283"/>
      <c r="C206" s="283"/>
      <c r="D206" s="283"/>
      <c r="E206" s="283"/>
      <c r="F206" s="283"/>
      <c r="G206" s="282"/>
      <c r="H206" s="282"/>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row>
    <row r="207">
      <c r="A207" s="282"/>
      <c r="B207" s="283"/>
      <c r="C207" s="283"/>
      <c r="D207" s="283"/>
      <c r="E207" s="283"/>
      <c r="F207" s="283"/>
      <c r="G207" s="282"/>
      <c r="H207" s="282"/>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row>
    <row r="208">
      <c r="A208" s="282"/>
      <c r="B208" s="283"/>
      <c r="C208" s="283"/>
      <c r="D208" s="283"/>
      <c r="E208" s="283"/>
      <c r="F208" s="283"/>
      <c r="G208" s="282"/>
      <c r="H208" s="282"/>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row>
    <row r="209">
      <c r="A209" s="282"/>
      <c r="B209" s="283"/>
      <c r="C209" s="283"/>
      <c r="D209" s="283"/>
      <c r="E209" s="283"/>
      <c r="F209" s="283"/>
      <c r="G209" s="282"/>
      <c r="H209" s="282"/>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row>
    <row r="210">
      <c r="A210" s="282"/>
      <c r="B210" s="283"/>
      <c r="C210" s="283"/>
      <c r="D210" s="283"/>
      <c r="E210" s="283"/>
      <c r="F210" s="283"/>
      <c r="G210" s="282"/>
      <c r="H210" s="282"/>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row>
    <row r="211">
      <c r="A211" s="282"/>
      <c r="B211" s="283"/>
      <c r="C211" s="283"/>
      <c r="D211" s="283"/>
      <c r="E211" s="283"/>
      <c r="F211" s="283"/>
      <c r="G211" s="282"/>
      <c r="H211" s="282"/>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row>
    <row r="212">
      <c r="A212" s="282"/>
      <c r="B212" s="283"/>
      <c r="C212" s="283"/>
      <c r="D212" s="283"/>
      <c r="E212" s="283"/>
      <c r="F212" s="283"/>
      <c r="G212" s="282"/>
      <c r="H212" s="282"/>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row>
    <row r="213">
      <c r="A213" s="282"/>
      <c r="B213" s="283"/>
      <c r="C213" s="283"/>
      <c r="D213" s="283"/>
      <c r="E213" s="283"/>
      <c r="F213" s="283"/>
      <c r="G213" s="282"/>
      <c r="H213" s="282"/>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row>
    <row r="214">
      <c r="A214" s="282"/>
      <c r="B214" s="283"/>
      <c r="C214" s="283"/>
      <c r="D214" s="283"/>
      <c r="E214" s="283"/>
      <c r="F214" s="283"/>
      <c r="G214" s="282"/>
      <c r="H214" s="282"/>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row>
    <row r="215">
      <c r="A215" s="282"/>
      <c r="B215" s="283"/>
      <c r="C215" s="283"/>
      <c r="D215" s="283"/>
      <c r="E215" s="283"/>
      <c r="F215" s="283"/>
      <c r="G215" s="282"/>
      <c r="H215" s="282"/>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row>
    <row r="216">
      <c r="A216" s="282"/>
      <c r="B216" s="283"/>
      <c r="C216" s="283"/>
      <c r="D216" s="283"/>
      <c r="E216" s="283"/>
      <c r="F216" s="283"/>
      <c r="G216" s="282"/>
      <c r="H216" s="282"/>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row>
    <row r="217">
      <c r="A217" s="282"/>
      <c r="B217" s="283"/>
      <c r="C217" s="283"/>
      <c r="D217" s="283"/>
      <c r="E217" s="283"/>
      <c r="F217" s="283"/>
      <c r="G217" s="282"/>
      <c r="H217" s="282"/>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row>
    <row r="218">
      <c r="A218" s="282"/>
      <c r="B218" s="283"/>
      <c r="C218" s="283"/>
      <c r="D218" s="283"/>
      <c r="E218" s="283"/>
      <c r="F218" s="283"/>
      <c r="G218" s="282"/>
      <c r="H218" s="282"/>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row>
    <row r="219">
      <c r="A219" s="282"/>
      <c r="B219" s="283"/>
      <c r="C219" s="283"/>
      <c r="D219" s="283"/>
      <c r="E219" s="283"/>
      <c r="F219" s="283"/>
      <c r="G219" s="282"/>
      <c r="H219" s="282"/>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row>
    <row r="220">
      <c r="A220" s="282"/>
      <c r="B220" s="283"/>
      <c r="C220" s="283"/>
      <c r="D220" s="283"/>
      <c r="E220" s="283"/>
      <c r="F220" s="283"/>
      <c r="G220" s="282"/>
      <c r="H220" s="282"/>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row>
    <row r="221">
      <c r="A221" s="282"/>
      <c r="B221" s="283"/>
      <c r="C221" s="283"/>
      <c r="D221" s="283"/>
      <c r="E221" s="283"/>
      <c r="F221" s="283"/>
      <c r="G221" s="282"/>
      <c r="H221" s="282"/>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row>
    <row r="222">
      <c r="A222" s="282"/>
      <c r="B222" s="283"/>
      <c r="C222" s="283"/>
      <c r="D222" s="283"/>
      <c r="E222" s="283"/>
      <c r="F222" s="283"/>
      <c r="G222" s="282"/>
      <c r="H222" s="282"/>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row>
    <row r="223">
      <c r="A223" s="282"/>
      <c r="B223" s="283"/>
      <c r="C223" s="283"/>
      <c r="D223" s="283"/>
      <c r="E223" s="283"/>
      <c r="F223" s="283"/>
      <c r="G223" s="282"/>
      <c r="H223" s="282"/>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row>
    <row r="224">
      <c r="A224" s="282"/>
      <c r="B224" s="283"/>
      <c r="C224" s="283"/>
      <c r="D224" s="283"/>
      <c r="E224" s="283"/>
      <c r="F224" s="283"/>
      <c r="G224" s="282"/>
      <c r="H224" s="282"/>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row>
    <row r="225">
      <c r="A225" s="282"/>
      <c r="B225" s="283"/>
      <c r="C225" s="283"/>
      <c r="D225" s="283"/>
      <c r="E225" s="283"/>
      <c r="F225" s="283"/>
      <c r="G225" s="282"/>
      <c r="H225" s="282"/>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row>
    <row r="226">
      <c r="A226" s="282"/>
      <c r="B226" s="283"/>
      <c r="C226" s="283"/>
      <c r="D226" s="283"/>
      <c r="E226" s="283"/>
      <c r="F226" s="283"/>
      <c r="G226" s="282"/>
      <c r="H226" s="282"/>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row>
    <row r="227">
      <c r="A227" s="282"/>
      <c r="B227" s="283"/>
      <c r="C227" s="283"/>
      <c r="D227" s="283"/>
      <c r="E227" s="283"/>
      <c r="F227" s="283"/>
      <c r="G227" s="282"/>
      <c r="H227" s="282"/>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row>
    <row r="228">
      <c r="A228" s="282"/>
      <c r="B228" s="283"/>
      <c r="C228" s="283"/>
      <c r="D228" s="283"/>
      <c r="E228" s="283"/>
      <c r="F228" s="283"/>
      <c r="G228" s="282"/>
      <c r="H228" s="282"/>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row>
    <row r="229">
      <c r="A229" s="282"/>
      <c r="B229" s="283"/>
      <c r="C229" s="283"/>
      <c r="D229" s="283"/>
      <c r="E229" s="283"/>
      <c r="F229" s="283"/>
      <c r="G229" s="282"/>
      <c r="H229" s="282"/>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row>
    <row r="230">
      <c r="A230" s="282"/>
      <c r="B230" s="283"/>
      <c r="C230" s="283"/>
      <c r="D230" s="283"/>
      <c r="E230" s="283"/>
      <c r="F230" s="283"/>
      <c r="G230" s="282"/>
      <c r="H230" s="282"/>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row>
    <row r="231">
      <c r="A231" s="282"/>
      <c r="B231" s="283"/>
      <c r="C231" s="283"/>
      <c r="D231" s="283"/>
      <c r="E231" s="283"/>
      <c r="F231" s="283"/>
      <c r="G231" s="282"/>
      <c r="H231" s="282"/>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row>
    <row r="232">
      <c r="A232" s="282"/>
      <c r="B232" s="283"/>
      <c r="C232" s="283"/>
      <c r="D232" s="283"/>
      <c r="E232" s="283"/>
      <c r="F232" s="283"/>
      <c r="G232" s="282"/>
      <c r="H232" s="282"/>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row>
    <row r="233">
      <c r="A233" s="282"/>
      <c r="B233" s="283"/>
      <c r="C233" s="283"/>
      <c r="D233" s="283"/>
      <c r="E233" s="283"/>
      <c r="F233" s="283"/>
      <c r="G233" s="282"/>
      <c r="H233" s="282"/>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row>
    <row r="234">
      <c r="A234" s="282"/>
      <c r="B234" s="283"/>
      <c r="C234" s="283"/>
      <c r="D234" s="283"/>
      <c r="E234" s="283"/>
      <c r="F234" s="283"/>
      <c r="G234" s="282"/>
      <c r="H234" s="282"/>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row>
    <row r="235">
      <c r="A235" s="282"/>
      <c r="B235" s="283"/>
      <c r="C235" s="283"/>
      <c r="D235" s="283"/>
      <c r="E235" s="283"/>
      <c r="F235" s="283"/>
      <c r="G235" s="282"/>
      <c r="H235" s="282"/>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row>
    <row r="236">
      <c r="A236" s="282"/>
      <c r="B236" s="283"/>
      <c r="C236" s="283"/>
      <c r="D236" s="283"/>
      <c r="E236" s="283"/>
      <c r="F236" s="283"/>
      <c r="G236" s="282"/>
      <c r="H236" s="282"/>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row>
    <row r="237">
      <c r="A237" s="282"/>
      <c r="B237" s="283"/>
      <c r="C237" s="283"/>
      <c r="D237" s="283"/>
      <c r="E237" s="283"/>
      <c r="F237" s="283"/>
      <c r="G237" s="282"/>
      <c r="H237" s="282"/>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row>
    <row r="238">
      <c r="A238" s="282"/>
      <c r="B238" s="283"/>
      <c r="C238" s="283"/>
      <c r="D238" s="283"/>
      <c r="E238" s="283"/>
      <c r="F238" s="283"/>
      <c r="G238" s="282"/>
      <c r="H238" s="282"/>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row>
    <row r="239">
      <c r="A239" s="282"/>
      <c r="B239" s="283"/>
      <c r="C239" s="283"/>
      <c r="D239" s="283"/>
      <c r="E239" s="283"/>
      <c r="F239" s="283"/>
      <c r="G239" s="282"/>
      <c r="H239" s="282"/>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row>
    <row r="240">
      <c r="A240" s="282"/>
      <c r="B240" s="283"/>
      <c r="C240" s="283"/>
      <c r="D240" s="283"/>
      <c r="E240" s="283"/>
      <c r="F240" s="283"/>
      <c r="G240" s="282"/>
      <c r="H240" s="282"/>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row>
    <row r="241">
      <c r="A241" s="282"/>
      <c r="B241" s="283"/>
      <c r="C241" s="283"/>
      <c r="D241" s="283"/>
      <c r="E241" s="283"/>
      <c r="F241" s="283"/>
      <c r="G241" s="282"/>
      <c r="H241" s="282"/>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row>
    <row r="242">
      <c r="A242" s="282"/>
      <c r="B242" s="283"/>
      <c r="C242" s="283"/>
      <c r="D242" s="283"/>
      <c r="E242" s="283"/>
      <c r="F242" s="283"/>
      <c r="G242" s="282"/>
      <c r="H242" s="282"/>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row>
    <row r="243">
      <c r="A243" s="282"/>
      <c r="B243" s="283"/>
      <c r="C243" s="283"/>
      <c r="D243" s="283"/>
      <c r="E243" s="283"/>
      <c r="F243" s="283"/>
      <c r="G243" s="282"/>
      <c r="H243" s="282"/>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row>
    <row r="244">
      <c r="A244" s="282"/>
      <c r="B244" s="283"/>
      <c r="C244" s="283"/>
      <c r="D244" s="283"/>
      <c r="E244" s="283"/>
      <c r="F244" s="283"/>
      <c r="G244" s="282"/>
      <c r="H244" s="282"/>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row>
    <row r="245">
      <c r="A245" s="282"/>
      <c r="B245" s="283"/>
      <c r="C245" s="283"/>
      <c r="D245" s="283"/>
      <c r="E245" s="283"/>
      <c r="F245" s="283"/>
      <c r="G245" s="282"/>
      <c r="H245" s="282"/>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row>
    <row r="246">
      <c r="A246" s="282"/>
      <c r="B246" s="283"/>
      <c r="C246" s="283"/>
      <c r="D246" s="283"/>
      <c r="E246" s="283"/>
      <c r="F246" s="283"/>
      <c r="G246" s="282"/>
      <c r="H246" s="282"/>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row>
    <row r="247">
      <c r="A247" s="282"/>
      <c r="B247" s="283"/>
      <c r="C247" s="283"/>
      <c r="D247" s="283"/>
      <c r="E247" s="283"/>
      <c r="F247" s="283"/>
      <c r="G247" s="282"/>
      <c r="H247" s="282"/>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row>
    <row r="248">
      <c r="A248" s="282"/>
      <c r="B248" s="283"/>
      <c r="C248" s="283"/>
      <c r="D248" s="283"/>
      <c r="E248" s="283"/>
      <c r="F248" s="283"/>
      <c r="G248" s="282"/>
      <c r="H248" s="282"/>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row>
    <row r="249">
      <c r="A249" s="282"/>
      <c r="B249" s="283"/>
      <c r="C249" s="283"/>
      <c r="D249" s="283"/>
      <c r="E249" s="283"/>
      <c r="F249" s="283"/>
      <c r="G249" s="282"/>
      <c r="H249" s="282"/>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row>
    <row r="250">
      <c r="A250" s="282"/>
      <c r="B250" s="283"/>
      <c r="C250" s="283"/>
      <c r="D250" s="283"/>
      <c r="E250" s="283"/>
      <c r="F250" s="283"/>
      <c r="G250" s="282"/>
      <c r="H250" s="282"/>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row>
    <row r="251">
      <c r="A251" s="282"/>
      <c r="B251" s="283"/>
      <c r="C251" s="283"/>
      <c r="D251" s="283"/>
      <c r="E251" s="283"/>
      <c r="F251" s="283"/>
      <c r="G251" s="282"/>
      <c r="H251" s="282"/>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row>
    <row r="252">
      <c r="A252" s="282"/>
      <c r="B252" s="283"/>
      <c r="C252" s="283"/>
      <c r="D252" s="283"/>
      <c r="E252" s="283"/>
      <c r="F252" s="283"/>
      <c r="G252" s="282"/>
      <c r="H252" s="282"/>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row>
    <row r="253">
      <c r="A253" s="282"/>
      <c r="B253" s="283"/>
      <c r="C253" s="283"/>
      <c r="D253" s="283"/>
      <c r="E253" s="283"/>
      <c r="F253" s="283"/>
      <c r="G253" s="282"/>
      <c r="H253" s="282"/>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row>
    <row r="254">
      <c r="A254" s="282"/>
      <c r="B254" s="283"/>
      <c r="C254" s="283"/>
      <c r="D254" s="283"/>
      <c r="E254" s="283"/>
      <c r="F254" s="283"/>
      <c r="G254" s="282"/>
      <c r="H254" s="282"/>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row>
    <row r="255">
      <c r="A255" s="282"/>
      <c r="B255" s="283"/>
      <c r="C255" s="283"/>
      <c r="D255" s="283"/>
      <c r="E255" s="283"/>
      <c r="F255" s="283"/>
      <c r="G255" s="282"/>
      <c r="H255" s="282"/>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row>
    <row r="256">
      <c r="A256" s="282"/>
      <c r="B256" s="283"/>
      <c r="C256" s="283"/>
      <c r="D256" s="283"/>
      <c r="E256" s="283"/>
      <c r="F256" s="283"/>
      <c r="G256" s="282"/>
      <c r="H256" s="282"/>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row>
    <row r="257">
      <c r="A257" s="282"/>
      <c r="B257" s="283"/>
      <c r="C257" s="283"/>
      <c r="D257" s="283"/>
      <c r="E257" s="283"/>
      <c r="F257" s="283"/>
      <c r="G257" s="282"/>
      <c r="H257" s="282"/>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row>
    <row r="258">
      <c r="A258" s="282"/>
      <c r="B258" s="283"/>
      <c r="C258" s="283"/>
      <c r="D258" s="283"/>
      <c r="E258" s="283"/>
      <c r="F258" s="283"/>
      <c r="G258" s="282"/>
      <c r="H258" s="282"/>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row>
    <row r="259">
      <c r="A259" s="282"/>
      <c r="B259" s="283"/>
      <c r="C259" s="283"/>
      <c r="D259" s="283"/>
      <c r="E259" s="283"/>
      <c r="F259" s="283"/>
      <c r="G259" s="282"/>
      <c r="H259" s="282"/>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row>
    <row r="260">
      <c r="A260" s="282"/>
      <c r="B260" s="283"/>
      <c r="C260" s="283"/>
      <c r="D260" s="283"/>
      <c r="E260" s="283"/>
      <c r="F260" s="283"/>
      <c r="G260" s="282"/>
      <c r="H260" s="282"/>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row>
    <row r="261">
      <c r="A261" s="282"/>
      <c r="B261" s="283"/>
      <c r="C261" s="283"/>
      <c r="D261" s="283"/>
      <c r="E261" s="283"/>
      <c r="F261" s="283"/>
      <c r="G261" s="282"/>
      <c r="H261" s="282"/>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row>
    <row r="262">
      <c r="A262" s="282"/>
      <c r="B262" s="283"/>
      <c r="C262" s="283"/>
      <c r="D262" s="283"/>
      <c r="E262" s="283"/>
      <c r="F262" s="283"/>
      <c r="G262" s="282"/>
      <c r="H262" s="282"/>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row>
    <row r="263">
      <c r="A263" s="282"/>
      <c r="B263" s="283"/>
      <c r="C263" s="283"/>
      <c r="D263" s="283"/>
      <c r="E263" s="283"/>
      <c r="F263" s="283"/>
      <c r="G263" s="282"/>
      <c r="H263" s="282"/>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row>
    <row r="264">
      <c r="A264" s="282"/>
      <c r="B264" s="283"/>
      <c r="C264" s="283"/>
      <c r="D264" s="283"/>
      <c r="E264" s="283"/>
      <c r="F264" s="283"/>
      <c r="G264" s="282"/>
      <c r="H264" s="282"/>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row>
    <row r="265">
      <c r="A265" s="282"/>
      <c r="B265" s="283"/>
      <c r="C265" s="283"/>
      <c r="D265" s="283"/>
      <c r="E265" s="283"/>
      <c r="F265" s="283"/>
      <c r="G265" s="282"/>
      <c r="H265" s="282"/>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row>
    <row r="266">
      <c r="A266" s="282"/>
      <c r="B266" s="283"/>
      <c r="C266" s="283"/>
      <c r="D266" s="283"/>
      <c r="E266" s="283"/>
      <c r="F266" s="283"/>
      <c r="G266" s="282"/>
      <c r="H266" s="282"/>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row>
    <row r="267">
      <c r="A267" s="282"/>
      <c r="B267" s="283"/>
      <c r="C267" s="283"/>
      <c r="D267" s="283"/>
      <c r="E267" s="283"/>
      <c r="F267" s="283"/>
      <c r="G267" s="282"/>
      <c r="H267" s="282"/>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row>
    <row r="268">
      <c r="A268" s="282"/>
      <c r="B268" s="283"/>
      <c r="C268" s="283"/>
      <c r="D268" s="283"/>
      <c r="E268" s="283"/>
      <c r="F268" s="283"/>
      <c r="G268" s="282"/>
      <c r="H268" s="282"/>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row>
    <row r="269">
      <c r="A269" s="282"/>
      <c r="B269" s="283"/>
      <c r="C269" s="283"/>
      <c r="D269" s="283"/>
      <c r="E269" s="283"/>
      <c r="F269" s="283"/>
      <c r="G269" s="282"/>
      <c r="H269" s="282"/>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row>
    <row r="270">
      <c r="A270" s="282"/>
      <c r="B270" s="283"/>
      <c r="C270" s="283"/>
      <c r="D270" s="283"/>
      <c r="E270" s="283"/>
      <c r="F270" s="283"/>
      <c r="G270" s="282"/>
      <c r="H270" s="282"/>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row>
    <row r="271">
      <c r="A271" s="282"/>
      <c r="B271" s="283"/>
      <c r="C271" s="283"/>
      <c r="D271" s="283"/>
      <c r="E271" s="283"/>
      <c r="F271" s="283"/>
      <c r="G271" s="282"/>
      <c r="H271" s="282"/>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row>
    <row r="272">
      <c r="A272" s="282"/>
      <c r="B272" s="283"/>
      <c r="C272" s="283"/>
      <c r="D272" s="283"/>
      <c r="E272" s="283"/>
      <c r="F272" s="283"/>
      <c r="G272" s="282"/>
      <c r="H272" s="282"/>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row>
    <row r="273">
      <c r="A273" s="282"/>
      <c r="B273" s="283"/>
      <c r="C273" s="283"/>
      <c r="D273" s="283"/>
      <c r="E273" s="283"/>
      <c r="F273" s="283"/>
      <c r="G273" s="282"/>
      <c r="H273" s="282"/>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row>
    <row r="274">
      <c r="A274" s="282"/>
      <c r="B274" s="283"/>
      <c r="C274" s="283"/>
      <c r="D274" s="283"/>
      <c r="E274" s="283"/>
      <c r="F274" s="283"/>
      <c r="G274" s="282"/>
      <c r="H274" s="282"/>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row>
    <row r="275">
      <c r="A275" s="282"/>
      <c r="B275" s="283"/>
      <c r="C275" s="283"/>
      <c r="D275" s="283"/>
      <c r="E275" s="283"/>
      <c r="F275" s="283"/>
      <c r="G275" s="282"/>
      <c r="H275" s="282"/>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row>
    <row r="276">
      <c r="A276" s="282"/>
      <c r="B276" s="283"/>
      <c r="C276" s="283"/>
      <c r="D276" s="283"/>
      <c r="E276" s="283"/>
      <c r="F276" s="283"/>
      <c r="G276" s="282"/>
      <c r="H276" s="282"/>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row>
    <row r="277">
      <c r="A277" s="282"/>
      <c r="B277" s="283"/>
      <c r="C277" s="283"/>
      <c r="D277" s="283"/>
      <c r="E277" s="283"/>
      <c r="F277" s="283"/>
      <c r="G277" s="282"/>
      <c r="H277" s="282"/>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row>
    <row r="278">
      <c r="A278" s="282"/>
      <c r="B278" s="283"/>
      <c r="C278" s="283"/>
      <c r="D278" s="283"/>
      <c r="E278" s="283"/>
      <c r="F278" s="283"/>
      <c r="G278" s="282"/>
      <c r="H278" s="282"/>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row>
    <row r="279">
      <c r="A279" s="282"/>
      <c r="B279" s="283"/>
      <c r="C279" s="283"/>
      <c r="D279" s="283"/>
      <c r="E279" s="283"/>
      <c r="F279" s="283"/>
      <c r="G279" s="282"/>
      <c r="H279" s="282"/>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row>
    <row r="280">
      <c r="A280" s="282"/>
      <c r="B280" s="283"/>
      <c r="C280" s="283"/>
      <c r="D280" s="283"/>
      <c r="E280" s="283"/>
      <c r="F280" s="283"/>
      <c r="G280" s="282"/>
      <c r="H280" s="282"/>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row>
    <row r="281">
      <c r="A281" s="282"/>
      <c r="B281" s="283"/>
      <c r="C281" s="283"/>
      <c r="D281" s="283"/>
      <c r="E281" s="283"/>
      <c r="F281" s="283"/>
      <c r="G281" s="282"/>
      <c r="H281" s="282"/>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row>
    <row r="282">
      <c r="A282" s="282"/>
      <c r="B282" s="283"/>
      <c r="C282" s="283"/>
      <c r="D282" s="283"/>
      <c r="E282" s="283"/>
      <c r="F282" s="283"/>
      <c r="G282" s="282"/>
      <c r="H282" s="282"/>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row>
    <row r="283">
      <c r="A283" s="282"/>
      <c r="B283" s="283"/>
      <c r="C283" s="283"/>
      <c r="D283" s="283"/>
      <c r="E283" s="283"/>
      <c r="F283" s="283"/>
      <c r="G283" s="282"/>
      <c r="H283" s="282"/>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row>
    <row r="284">
      <c r="A284" s="282"/>
      <c r="B284" s="283"/>
      <c r="C284" s="283"/>
      <c r="D284" s="283"/>
      <c r="E284" s="283"/>
      <c r="F284" s="283"/>
      <c r="G284" s="282"/>
      <c r="H284" s="282"/>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row>
    <row r="285">
      <c r="A285" s="282"/>
      <c r="B285" s="283"/>
      <c r="C285" s="283"/>
      <c r="D285" s="283"/>
      <c r="E285" s="283"/>
      <c r="F285" s="283"/>
      <c r="G285" s="282"/>
      <c r="H285" s="282"/>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row>
    <row r="286">
      <c r="A286" s="282"/>
      <c r="B286" s="283"/>
      <c r="C286" s="283"/>
      <c r="D286" s="283"/>
      <c r="E286" s="283"/>
      <c r="F286" s="283"/>
      <c r="G286" s="282"/>
      <c r="H286" s="282"/>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row>
    <row r="287">
      <c r="A287" s="282"/>
      <c r="B287" s="283"/>
      <c r="C287" s="283"/>
      <c r="D287" s="283"/>
      <c r="E287" s="283"/>
      <c r="F287" s="283"/>
      <c r="G287" s="282"/>
      <c r="H287" s="282"/>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row>
    <row r="288">
      <c r="A288" s="282"/>
      <c r="B288" s="283"/>
      <c r="C288" s="283"/>
      <c r="D288" s="283"/>
      <c r="E288" s="283"/>
      <c r="F288" s="283"/>
      <c r="G288" s="282"/>
      <c r="H288" s="282"/>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row>
    <row r="289">
      <c r="A289" s="282"/>
      <c r="B289" s="283"/>
      <c r="C289" s="283"/>
      <c r="D289" s="283"/>
      <c r="E289" s="283"/>
      <c r="F289" s="283"/>
      <c r="G289" s="282"/>
      <c r="H289" s="282"/>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row>
    <row r="290">
      <c r="A290" s="282"/>
      <c r="B290" s="283"/>
      <c r="C290" s="283"/>
      <c r="D290" s="283"/>
      <c r="E290" s="283"/>
      <c r="F290" s="283"/>
      <c r="G290" s="282"/>
      <c r="H290" s="282"/>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row>
    <row r="291">
      <c r="A291" s="282"/>
      <c r="B291" s="283"/>
      <c r="C291" s="283"/>
      <c r="D291" s="283"/>
      <c r="E291" s="283"/>
      <c r="F291" s="283"/>
      <c r="G291" s="282"/>
      <c r="H291" s="282"/>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row>
    <row r="292">
      <c r="A292" s="282"/>
      <c r="B292" s="283"/>
      <c r="C292" s="283"/>
      <c r="D292" s="283"/>
      <c r="E292" s="283"/>
      <c r="F292" s="283"/>
      <c r="G292" s="282"/>
      <c r="H292" s="282"/>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row>
    <row r="293">
      <c r="A293" s="282"/>
      <c r="B293" s="283"/>
      <c r="C293" s="283"/>
      <c r="D293" s="283"/>
      <c r="E293" s="283"/>
      <c r="F293" s="283"/>
      <c r="G293" s="282"/>
      <c r="H293" s="282"/>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row>
    <row r="294">
      <c r="A294" s="282"/>
      <c r="B294" s="283"/>
      <c r="C294" s="283"/>
      <c r="D294" s="283"/>
      <c r="E294" s="283"/>
      <c r="F294" s="283"/>
      <c r="G294" s="282"/>
      <c r="H294" s="282"/>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row>
    <row r="295">
      <c r="A295" s="282"/>
      <c r="B295" s="283"/>
      <c r="C295" s="283"/>
      <c r="D295" s="283"/>
      <c r="E295" s="283"/>
      <c r="F295" s="283"/>
      <c r="G295" s="282"/>
      <c r="H295" s="282"/>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row>
    <row r="296">
      <c r="A296" s="282"/>
      <c r="B296" s="283"/>
      <c r="C296" s="283"/>
      <c r="D296" s="283"/>
      <c r="E296" s="283"/>
      <c r="F296" s="283"/>
      <c r="G296" s="282"/>
      <c r="H296" s="282"/>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row>
    <row r="297">
      <c r="A297" s="282"/>
      <c r="B297" s="283"/>
      <c r="C297" s="283"/>
      <c r="D297" s="283"/>
      <c r="E297" s="283"/>
      <c r="F297" s="283"/>
      <c r="G297" s="282"/>
      <c r="H297" s="282"/>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row>
    <row r="298">
      <c r="A298" s="282"/>
      <c r="B298" s="283"/>
      <c r="C298" s="283"/>
      <c r="D298" s="283"/>
      <c r="E298" s="283"/>
      <c r="F298" s="283"/>
      <c r="G298" s="282"/>
      <c r="H298" s="282"/>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row>
    <row r="299">
      <c r="A299" s="282"/>
      <c r="B299" s="283"/>
      <c r="C299" s="283"/>
      <c r="D299" s="283"/>
      <c r="E299" s="283"/>
      <c r="F299" s="283"/>
      <c r="G299" s="282"/>
      <c r="H299" s="282"/>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row>
    <row r="300">
      <c r="A300" s="282"/>
      <c r="B300" s="283"/>
      <c r="C300" s="283"/>
      <c r="D300" s="283"/>
      <c r="E300" s="283"/>
      <c r="F300" s="283"/>
      <c r="G300" s="282"/>
      <c r="H300" s="282"/>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row>
    <row r="301">
      <c r="A301" s="282"/>
      <c r="B301" s="283"/>
      <c r="C301" s="283"/>
      <c r="D301" s="283"/>
      <c r="E301" s="283"/>
      <c r="F301" s="283"/>
      <c r="G301" s="282"/>
      <c r="H301" s="282"/>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row>
    <row r="302">
      <c r="A302" s="282"/>
      <c r="B302" s="283"/>
      <c r="C302" s="283"/>
      <c r="D302" s="283"/>
      <c r="E302" s="283"/>
      <c r="F302" s="283"/>
      <c r="G302" s="282"/>
      <c r="H302" s="282"/>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row>
    <row r="303">
      <c r="A303" s="282"/>
      <c r="B303" s="283"/>
      <c r="C303" s="283"/>
      <c r="D303" s="283"/>
      <c r="E303" s="283"/>
      <c r="F303" s="283"/>
      <c r="G303" s="282"/>
      <c r="H303" s="282"/>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row>
    <row r="304">
      <c r="A304" s="282"/>
      <c r="B304" s="283"/>
      <c r="C304" s="283"/>
      <c r="D304" s="283"/>
      <c r="E304" s="283"/>
      <c r="F304" s="283"/>
      <c r="G304" s="282"/>
      <c r="H304" s="282"/>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row>
    <row r="305">
      <c r="A305" s="282"/>
      <c r="B305" s="283"/>
      <c r="C305" s="283"/>
      <c r="D305" s="283"/>
      <c r="E305" s="283"/>
      <c r="F305" s="283"/>
      <c r="G305" s="282"/>
      <c r="H305" s="282"/>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row>
    <row r="306">
      <c r="A306" s="282"/>
      <c r="B306" s="283"/>
      <c r="C306" s="283"/>
      <c r="D306" s="283"/>
      <c r="E306" s="283"/>
      <c r="F306" s="283"/>
      <c r="G306" s="282"/>
      <c r="H306" s="282"/>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row>
    <row r="307">
      <c r="A307" s="282"/>
      <c r="B307" s="283"/>
      <c r="C307" s="283"/>
      <c r="D307" s="283"/>
      <c r="E307" s="283"/>
      <c r="F307" s="283"/>
      <c r="G307" s="282"/>
      <c r="H307" s="282"/>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row>
    <row r="308">
      <c r="A308" s="282"/>
      <c r="B308" s="283"/>
      <c r="C308" s="283"/>
      <c r="D308" s="283"/>
      <c r="E308" s="283"/>
      <c r="F308" s="283"/>
      <c r="G308" s="282"/>
      <c r="H308" s="282"/>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row>
    <row r="309">
      <c r="A309" s="282"/>
      <c r="B309" s="283"/>
      <c r="C309" s="283"/>
      <c r="D309" s="283"/>
      <c r="E309" s="283"/>
      <c r="F309" s="283"/>
      <c r="G309" s="282"/>
      <c r="H309" s="282"/>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row>
    <row r="310">
      <c r="A310" s="282"/>
      <c r="B310" s="283"/>
      <c r="C310" s="283"/>
      <c r="D310" s="283"/>
      <c r="E310" s="283"/>
      <c r="F310" s="283"/>
      <c r="G310" s="282"/>
      <c r="H310" s="282"/>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row>
    <row r="311">
      <c r="A311" s="282"/>
      <c r="B311" s="283"/>
      <c r="C311" s="283"/>
      <c r="D311" s="283"/>
      <c r="E311" s="283"/>
      <c r="F311" s="283"/>
      <c r="G311" s="282"/>
      <c r="H311" s="282"/>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row>
    <row r="312">
      <c r="A312" s="282"/>
      <c r="B312" s="283"/>
      <c r="C312" s="283"/>
      <c r="D312" s="283"/>
      <c r="E312" s="283"/>
      <c r="F312" s="283"/>
      <c r="G312" s="282"/>
      <c r="H312" s="282"/>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row>
    <row r="313">
      <c r="A313" s="282"/>
      <c r="B313" s="283"/>
      <c r="C313" s="283"/>
      <c r="D313" s="283"/>
      <c r="E313" s="283"/>
      <c r="F313" s="283"/>
      <c r="G313" s="282"/>
      <c r="H313" s="282"/>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row>
    <row r="314">
      <c r="A314" s="282"/>
      <c r="B314" s="283"/>
      <c r="C314" s="283"/>
      <c r="D314" s="283"/>
      <c r="E314" s="283"/>
      <c r="F314" s="283"/>
      <c r="G314" s="282"/>
      <c r="H314" s="282"/>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row>
    <row r="315">
      <c r="A315" s="282"/>
      <c r="B315" s="283"/>
      <c r="C315" s="283"/>
      <c r="D315" s="283"/>
      <c r="E315" s="283"/>
      <c r="F315" s="283"/>
      <c r="G315" s="282"/>
      <c r="H315" s="282"/>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row>
    <row r="316">
      <c r="A316" s="282"/>
      <c r="B316" s="283"/>
      <c r="C316" s="283"/>
      <c r="D316" s="283"/>
      <c r="E316" s="283"/>
      <c r="F316" s="283"/>
      <c r="G316" s="282"/>
      <c r="H316" s="282"/>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row>
    <row r="317">
      <c r="A317" s="282"/>
      <c r="B317" s="283"/>
      <c r="C317" s="283"/>
      <c r="D317" s="283"/>
      <c r="E317" s="283"/>
      <c r="F317" s="283"/>
      <c r="G317" s="282"/>
      <c r="H317" s="282"/>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row>
    <row r="318">
      <c r="A318" s="282"/>
      <c r="B318" s="283"/>
      <c r="C318" s="283"/>
      <c r="D318" s="283"/>
      <c r="E318" s="283"/>
      <c r="F318" s="283"/>
      <c r="G318" s="282"/>
      <c r="H318" s="282"/>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row>
    <row r="319">
      <c r="A319" s="282"/>
      <c r="B319" s="283"/>
      <c r="C319" s="283"/>
      <c r="D319" s="283"/>
      <c r="E319" s="283"/>
      <c r="F319" s="283"/>
      <c r="G319" s="282"/>
      <c r="H319" s="282"/>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row>
    <row r="320">
      <c r="A320" s="282"/>
      <c r="B320" s="283"/>
      <c r="C320" s="283"/>
      <c r="D320" s="283"/>
      <c r="E320" s="283"/>
      <c r="F320" s="283"/>
      <c r="G320" s="282"/>
      <c r="H320" s="282"/>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row>
    <row r="321">
      <c r="A321" s="282"/>
      <c r="B321" s="283"/>
      <c r="C321" s="283"/>
      <c r="D321" s="283"/>
      <c r="E321" s="283"/>
      <c r="F321" s="283"/>
      <c r="G321" s="282"/>
      <c r="H321" s="282"/>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row>
    <row r="322">
      <c r="A322" s="282"/>
      <c r="B322" s="283"/>
      <c r="C322" s="283"/>
      <c r="D322" s="283"/>
      <c r="E322" s="283"/>
      <c r="F322" s="283"/>
      <c r="G322" s="282"/>
      <c r="H322" s="282"/>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row>
    <row r="323">
      <c r="A323" s="282"/>
      <c r="B323" s="283"/>
      <c r="C323" s="283"/>
      <c r="D323" s="283"/>
      <c r="E323" s="283"/>
      <c r="F323" s="283"/>
      <c r="G323" s="282"/>
      <c r="H323" s="282"/>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row>
    <row r="324">
      <c r="A324" s="282"/>
      <c r="B324" s="283"/>
      <c r="C324" s="283"/>
      <c r="D324" s="283"/>
      <c r="E324" s="283"/>
      <c r="F324" s="283"/>
      <c r="G324" s="282"/>
      <c r="H324" s="282"/>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row>
    <row r="325">
      <c r="A325" s="282"/>
      <c r="B325" s="283"/>
      <c r="C325" s="283"/>
      <c r="D325" s="283"/>
      <c r="E325" s="283"/>
      <c r="F325" s="283"/>
      <c r="G325" s="282"/>
      <c r="H325" s="282"/>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row>
    <row r="326">
      <c r="A326" s="282"/>
      <c r="B326" s="283"/>
      <c r="C326" s="283"/>
      <c r="D326" s="283"/>
      <c r="E326" s="283"/>
      <c r="F326" s="283"/>
      <c r="G326" s="282"/>
      <c r="H326" s="282"/>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row>
    <row r="327">
      <c r="A327" s="282"/>
      <c r="B327" s="283"/>
      <c r="C327" s="283"/>
      <c r="D327" s="283"/>
      <c r="E327" s="283"/>
      <c r="F327" s="283"/>
      <c r="G327" s="282"/>
      <c r="H327" s="282"/>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row>
    <row r="328">
      <c r="A328" s="282"/>
      <c r="B328" s="283"/>
      <c r="C328" s="283"/>
      <c r="D328" s="283"/>
      <c r="E328" s="283"/>
      <c r="F328" s="283"/>
      <c r="G328" s="282"/>
      <c r="H328" s="282"/>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row>
    <row r="329">
      <c r="A329" s="282"/>
      <c r="B329" s="283"/>
      <c r="C329" s="283"/>
      <c r="D329" s="283"/>
      <c r="E329" s="283"/>
      <c r="F329" s="283"/>
      <c r="G329" s="282"/>
      <c r="H329" s="282"/>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row>
    <row r="330">
      <c r="A330" s="282"/>
      <c r="B330" s="283"/>
      <c r="C330" s="283"/>
      <c r="D330" s="283"/>
      <c r="E330" s="283"/>
      <c r="F330" s="283"/>
      <c r="G330" s="282"/>
      <c r="H330" s="282"/>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row>
    <row r="331">
      <c r="A331" s="282"/>
      <c r="B331" s="283"/>
      <c r="C331" s="283"/>
      <c r="D331" s="283"/>
      <c r="E331" s="283"/>
      <c r="F331" s="283"/>
      <c r="G331" s="282"/>
      <c r="H331" s="282"/>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row>
    <row r="332">
      <c r="A332" s="282"/>
      <c r="B332" s="283"/>
      <c r="C332" s="283"/>
      <c r="D332" s="283"/>
      <c r="E332" s="283"/>
      <c r="F332" s="283"/>
      <c r="G332" s="282"/>
      <c r="H332" s="282"/>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row>
    <row r="333">
      <c r="A333" s="282"/>
      <c r="B333" s="283"/>
      <c r="C333" s="283"/>
      <c r="D333" s="283"/>
      <c r="E333" s="283"/>
      <c r="F333" s="283"/>
      <c r="G333" s="282"/>
      <c r="H333" s="282"/>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row>
    <row r="334">
      <c r="A334" s="282"/>
      <c r="B334" s="283"/>
      <c r="C334" s="283"/>
      <c r="D334" s="283"/>
      <c r="E334" s="283"/>
      <c r="F334" s="283"/>
      <c r="G334" s="282"/>
      <c r="H334" s="282"/>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row>
    <row r="335">
      <c r="A335" s="282"/>
      <c r="B335" s="283"/>
      <c r="C335" s="283"/>
      <c r="D335" s="283"/>
      <c r="E335" s="283"/>
      <c r="F335" s="283"/>
      <c r="G335" s="282"/>
      <c r="H335" s="282"/>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row>
    <row r="336">
      <c r="A336" s="282"/>
      <c r="B336" s="283"/>
      <c r="C336" s="283"/>
      <c r="D336" s="283"/>
      <c r="E336" s="283"/>
      <c r="F336" s="283"/>
      <c r="G336" s="282"/>
      <c r="H336" s="282"/>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row>
    <row r="337">
      <c r="A337" s="282"/>
      <c r="B337" s="283"/>
      <c r="C337" s="283"/>
      <c r="D337" s="283"/>
      <c r="E337" s="283"/>
      <c r="F337" s="283"/>
      <c r="G337" s="282"/>
      <c r="H337" s="282"/>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row>
    <row r="338">
      <c r="A338" s="282"/>
      <c r="B338" s="283"/>
      <c r="C338" s="283"/>
      <c r="D338" s="283"/>
      <c r="E338" s="283"/>
      <c r="F338" s="283"/>
      <c r="G338" s="282"/>
      <c r="H338" s="282"/>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row>
    <row r="339">
      <c r="A339" s="282"/>
      <c r="B339" s="283"/>
      <c r="C339" s="283"/>
      <c r="D339" s="283"/>
      <c r="E339" s="283"/>
      <c r="F339" s="283"/>
      <c r="G339" s="282"/>
      <c r="H339" s="282"/>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row>
    <row r="340">
      <c r="A340" s="282"/>
      <c r="B340" s="283"/>
      <c r="C340" s="283"/>
      <c r="D340" s="283"/>
      <c r="E340" s="283"/>
      <c r="F340" s="283"/>
      <c r="G340" s="282"/>
      <c r="H340" s="282"/>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row>
    <row r="341">
      <c r="A341" s="282"/>
      <c r="B341" s="283"/>
      <c r="C341" s="283"/>
      <c r="D341" s="283"/>
      <c r="E341" s="283"/>
      <c r="F341" s="283"/>
      <c r="G341" s="282"/>
      <c r="H341" s="282"/>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row>
    <row r="342">
      <c r="A342" s="282"/>
      <c r="B342" s="283"/>
      <c r="C342" s="283"/>
      <c r="D342" s="283"/>
      <c r="E342" s="283"/>
      <c r="F342" s="283"/>
      <c r="G342" s="282"/>
      <c r="H342" s="282"/>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row>
    <row r="343">
      <c r="A343" s="282"/>
      <c r="B343" s="283"/>
      <c r="C343" s="283"/>
      <c r="D343" s="283"/>
      <c r="E343" s="283"/>
      <c r="F343" s="283"/>
      <c r="G343" s="282"/>
      <c r="H343" s="282"/>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row>
    <row r="344">
      <c r="A344" s="282"/>
      <c r="B344" s="283"/>
      <c r="C344" s="283"/>
      <c r="D344" s="283"/>
      <c r="E344" s="283"/>
      <c r="F344" s="283"/>
      <c r="G344" s="282"/>
      <c r="H344" s="282"/>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row>
    <row r="345">
      <c r="A345" s="282"/>
      <c r="B345" s="283"/>
      <c r="C345" s="283"/>
      <c r="D345" s="283"/>
      <c r="E345" s="283"/>
      <c r="F345" s="283"/>
      <c r="G345" s="282"/>
      <c r="H345" s="282"/>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row>
    <row r="346">
      <c r="A346" s="282"/>
      <c r="B346" s="283"/>
      <c r="C346" s="283"/>
      <c r="D346" s="283"/>
      <c r="E346" s="283"/>
      <c r="F346" s="283"/>
      <c r="G346" s="282"/>
      <c r="H346" s="282"/>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row>
    <row r="347">
      <c r="A347" s="282"/>
      <c r="B347" s="283"/>
      <c r="C347" s="283"/>
      <c r="D347" s="283"/>
      <c r="E347" s="283"/>
      <c r="F347" s="283"/>
      <c r="G347" s="282"/>
      <c r="H347" s="282"/>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row>
    <row r="348">
      <c r="A348" s="282"/>
      <c r="B348" s="283"/>
      <c r="C348" s="283"/>
      <c r="D348" s="283"/>
      <c r="E348" s="283"/>
      <c r="F348" s="283"/>
      <c r="G348" s="282"/>
      <c r="H348" s="282"/>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row>
    <row r="349">
      <c r="A349" s="282"/>
      <c r="B349" s="283"/>
      <c r="C349" s="283"/>
      <c r="D349" s="283"/>
      <c r="E349" s="283"/>
      <c r="F349" s="283"/>
      <c r="G349" s="282"/>
      <c r="H349" s="282"/>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row>
    <row r="350">
      <c r="A350" s="282"/>
      <c r="B350" s="283"/>
      <c r="C350" s="283"/>
      <c r="D350" s="283"/>
      <c r="E350" s="283"/>
      <c r="F350" s="283"/>
      <c r="G350" s="282"/>
      <c r="H350" s="282"/>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row>
    <row r="351">
      <c r="A351" s="282"/>
      <c r="B351" s="283"/>
      <c r="C351" s="283"/>
      <c r="D351" s="283"/>
      <c r="E351" s="283"/>
      <c r="F351" s="283"/>
      <c r="G351" s="282"/>
      <c r="H351" s="282"/>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row>
    <row r="352">
      <c r="A352" s="282"/>
      <c r="B352" s="283"/>
      <c r="C352" s="283"/>
      <c r="D352" s="283"/>
      <c r="E352" s="283"/>
      <c r="F352" s="283"/>
      <c r="G352" s="282"/>
      <c r="H352" s="282"/>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row>
    <row r="353">
      <c r="A353" s="282"/>
      <c r="B353" s="283"/>
      <c r="C353" s="283"/>
      <c r="D353" s="283"/>
      <c r="E353" s="283"/>
      <c r="F353" s="283"/>
      <c r="G353" s="282"/>
      <c r="H353" s="282"/>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row>
    <row r="354">
      <c r="A354" s="282"/>
      <c r="B354" s="283"/>
      <c r="C354" s="283"/>
      <c r="D354" s="283"/>
      <c r="E354" s="283"/>
      <c r="F354" s="283"/>
      <c r="G354" s="282"/>
      <c r="H354" s="282"/>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row>
    <row r="355">
      <c r="A355" s="282"/>
      <c r="B355" s="283"/>
      <c r="C355" s="283"/>
      <c r="D355" s="283"/>
      <c r="E355" s="283"/>
      <c r="F355" s="283"/>
      <c r="G355" s="282"/>
      <c r="H355" s="282"/>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row>
    <row r="356">
      <c r="A356" s="282"/>
      <c r="B356" s="283"/>
      <c r="C356" s="283"/>
      <c r="D356" s="283"/>
      <c r="E356" s="283"/>
      <c r="F356" s="283"/>
      <c r="G356" s="282"/>
      <c r="H356" s="282"/>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row>
    <row r="357">
      <c r="A357" s="282"/>
      <c r="B357" s="283"/>
      <c r="C357" s="283"/>
      <c r="D357" s="283"/>
      <c r="E357" s="283"/>
      <c r="F357" s="283"/>
      <c r="G357" s="282"/>
      <c r="H357" s="282"/>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row>
    <row r="358">
      <c r="A358" s="282"/>
      <c r="B358" s="283"/>
      <c r="C358" s="283"/>
      <c r="D358" s="283"/>
      <c r="E358" s="283"/>
      <c r="F358" s="283"/>
      <c r="G358" s="282"/>
      <c r="H358" s="282"/>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row>
    <row r="359">
      <c r="A359" s="282"/>
      <c r="B359" s="283"/>
      <c r="C359" s="283"/>
      <c r="D359" s="283"/>
      <c r="E359" s="283"/>
      <c r="F359" s="283"/>
      <c r="G359" s="282"/>
      <c r="H359" s="282"/>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row>
    <row r="360">
      <c r="A360" s="282"/>
      <c r="B360" s="283"/>
      <c r="C360" s="283"/>
      <c r="D360" s="283"/>
      <c r="E360" s="283"/>
      <c r="F360" s="283"/>
      <c r="G360" s="282"/>
      <c r="H360" s="282"/>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row>
    <row r="361">
      <c r="A361" s="282"/>
      <c r="B361" s="283"/>
      <c r="C361" s="283"/>
      <c r="D361" s="283"/>
      <c r="E361" s="283"/>
      <c r="F361" s="283"/>
      <c r="G361" s="282"/>
      <c r="H361" s="282"/>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row>
    <row r="362">
      <c r="A362" s="282"/>
      <c r="B362" s="283"/>
      <c r="C362" s="283"/>
      <c r="D362" s="283"/>
      <c r="E362" s="283"/>
      <c r="F362" s="283"/>
      <c r="G362" s="282"/>
      <c r="H362" s="282"/>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row>
    <row r="363">
      <c r="A363" s="282"/>
      <c r="B363" s="283"/>
      <c r="C363" s="283"/>
      <c r="D363" s="283"/>
      <c r="E363" s="283"/>
      <c r="F363" s="283"/>
      <c r="G363" s="282"/>
      <c r="H363" s="282"/>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row>
    <row r="364">
      <c r="A364" s="282"/>
      <c r="B364" s="283"/>
      <c r="C364" s="283"/>
      <c r="D364" s="283"/>
      <c r="E364" s="283"/>
      <c r="F364" s="283"/>
      <c r="G364" s="282"/>
      <c r="H364" s="282"/>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row>
    <row r="365">
      <c r="A365" s="282"/>
      <c r="B365" s="283"/>
      <c r="C365" s="283"/>
      <c r="D365" s="283"/>
      <c r="E365" s="283"/>
      <c r="F365" s="283"/>
      <c r="G365" s="282"/>
      <c r="H365" s="282"/>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row>
    <row r="366">
      <c r="A366" s="282"/>
      <c r="B366" s="283"/>
      <c r="C366" s="283"/>
      <c r="D366" s="283"/>
      <c r="E366" s="283"/>
      <c r="F366" s="283"/>
      <c r="G366" s="282"/>
      <c r="H366" s="282"/>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row>
    <row r="367">
      <c r="A367" s="282"/>
      <c r="B367" s="283"/>
      <c r="C367" s="283"/>
      <c r="D367" s="283"/>
      <c r="E367" s="283"/>
      <c r="F367" s="283"/>
      <c r="G367" s="282"/>
      <c r="H367" s="282"/>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row>
    <row r="368">
      <c r="A368" s="282"/>
      <c r="B368" s="283"/>
      <c r="C368" s="283"/>
      <c r="D368" s="283"/>
      <c r="E368" s="283"/>
      <c r="F368" s="283"/>
      <c r="G368" s="282"/>
      <c r="H368" s="282"/>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row>
    <row r="369">
      <c r="A369" s="282"/>
      <c r="B369" s="283"/>
      <c r="C369" s="283"/>
      <c r="D369" s="283"/>
      <c r="E369" s="283"/>
      <c r="F369" s="283"/>
      <c r="G369" s="282"/>
      <c r="H369" s="282"/>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row>
    <row r="370">
      <c r="A370" s="282"/>
      <c r="B370" s="283"/>
      <c r="C370" s="283"/>
      <c r="D370" s="283"/>
      <c r="E370" s="283"/>
      <c r="F370" s="283"/>
      <c r="G370" s="282"/>
      <c r="H370" s="282"/>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row>
    <row r="371">
      <c r="A371" s="282"/>
      <c r="B371" s="283"/>
      <c r="C371" s="283"/>
      <c r="D371" s="283"/>
      <c r="E371" s="283"/>
      <c r="F371" s="283"/>
      <c r="G371" s="282"/>
      <c r="H371" s="282"/>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row>
    <row r="372">
      <c r="A372" s="282"/>
      <c r="B372" s="283"/>
      <c r="C372" s="283"/>
      <c r="D372" s="283"/>
      <c r="E372" s="283"/>
      <c r="F372" s="283"/>
      <c r="G372" s="282"/>
      <c r="H372" s="282"/>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row>
    <row r="373">
      <c r="A373" s="282"/>
      <c r="B373" s="283"/>
      <c r="C373" s="283"/>
      <c r="D373" s="283"/>
      <c r="E373" s="283"/>
      <c r="F373" s="283"/>
      <c r="G373" s="282"/>
      <c r="H373" s="282"/>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row>
    <row r="374">
      <c r="A374" s="282"/>
      <c r="B374" s="283"/>
      <c r="C374" s="283"/>
      <c r="D374" s="283"/>
      <c r="E374" s="283"/>
      <c r="F374" s="283"/>
      <c r="G374" s="282"/>
      <c r="H374" s="282"/>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row>
    <row r="375">
      <c r="A375" s="282"/>
      <c r="B375" s="283"/>
      <c r="C375" s="283"/>
      <c r="D375" s="283"/>
      <c r="E375" s="283"/>
      <c r="F375" s="283"/>
      <c r="G375" s="282"/>
      <c r="H375" s="282"/>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row>
    <row r="376">
      <c r="A376" s="282"/>
      <c r="B376" s="283"/>
      <c r="C376" s="283"/>
      <c r="D376" s="283"/>
      <c r="E376" s="283"/>
      <c r="F376" s="283"/>
      <c r="G376" s="282"/>
      <c r="H376" s="282"/>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row>
    <row r="377">
      <c r="A377" s="282"/>
      <c r="B377" s="283"/>
      <c r="C377" s="283"/>
      <c r="D377" s="283"/>
      <c r="E377" s="283"/>
      <c r="F377" s="283"/>
      <c r="G377" s="282"/>
      <c r="H377" s="282"/>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row>
    <row r="378">
      <c r="A378" s="282"/>
      <c r="B378" s="283"/>
      <c r="C378" s="283"/>
      <c r="D378" s="283"/>
      <c r="E378" s="283"/>
      <c r="F378" s="283"/>
      <c r="G378" s="282"/>
      <c r="H378" s="282"/>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row>
    <row r="379">
      <c r="A379" s="282"/>
      <c r="B379" s="283"/>
      <c r="C379" s="283"/>
      <c r="D379" s="283"/>
      <c r="E379" s="283"/>
      <c r="F379" s="283"/>
      <c r="G379" s="282"/>
      <c r="H379" s="282"/>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row>
    <row r="380">
      <c r="A380" s="282"/>
      <c r="B380" s="283"/>
      <c r="C380" s="283"/>
      <c r="D380" s="283"/>
      <c r="E380" s="283"/>
      <c r="F380" s="283"/>
      <c r="G380" s="282"/>
      <c r="H380" s="282"/>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row>
    <row r="381">
      <c r="A381" s="282"/>
      <c r="B381" s="283"/>
      <c r="C381" s="283"/>
      <c r="D381" s="283"/>
      <c r="E381" s="283"/>
      <c r="F381" s="283"/>
      <c r="G381" s="282"/>
      <c r="H381" s="282"/>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row>
    <row r="382">
      <c r="A382" s="282"/>
      <c r="B382" s="283"/>
      <c r="C382" s="283"/>
      <c r="D382" s="283"/>
      <c r="E382" s="283"/>
      <c r="F382" s="283"/>
      <c r="G382" s="282"/>
      <c r="H382" s="282"/>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row>
    <row r="383">
      <c r="A383" s="282"/>
      <c r="B383" s="283"/>
      <c r="C383" s="283"/>
      <c r="D383" s="283"/>
      <c r="E383" s="283"/>
      <c r="F383" s="283"/>
      <c r="G383" s="282"/>
      <c r="H383" s="282"/>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row>
    <row r="384">
      <c r="A384" s="282"/>
      <c r="B384" s="283"/>
      <c r="C384" s="283"/>
      <c r="D384" s="283"/>
      <c r="E384" s="283"/>
      <c r="F384" s="283"/>
      <c r="G384" s="282"/>
      <c r="H384" s="282"/>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row>
    <row r="385">
      <c r="A385" s="282"/>
      <c r="B385" s="283"/>
      <c r="C385" s="283"/>
      <c r="D385" s="283"/>
      <c r="E385" s="283"/>
      <c r="F385" s="283"/>
      <c r="G385" s="282"/>
      <c r="H385" s="282"/>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row>
    <row r="386">
      <c r="A386" s="282"/>
      <c r="B386" s="283"/>
      <c r="C386" s="283"/>
      <c r="D386" s="283"/>
      <c r="E386" s="283"/>
      <c r="F386" s="283"/>
      <c r="G386" s="282"/>
      <c r="H386" s="282"/>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row>
    <row r="387">
      <c r="A387" s="282"/>
      <c r="B387" s="283"/>
      <c r="C387" s="283"/>
      <c r="D387" s="283"/>
      <c r="E387" s="283"/>
      <c r="F387" s="283"/>
      <c r="G387" s="282"/>
      <c r="H387" s="282"/>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row>
    <row r="388">
      <c r="A388" s="282"/>
      <c r="B388" s="283"/>
      <c r="C388" s="283"/>
      <c r="D388" s="283"/>
      <c r="E388" s="283"/>
      <c r="F388" s="283"/>
      <c r="G388" s="282"/>
      <c r="H388" s="282"/>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row>
    <row r="389">
      <c r="A389" s="282"/>
      <c r="B389" s="283"/>
      <c r="C389" s="283"/>
      <c r="D389" s="283"/>
      <c r="E389" s="283"/>
      <c r="F389" s="283"/>
      <c r="G389" s="282"/>
      <c r="H389" s="282"/>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row>
    <row r="390">
      <c r="A390" s="282"/>
      <c r="B390" s="283"/>
      <c r="C390" s="283"/>
      <c r="D390" s="283"/>
      <c r="E390" s="283"/>
      <c r="F390" s="283"/>
      <c r="G390" s="282"/>
      <c r="H390" s="282"/>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row>
    <row r="391">
      <c r="A391" s="282"/>
      <c r="B391" s="283"/>
      <c r="C391" s="283"/>
      <c r="D391" s="283"/>
      <c r="E391" s="283"/>
      <c r="F391" s="283"/>
      <c r="G391" s="282"/>
      <c r="H391" s="282"/>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row>
    <row r="392">
      <c r="A392" s="282"/>
      <c r="B392" s="283"/>
      <c r="C392" s="283"/>
      <c r="D392" s="283"/>
      <c r="E392" s="283"/>
      <c r="F392" s="283"/>
      <c r="G392" s="282"/>
      <c r="H392" s="282"/>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row>
    <row r="393">
      <c r="A393" s="282"/>
      <c r="B393" s="283"/>
      <c r="C393" s="283"/>
      <c r="D393" s="283"/>
      <c r="E393" s="283"/>
      <c r="F393" s="283"/>
      <c r="G393" s="282"/>
      <c r="H393" s="282"/>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row>
    <row r="394">
      <c r="A394" s="282"/>
      <c r="B394" s="283"/>
      <c r="C394" s="283"/>
      <c r="D394" s="283"/>
      <c r="E394" s="283"/>
      <c r="F394" s="283"/>
      <c r="G394" s="282"/>
      <c r="H394" s="282"/>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row>
    <row r="395">
      <c r="A395" s="282"/>
      <c r="B395" s="283"/>
      <c r="C395" s="283"/>
      <c r="D395" s="283"/>
      <c r="E395" s="283"/>
      <c r="F395" s="283"/>
      <c r="G395" s="282"/>
      <c r="H395" s="282"/>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row>
    <row r="396">
      <c r="A396" s="282"/>
      <c r="B396" s="283"/>
      <c r="C396" s="283"/>
      <c r="D396" s="283"/>
      <c r="E396" s="283"/>
      <c r="F396" s="283"/>
      <c r="G396" s="282"/>
      <c r="H396" s="282"/>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row>
    <row r="397">
      <c r="A397" s="282"/>
      <c r="B397" s="283"/>
      <c r="C397" s="283"/>
      <c r="D397" s="283"/>
      <c r="E397" s="283"/>
      <c r="F397" s="283"/>
      <c r="G397" s="282"/>
      <c r="H397" s="282"/>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row>
    <row r="398">
      <c r="A398" s="282"/>
      <c r="B398" s="283"/>
      <c r="C398" s="283"/>
      <c r="D398" s="283"/>
      <c r="E398" s="283"/>
      <c r="F398" s="283"/>
      <c r="G398" s="282"/>
      <c r="H398" s="282"/>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row>
    <row r="399">
      <c r="A399" s="282"/>
      <c r="B399" s="283"/>
      <c r="C399" s="283"/>
      <c r="D399" s="283"/>
      <c r="E399" s="283"/>
      <c r="F399" s="283"/>
      <c r="G399" s="282"/>
      <c r="H399" s="282"/>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row>
    <row r="400">
      <c r="A400" s="282"/>
      <c r="B400" s="283"/>
      <c r="C400" s="283"/>
      <c r="D400" s="283"/>
      <c r="E400" s="283"/>
      <c r="F400" s="283"/>
      <c r="G400" s="282"/>
      <c r="H400" s="282"/>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row>
    <row r="401">
      <c r="A401" s="282"/>
      <c r="B401" s="283"/>
      <c r="C401" s="283"/>
      <c r="D401" s="283"/>
      <c r="E401" s="283"/>
      <c r="F401" s="283"/>
      <c r="G401" s="282"/>
      <c r="H401" s="282"/>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row>
    <row r="402">
      <c r="A402" s="282"/>
      <c r="B402" s="283"/>
      <c r="C402" s="283"/>
      <c r="D402" s="283"/>
      <c r="E402" s="283"/>
      <c r="F402" s="283"/>
      <c r="G402" s="282"/>
      <c r="H402" s="282"/>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row>
    <row r="403">
      <c r="A403" s="282"/>
      <c r="B403" s="283"/>
      <c r="C403" s="283"/>
      <c r="D403" s="283"/>
      <c r="E403" s="283"/>
      <c r="F403" s="283"/>
      <c r="G403" s="282"/>
      <c r="H403" s="282"/>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row>
    <row r="404">
      <c r="A404" s="282"/>
      <c r="B404" s="283"/>
      <c r="C404" s="283"/>
      <c r="D404" s="283"/>
      <c r="E404" s="283"/>
      <c r="F404" s="283"/>
      <c r="G404" s="282"/>
      <c r="H404" s="282"/>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row>
    <row r="405">
      <c r="A405" s="282"/>
      <c r="B405" s="283"/>
      <c r="C405" s="283"/>
      <c r="D405" s="283"/>
      <c r="E405" s="283"/>
      <c r="F405" s="283"/>
      <c r="G405" s="282"/>
      <c r="H405" s="282"/>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row>
    <row r="406">
      <c r="A406" s="282"/>
      <c r="B406" s="283"/>
      <c r="C406" s="283"/>
      <c r="D406" s="283"/>
      <c r="E406" s="283"/>
      <c r="F406" s="283"/>
      <c r="G406" s="282"/>
      <c r="H406" s="282"/>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row>
    <row r="407">
      <c r="A407" s="282"/>
      <c r="B407" s="283"/>
      <c r="C407" s="283"/>
      <c r="D407" s="283"/>
      <c r="E407" s="283"/>
      <c r="F407" s="283"/>
      <c r="G407" s="282"/>
      <c r="H407" s="282"/>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row>
    <row r="408">
      <c r="A408" s="282"/>
      <c r="B408" s="283"/>
      <c r="C408" s="283"/>
      <c r="D408" s="283"/>
      <c r="E408" s="283"/>
      <c r="F408" s="283"/>
      <c r="G408" s="282"/>
      <c r="H408" s="282"/>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row>
    <row r="409">
      <c r="A409" s="282"/>
      <c r="B409" s="283"/>
      <c r="C409" s="283"/>
      <c r="D409" s="283"/>
      <c r="E409" s="283"/>
      <c r="F409" s="283"/>
      <c r="G409" s="282"/>
      <c r="H409" s="282"/>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row>
    <row r="410">
      <c r="A410" s="282"/>
      <c r="B410" s="283"/>
      <c r="C410" s="283"/>
      <c r="D410" s="283"/>
      <c r="E410" s="283"/>
      <c r="F410" s="283"/>
      <c r="G410" s="282"/>
      <c r="H410" s="282"/>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row>
    <row r="411">
      <c r="A411" s="282"/>
      <c r="B411" s="283"/>
      <c r="C411" s="283"/>
      <c r="D411" s="283"/>
      <c r="E411" s="283"/>
      <c r="F411" s="283"/>
      <c r="G411" s="282"/>
      <c r="H411" s="282"/>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row>
    <row r="412">
      <c r="A412" s="282"/>
      <c r="B412" s="283"/>
      <c r="C412" s="283"/>
      <c r="D412" s="283"/>
      <c r="E412" s="283"/>
      <c r="F412" s="283"/>
      <c r="G412" s="282"/>
      <c r="H412" s="282"/>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row>
    <row r="413">
      <c r="A413" s="282"/>
      <c r="B413" s="283"/>
      <c r="C413" s="283"/>
      <c r="D413" s="283"/>
      <c r="E413" s="283"/>
      <c r="F413" s="283"/>
      <c r="G413" s="282"/>
      <c r="H413" s="282"/>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row>
    <row r="414">
      <c r="A414" s="282"/>
      <c r="B414" s="283"/>
      <c r="C414" s="283"/>
      <c r="D414" s="283"/>
      <c r="E414" s="283"/>
      <c r="F414" s="283"/>
      <c r="G414" s="282"/>
      <c r="H414" s="282"/>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row>
    <row r="415">
      <c r="A415" s="282"/>
      <c r="B415" s="283"/>
      <c r="C415" s="283"/>
      <c r="D415" s="283"/>
      <c r="E415" s="283"/>
      <c r="F415" s="283"/>
      <c r="G415" s="282"/>
      <c r="H415" s="282"/>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row>
    <row r="416">
      <c r="A416" s="282"/>
      <c r="B416" s="283"/>
      <c r="C416" s="283"/>
      <c r="D416" s="283"/>
      <c r="E416" s="283"/>
      <c r="F416" s="283"/>
      <c r="G416" s="282"/>
      <c r="H416" s="282"/>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row>
    <row r="417">
      <c r="A417" s="282"/>
      <c r="B417" s="283"/>
      <c r="C417" s="283"/>
      <c r="D417" s="283"/>
      <c r="E417" s="283"/>
      <c r="F417" s="283"/>
      <c r="G417" s="282"/>
      <c r="H417" s="282"/>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row>
    <row r="418">
      <c r="A418" s="282"/>
      <c r="B418" s="283"/>
      <c r="C418" s="283"/>
      <c r="D418" s="283"/>
      <c r="E418" s="283"/>
      <c r="F418" s="283"/>
      <c r="G418" s="282"/>
      <c r="H418" s="282"/>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row>
    <row r="419">
      <c r="A419" s="282"/>
      <c r="B419" s="283"/>
      <c r="C419" s="283"/>
      <c r="D419" s="283"/>
      <c r="E419" s="283"/>
      <c r="F419" s="283"/>
      <c r="G419" s="282"/>
      <c r="H419" s="282"/>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row>
    <row r="420">
      <c r="A420" s="282"/>
      <c r="B420" s="283"/>
      <c r="C420" s="283"/>
      <c r="D420" s="283"/>
      <c r="E420" s="283"/>
      <c r="F420" s="283"/>
      <c r="G420" s="282"/>
      <c r="H420" s="282"/>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row>
    <row r="421">
      <c r="A421" s="282"/>
      <c r="B421" s="283"/>
      <c r="C421" s="283"/>
      <c r="D421" s="283"/>
      <c r="E421" s="283"/>
      <c r="F421" s="283"/>
      <c r="G421" s="282"/>
      <c r="H421" s="282"/>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row>
    <row r="422">
      <c r="A422" s="282"/>
      <c r="B422" s="283"/>
      <c r="C422" s="283"/>
      <c r="D422" s="283"/>
      <c r="E422" s="283"/>
      <c r="F422" s="283"/>
      <c r="G422" s="282"/>
      <c r="H422" s="282"/>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row>
    <row r="423">
      <c r="A423" s="282"/>
      <c r="B423" s="283"/>
      <c r="C423" s="283"/>
      <c r="D423" s="283"/>
      <c r="E423" s="283"/>
      <c r="F423" s="283"/>
      <c r="G423" s="282"/>
      <c r="H423" s="282"/>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row>
    <row r="424">
      <c r="A424" s="282"/>
      <c r="B424" s="283"/>
      <c r="C424" s="283"/>
      <c r="D424" s="283"/>
      <c r="E424" s="283"/>
      <c r="F424" s="283"/>
      <c r="G424" s="282"/>
      <c r="H424" s="282"/>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row>
    <row r="425">
      <c r="A425" s="282"/>
      <c r="B425" s="283"/>
      <c r="C425" s="283"/>
      <c r="D425" s="283"/>
      <c r="E425" s="283"/>
      <c r="F425" s="283"/>
      <c r="G425" s="282"/>
      <c r="H425" s="282"/>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row>
    <row r="426">
      <c r="A426" s="282"/>
      <c r="B426" s="283"/>
      <c r="C426" s="283"/>
      <c r="D426" s="283"/>
      <c r="E426" s="283"/>
      <c r="F426" s="283"/>
      <c r="G426" s="282"/>
      <c r="H426" s="282"/>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row>
    <row r="427">
      <c r="A427" s="282"/>
      <c r="B427" s="283"/>
      <c r="C427" s="283"/>
      <c r="D427" s="283"/>
      <c r="E427" s="283"/>
      <c r="F427" s="283"/>
      <c r="G427" s="282"/>
      <c r="H427" s="282"/>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row>
    <row r="428">
      <c r="A428" s="282"/>
      <c r="B428" s="283"/>
      <c r="C428" s="283"/>
      <c r="D428" s="283"/>
      <c r="E428" s="283"/>
      <c r="F428" s="283"/>
      <c r="G428" s="282"/>
      <c r="H428" s="282"/>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row>
    <row r="429">
      <c r="A429" s="282"/>
      <c r="B429" s="283"/>
      <c r="C429" s="283"/>
      <c r="D429" s="283"/>
      <c r="E429" s="283"/>
      <c r="F429" s="283"/>
      <c r="G429" s="282"/>
      <c r="H429" s="282"/>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row>
    <row r="430">
      <c r="A430" s="282"/>
      <c r="B430" s="283"/>
      <c r="C430" s="283"/>
      <c r="D430" s="283"/>
      <c r="E430" s="283"/>
      <c r="F430" s="283"/>
      <c r="G430" s="282"/>
      <c r="H430" s="282"/>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row>
    <row r="431">
      <c r="A431" s="282"/>
      <c r="B431" s="283"/>
      <c r="C431" s="283"/>
      <c r="D431" s="283"/>
      <c r="E431" s="283"/>
      <c r="F431" s="283"/>
      <c r="G431" s="282"/>
      <c r="H431" s="282"/>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row>
    <row r="432">
      <c r="A432" s="282"/>
      <c r="B432" s="283"/>
      <c r="C432" s="283"/>
      <c r="D432" s="283"/>
      <c r="E432" s="283"/>
      <c r="F432" s="283"/>
      <c r="G432" s="282"/>
      <c r="H432" s="282"/>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row>
    <row r="433">
      <c r="A433" s="282"/>
      <c r="B433" s="283"/>
      <c r="C433" s="283"/>
      <c r="D433" s="283"/>
      <c r="E433" s="283"/>
      <c r="F433" s="283"/>
      <c r="G433" s="282"/>
      <c r="H433" s="282"/>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row>
    <row r="434">
      <c r="A434" s="282"/>
      <c r="B434" s="283"/>
      <c r="C434" s="283"/>
      <c r="D434" s="283"/>
      <c r="E434" s="283"/>
      <c r="F434" s="283"/>
      <c r="G434" s="282"/>
      <c r="H434" s="282"/>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row>
    <row r="435">
      <c r="A435" s="282"/>
      <c r="B435" s="283"/>
      <c r="C435" s="283"/>
      <c r="D435" s="283"/>
      <c r="E435" s="283"/>
      <c r="F435" s="283"/>
      <c r="G435" s="282"/>
      <c r="H435" s="282"/>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row>
    <row r="436">
      <c r="A436" s="282"/>
      <c r="B436" s="283"/>
      <c r="C436" s="283"/>
      <c r="D436" s="283"/>
      <c r="E436" s="283"/>
      <c r="F436" s="283"/>
      <c r="G436" s="282"/>
      <c r="H436" s="282"/>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row>
    <row r="437">
      <c r="A437" s="282"/>
      <c r="B437" s="283"/>
      <c r="C437" s="283"/>
      <c r="D437" s="283"/>
      <c r="E437" s="283"/>
      <c r="F437" s="283"/>
      <c r="G437" s="282"/>
      <c r="H437" s="282"/>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row>
    <row r="438">
      <c r="A438" s="282"/>
      <c r="B438" s="283"/>
      <c r="C438" s="283"/>
      <c r="D438" s="283"/>
      <c r="E438" s="283"/>
      <c r="F438" s="283"/>
      <c r="G438" s="282"/>
      <c r="H438" s="282"/>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row>
    <row r="439">
      <c r="A439" s="282"/>
      <c r="B439" s="283"/>
      <c r="C439" s="283"/>
      <c r="D439" s="283"/>
      <c r="E439" s="283"/>
      <c r="F439" s="283"/>
      <c r="G439" s="282"/>
      <c r="H439" s="282"/>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row>
    <row r="440">
      <c r="A440" s="282"/>
      <c r="B440" s="283"/>
      <c r="C440" s="283"/>
      <c r="D440" s="283"/>
      <c r="E440" s="283"/>
      <c r="F440" s="283"/>
      <c r="G440" s="282"/>
      <c r="H440" s="282"/>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row>
    <row r="441">
      <c r="A441" s="282"/>
      <c r="B441" s="283"/>
      <c r="C441" s="283"/>
      <c r="D441" s="283"/>
      <c r="E441" s="283"/>
      <c r="F441" s="283"/>
      <c r="G441" s="282"/>
      <c r="H441" s="282"/>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row>
    <row r="442">
      <c r="A442" s="282"/>
      <c r="B442" s="283"/>
      <c r="C442" s="283"/>
      <c r="D442" s="283"/>
      <c r="E442" s="283"/>
      <c r="F442" s="283"/>
      <c r="G442" s="282"/>
      <c r="H442" s="282"/>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row>
    <row r="443">
      <c r="A443" s="282"/>
      <c r="B443" s="283"/>
      <c r="C443" s="283"/>
      <c r="D443" s="283"/>
      <c r="E443" s="283"/>
      <c r="F443" s="283"/>
      <c r="G443" s="282"/>
      <c r="H443" s="282"/>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row>
    <row r="444">
      <c r="A444" s="282"/>
      <c r="B444" s="283"/>
      <c r="C444" s="283"/>
      <c r="D444" s="283"/>
      <c r="E444" s="283"/>
      <c r="F444" s="283"/>
      <c r="G444" s="282"/>
      <c r="H444" s="282"/>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row>
    <row r="445">
      <c r="A445" s="282"/>
      <c r="B445" s="283"/>
      <c r="C445" s="283"/>
      <c r="D445" s="283"/>
      <c r="E445" s="283"/>
      <c r="F445" s="283"/>
      <c r="G445" s="282"/>
      <c r="H445" s="282"/>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row>
    <row r="446">
      <c r="A446" s="282"/>
      <c r="B446" s="283"/>
      <c r="C446" s="283"/>
      <c r="D446" s="283"/>
      <c r="E446" s="283"/>
      <c r="F446" s="283"/>
      <c r="G446" s="282"/>
      <c r="H446" s="282"/>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row>
    <row r="447">
      <c r="A447" s="282"/>
      <c r="B447" s="283"/>
      <c r="C447" s="283"/>
      <c r="D447" s="283"/>
      <c r="E447" s="283"/>
      <c r="F447" s="283"/>
      <c r="G447" s="282"/>
      <c r="H447" s="282"/>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row>
    <row r="448">
      <c r="A448" s="282"/>
      <c r="B448" s="283"/>
      <c r="C448" s="283"/>
      <c r="D448" s="283"/>
      <c r="E448" s="283"/>
      <c r="F448" s="283"/>
      <c r="G448" s="282"/>
      <c r="H448" s="282"/>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row>
    <row r="449">
      <c r="A449" s="282"/>
      <c r="B449" s="283"/>
      <c r="C449" s="283"/>
      <c r="D449" s="283"/>
      <c r="E449" s="283"/>
      <c r="F449" s="283"/>
      <c r="G449" s="282"/>
      <c r="H449" s="282"/>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row>
    <row r="450">
      <c r="A450" s="282"/>
      <c r="B450" s="283"/>
      <c r="C450" s="283"/>
      <c r="D450" s="283"/>
      <c r="E450" s="283"/>
      <c r="F450" s="283"/>
      <c r="G450" s="282"/>
      <c r="H450" s="282"/>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row>
    <row r="451">
      <c r="A451" s="282"/>
      <c r="B451" s="283"/>
      <c r="C451" s="283"/>
      <c r="D451" s="283"/>
      <c r="E451" s="283"/>
      <c r="F451" s="283"/>
      <c r="G451" s="282"/>
      <c r="H451" s="282"/>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row>
    <row r="452">
      <c r="A452" s="282"/>
      <c r="B452" s="283"/>
      <c r="C452" s="283"/>
      <c r="D452" s="283"/>
      <c r="E452" s="283"/>
      <c r="F452" s="283"/>
      <c r="G452" s="282"/>
      <c r="H452" s="282"/>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row>
    <row r="453">
      <c r="A453" s="282"/>
      <c r="B453" s="283"/>
      <c r="C453" s="283"/>
      <c r="D453" s="283"/>
      <c r="E453" s="283"/>
      <c r="F453" s="283"/>
      <c r="G453" s="282"/>
      <c r="H453" s="282"/>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row>
    <row r="454">
      <c r="A454" s="282"/>
      <c r="B454" s="283"/>
      <c r="C454" s="283"/>
      <c r="D454" s="283"/>
      <c r="E454" s="283"/>
      <c r="F454" s="283"/>
      <c r="G454" s="282"/>
      <c r="H454" s="282"/>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row>
    <row r="455">
      <c r="A455" s="282"/>
      <c r="B455" s="283"/>
      <c r="C455" s="283"/>
      <c r="D455" s="283"/>
      <c r="E455" s="283"/>
      <c r="F455" s="283"/>
      <c r="G455" s="282"/>
      <c r="H455" s="282"/>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row>
    <row r="456">
      <c r="A456" s="282"/>
      <c r="B456" s="283"/>
      <c r="C456" s="283"/>
      <c r="D456" s="283"/>
      <c r="E456" s="283"/>
      <c r="F456" s="283"/>
      <c r="G456" s="282"/>
      <c r="H456" s="282"/>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row>
    <row r="457">
      <c r="A457" s="282"/>
      <c r="B457" s="283"/>
      <c r="C457" s="283"/>
      <c r="D457" s="283"/>
      <c r="E457" s="283"/>
      <c r="F457" s="283"/>
      <c r="G457" s="282"/>
      <c r="H457" s="282"/>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row>
    <row r="458">
      <c r="A458" s="282"/>
      <c r="B458" s="283"/>
      <c r="C458" s="283"/>
      <c r="D458" s="283"/>
      <c r="E458" s="283"/>
      <c r="F458" s="283"/>
      <c r="G458" s="282"/>
      <c r="H458" s="282"/>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row>
    <row r="459">
      <c r="A459" s="282"/>
      <c r="B459" s="283"/>
      <c r="C459" s="283"/>
      <c r="D459" s="283"/>
      <c r="E459" s="283"/>
      <c r="F459" s="283"/>
      <c r="G459" s="282"/>
      <c r="H459" s="282"/>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row>
    <row r="460">
      <c r="A460" s="282"/>
      <c r="B460" s="283"/>
      <c r="C460" s="283"/>
      <c r="D460" s="283"/>
      <c r="E460" s="283"/>
      <c r="F460" s="283"/>
      <c r="G460" s="282"/>
      <c r="H460" s="282"/>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row>
    <row r="461">
      <c r="A461" s="282"/>
      <c r="B461" s="283"/>
      <c r="C461" s="283"/>
      <c r="D461" s="283"/>
      <c r="E461" s="283"/>
      <c r="F461" s="283"/>
      <c r="G461" s="282"/>
      <c r="H461" s="282"/>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row>
    <row r="462">
      <c r="A462" s="282"/>
      <c r="B462" s="283"/>
      <c r="C462" s="283"/>
      <c r="D462" s="283"/>
      <c r="E462" s="283"/>
      <c r="F462" s="283"/>
      <c r="G462" s="282"/>
      <c r="H462" s="282"/>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row>
    <row r="463">
      <c r="A463" s="282"/>
      <c r="B463" s="283"/>
      <c r="C463" s="283"/>
      <c r="D463" s="283"/>
      <c r="E463" s="283"/>
      <c r="F463" s="283"/>
      <c r="G463" s="282"/>
      <c r="H463" s="282"/>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row>
    <row r="464">
      <c r="A464" s="282"/>
      <c r="B464" s="283"/>
      <c r="C464" s="283"/>
      <c r="D464" s="283"/>
      <c r="E464" s="283"/>
      <c r="F464" s="283"/>
      <c r="G464" s="282"/>
      <c r="H464" s="282"/>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row>
    <row r="465">
      <c r="A465" s="282"/>
      <c r="B465" s="283"/>
      <c r="C465" s="283"/>
      <c r="D465" s="283"/>
      <c r="E465" s="283"/>
      <c r="F465" s="283"/>
      <c r="G465" s="282"/>
      <c r="H465" s="282"/>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row>
    <row r="466">
      <c r="A466" s="282"/>
      <c r="B466" s="283"/>
      <c r="C466" s="283"/>
      <c r="D466" s="283"/>
      <c r="E466" s="283"/>
      <c r="F466" s="283"/>
      <c r="G466" s="282"/>
      <c r="H466" s="282"/>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row>
    <row r="467">
      <c r="A467" s="282"/>
      <c r="B467" s="283"/>
      <c r="C467" s="283"/>
      <c r="D467" s="283"/>
      <c r="E467" s="283"/>
      <c r="F467" s="283"/>
      <c r="G467" s="282"/>
      <c r="H467" s="282"/>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row>
    <row r="468">
      <c r="A468" s="282"/>
      <c r="B468" s="283"/>
      <c r="C468" s="283"/>
      <c r="D468" s="283"/>
      <c r="E468" s="283"/>
      <c r="F468" s="283"/>
      <c r="G468" s="282"/>
      <c r="H468" s="282"/>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row>
    <row r="469">
      <c r="A469" s="282"/>
      <c r="B469" s="283"/>
      <c r="C469" s="283"/>
      <c r="D469" s="283"/>
      <c r="E469" s="283"/>
      <c r="F469" s="283"/>
      <c r="G469" s="282"/>
      <c r="H469" s="282"/>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row>
    <row r="470">
      <c r="A470" s="282"/>
      <c r="B470" s="283"/>
      <c r="C470" s="283"/>
      <c r="D470" s="283"/>
      <c r="E470" s="283"/>
      <c r="F470" s="283"/>
      <c r="G470" s="282"/>
      <c r="H470" s="282"/>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row>
    <row r="471">
      <c r="A471" s="282"/>
      <c r="B471" s="283"/>
      <c r="C471" s="283"/>
      <c r="D471" s="283"/>
      <c r="E471" s="283"/>
      <c r="F471" s="283"/>
      <c r="G471" s="282"/>
      <c r="H471" s="282"/>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row>
    <row r="472">
      <c r="A472" s="282"/>
      <c r="B472" s="283"/>
      <c r="C472" s="283"/>
      <c r="D472" s="283"/>
      <c r="E472" s="283"/>
      <c r="F472" s="283"/>
      <c r="G472" s="282"/>
      <c r="H472" s="282"/>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row>
    <row r="473">
      <c r="A473" s="282"/>
      <c r="B473" s="283"/>
      <c r="C473" s="283"/>
      <c r="D473" s="283"/>
      <c r="E473" s="283"/>
      <c r="F473" s="283"/>
      <c r="G473" s="282"/>
      <c r="H473" s="282"/>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row>
    <row r="474">
      <c r="A474" s="282"/>
      <c r="B474" s="283"/>
      <c r="C474" s="283"/>
      <c r="D474" s="283"/>
      <c r="E474" s="283"/>
      <c r="F474" s="283"/>
      <c r="G474" s="282"/>
      <c r="H474" s="282"/>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row>
    <row r="475">
      <c r="A475" s="282"/>
      <c r="B475" s="283"/>
      <c r="C475" s="283"/>
      <c r="D475" s="283"/>
      <c r="E475" s="283"/>
      <c r="F475" s="283"/>
      <c r="G475" s="282"/>
      <c r="H475" s="282"/>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row>
    <row r="476">
      <c r="A476" s="282"/>
      <c r="B476" s="283"/>
      <c r="C476" s="283"/>
      <c r="D476" s="283"/>
      <c r="E476" s="283"/>
      <c r="F476" s="283"/>
      <c r="G476" s="282"/>
      <c r="H476" s="282"/>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row>
    <row r="477">
      <c r="A477" s="282"/>
      <c r="B477" s="283"/>
      <c r="C477" s="283"/>
      <c r="D477" s="283"/>
      <c r="E477" s="283"/>
      <c r="F477" s="283"/>
      <c r="G477" s="282"/>
      <c r="H477" s="282"/>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row>
    <row r="478">
      <c r="A478" s="282"/>
      <c r="B478" s="283"/>
      <c r="C478" s="283"/>
      <c r="D478" s="283"/>
      <c r="E478" s="283"/>
      <c r="F478" s="283"/>
      <c r="G478" s="282"/>
      <c r="H478" s="282"/>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row>
    <row r="479">
      <c r="A479" s="282"/>
      <c r="B479" s="283"/>
      <c r="C479" s="283"/>
      <c r="D479" s="283"/>
      <c r="E479" s="283"/>
      <c r="F479" s="283"/>
      <c r="G479" s="282"/>
      <c r="H479" s="282"/>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row>
    <row r="480">
      <c r="A480" s="282"/>
      <c r="B480" s="283"/>
      <c r="C480" s="283"/>
      <c r="D480" s="283"/>
      <c r="E480" s="283"/>
      <c r="F480" s="283"/>
      <c r="G480" s="282"/>
      <c r="H480" s="282"/>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row>
    <row r="481">
      <c r="A481" s="282"/>
      <c r="B481" s="283"/>
      <c r="C481" s="283"/>
      <c r="D481" s="283"/>
      <c r="E481" s="283"/>
      <c r="F481" s="283"/>
      <c r="G481" s="282"/>
      <c r="H481" s="282"/>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row>
    <row r="482">
      <c r="A482" s="282"/>
      <c r="B482" s="283"/>
      <c r="C482" s="283"/>
      <c r="D482" s="283"/>
      <c r="E482" s="283"/>
      <c r="F482" s="283"/>
      <c r="G482" s="282"/>
      <c r="H482" s="282"/>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row>
    <row r="483">
      <c r="A483" s="282"/>
      <c r="B483" s="283"/>
      <c r="C483" s="283"/>
      <c r="D483" s="283"/>
      <c r="E483" s="283"/>
      <c r="F483" s="283"/>
      <c r="G483" s="282"/>
      <c r="H483" s="282"/>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row>
    <row r="484">
      <c r="A484" s="282"/>
      <c r="B484" s="283"/>
      <c r="C484" s="283"/>
      <c r="D484" s="283"/>
      <c r="E484" s="283"/>
      <c r="F484" s="283"/>
      <c r="G484" s="282"/>
      <c r="H484" s="282"/>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row>
    <row r="485">
      <c r="A485" s="282"/>
      <c r="B485" s="283"/>
      <c r="C485" s="283"/>
      <c r="D485" s="283"/>
      <c r="E485" s="283"/>
      <c r="F485" s="283"/>
      <c r="G485" s="282"/>
      <c r="H485" s="282"/>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row>
    <row r="486">
      <c r="A486" s="282"/>
      <c r="B486" s="283"/>
      <c r="C486" s="283"/>
      <c r="D486" s="283"/>
      <c r="E486" s="283"/>
      <c r="F486" s="283"/>
      <c r="G486" s="282"/>
      <c r="H486" s="282"/>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row>
    <row r="487">
      <c r="A487" s="282"/>
      <c r="B487" s="283"/>
      <c r="C487" s="283"/>
      <c r="D487" s="283"/>
      <c r="E487" s="283"/>
      <c r="F487" s="283"/>
      <c r="G487" s="282"/>
      <c r="H487" s="282"/>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row>
    <row r="488">
      <c r="A488" s="282"/>
      <c r="B488" s="283"/>
      <c r="C488" s="283"/>
      <c r="D488" s="283"/>
      <c r="E488" s="283"/>
      <c r="F488" s="283"/>
      <c r="G488" s="282"/>
      <c r="H488" s="282"/>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row>
    <row r="489">
      <c r="A489" s="282"/>
      <c r="B489" s="283"/>
      <c r="C489" s="283"/>
      <c r="D489" s="283"/>
      <c r="E489" s="283"/>
      <c r="F489" s="283"/>
      <c r="G489" s="282"/>
      <c r="H489" s="282"/>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row>
    <row r="490">
      <c r="A490" s="282"/>
      <c r="B490" s="283"/>
      <c r="C490" s="283"/>
      <c r="D490" s="283"/>
      <c r="E490" s="283"/>
      <c r="F490" s="283"/>
      <c r="G490" s="282"/>
      <c r="H490" s="282"/>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row>
    <row r="491">
      <c r="A491" s="282"/>
      <c r="B491" s="283"/>
      <c r="C491" s="283"/>
      <c r="D491" s="283"/>
      <c r="E491" s="283"/>
      <c r="F491" s="283"/>
      <c r="G491" s="282"/>
      <c r="H491" s="282"/>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row>
    <row r="492">
      <c r="A492" s="282"/>
      <c r="B492" s="283"/>
      <c r="C492" s="283"/>
      <c r="D492" s="283"/>
      <c r="E492" s="283"/>
      <c r="F492" s="283"/>
      <c r="G492" s="282"/>
      <c r="H492" s="282"/>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row>
    <row r="493">
      <c r="A493" s="282"/>
      <c r="B493" s="283"/>
      <c r="C493" s="283"/>
      <c r="D493" s="283"/>
      <c r="E493" s="283"/>
      <c r="F493" s="283"/>
      <c r="G493" s="282"/>
      <c r="H493" s="282"/>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row>
    <row r="494">
      <c r="A494" s="282"/>
      <c r="B494" s="283"/>
      <c r="C494" s="283"/>
      <c r="D494" s="283"/>
      <c r="E494" s="283"/>
      <c r="F494" s="283"/>
      <c r="G494" s="282"/>
      <c r="H494" s="282"/>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row>
    <row r="495">
      <c r="A495" s="282"/>
      <c r="B495" s="283"/>
      <c r="C495" s="283"/>
      <c r="D495" s="283"/>
      <c r="E495" s="283"/>
      <c r="F495" s="283"/>
      <c r="G495" s="282"/>
      <c r="H495" s="282"/>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row>
    <row r="496">
      <c r="A496" s="282"/>
      <c r="B496" s="283"/>
      <c r="C496" s="283"/>
      <c r="D496" s="283"/>
      <c r="E496" s="283"/>
      <c r="F496" s="283"/>
      <c r="G496" s="282"/>
      <c r="H496" s="282"/>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row>
    <row r="497">
      <c r="A497" s="282"/>
      <c r="B497" s="283"/>
      <c r="C497" s="283"/>
      <c r="D497" s="283"/>
      <c r="E497" s="283"/>
      <c r="F497" s="283"/>
      <c r="G497" s="282"/>
      <c r="H497" s="282"/>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row>
    <row r="498">
      <c r="A498" s="282"/>
      <c r="B498" s="283"/>
      <c r="C498" s="283"/>
      <c r="D498" s="283"/>
      <c r="E498" s="283"/>
      <c r="F498" s="283"/>
      <c r="G498" s="282"/>
      <c r="H498" s="282"/>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row>
    <row r="499">
      <c r="A499" s="282"/>
      <c r="B499" s="283"/>
      <c r="C499" s="283"/>
      <c r="D499" s="283"/>
      <c r="E499" s="283"/>
      <c r="F499" s="283"/>
      <c r="G499" s="282"/>
      <c r="H499" s="282"/>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row>
    <row r="500">
      <c r="A500" s="282"/>
      <c r="B500" s="283"/>
      <c r="C500" s="283"/>
      <c r="D500" s="283"/>
      <c r="E500" s="283"/>
      <c r="F500" s="283"/>
      <c r="G500" s="282"/>
      <c r="H500" s="282"/>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row>
    <row r="501">
      <c r="A501" s="282"/>
      <c r="B501" s="283"/>
      <c r="C501" s="283"/>
      <c r="D501" s="283"/>
      <c r="E501" s="283"/>
      <c r="F501" s="283"/>
      <c r="G501" s="282"/>
      <c r="H501" s="282"/>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row>
    <row r="502">
      <c r="A502" s="282"/>
      <c r="B502" s="283"/>
      <c r="C502" s="283"/>
      <c r="D502" s="283"/>
      <c r="E502" s="283"/>
      <c r="F502" s="283"/>
      <c r="G502" s="282"/>
      <c r="H502" s="282"/>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row>
    <row r="503">
      <c r="A503" s="282"/>
      <c r="B503" s="283"/>
      <c r="C503" s="283"/>
      <c r="D503" s="283"/>
      <c r="E503" s="283"/>
      <c r="F503" s="283"/>
      <c r="G503" s="282"/>
      <c r="H503" s="282"/>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row>
    <row r="504">
      <c r="A504" s="282"/>
      <c r="B504" s="283"/>
      <c r="C504" s="283"/>
      <c r="D504" s="283"/>
      <c r="E504" s="283"/>
      <c r="F504" s="283"/>
      <c r="G504" s="282"/>
      <c r="H504" s="282"/>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row>
    <row r="505">
      <c r="A505" s="282"/>
      <c r="B505" s="283"/>
      <c r="C505" s="283"/>
      <c r="D505" s="283"/>
      <c r="E505" s="283"/>
      <c r="F505" s="283"/>
      <c r="G505" s="282"/>
      <c r="H505" s="282"/>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row>
    <row r="506">
      <c r="A506" s="282"/>
      <c r="B506" s="283"/>
      <c r="C506" s="283"/>
      <c r="D506" s="283"/>
      <c r="E506" s="283"/>
      <c r="F506" s="283"/>
      <c r="G506" s="282"/>
      <c r="H506" s="282"/>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row>
    <row r="507">
      <c r="A507" s="282"/>
      <c r="B507" s="283"/>
      <c r="C507" s="283"/>
      <c r="D507" s="283"/>
      <c r="E507" s="283"/>
      <c r="F507" s="283"/>
      <c r="G507" s="282"/>
      <c r="H507" s="282"/>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row>
    <row r="508">
      <c r="A508" s="282"/>
      <c r="B508" s="283"/>
      <c r="C508" s="283"/>
      <c r="D508" s="283"/>
      <c r="E508" s="283"/>
      <c r="F508" s="283"/>
      <c r="G508" s="282"/>
      <c r="H508" s="282"/>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row>
    <row r="509">
      <c r="A509" s="282"/>
      <c r="B509" s="283"/>
      <c r="C509" s="283"/>
      <c r="D509" s="283"/>
      <c r="E509" s="283"/>
      <c r="F509" s="283"/>
      <c r="G509" s="282"/>
      <c r="H509" s="282"/>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row>
    <row r="510">
      <c r="A510" s="282"/>
      <c r="B510" s="283"/>
      <c r="C510" s="283"/>
      <c r="D510" s="283"/>
      <c r="E510" s="283"/>
      <c r="F510" s="283"/>
      <c r="G510" s="282"/>
      <c r="H510" s="282"/>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row>
    <row r="511">
      <c r="A511" s="282"/>
      <c r="B511" s="283"/>
      <c r="C511" s="283"/>
      <c r="D511" s="283"/>
      <c r="E511" s="283"/>
      <c r="F511" s="283"/>
      <c r="G511" s="282"/>
      <c r="H511" s="282"/>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row>
    <row r="512">
      <c r="A512" s="282"/>
      <c r="B512" s="283"/>
      <c r="C512" s="283"/>
      <c r="D512" s="283"/>
      <c r="E512" s="283"/>
      <c r="F512" s="283"/>
      <c r="G512" s="282"/>
      <c r="H512" s="282"/>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row>
    <row r="513">
      <c r="A513" s="282"/>
      <c r="B513" s="283"/>
      <c r="C513" s="283"/>
      <c r="D513" s="283"/>
      <c r="E513" s="283"/>
      <c r="F513" s="283"/>
      <c r="G513" s="282"/>
      <c r="H513" s="282"/>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row>
    <row r="514">
      <c r="A514" s="282"/>
      <c r="B514" s="283"/>
      <c r="C514" s="283"/>
      <c r="D514" s="283"/>
      <c r="E514" s="283"/>
      <c r="F514" s="283"/>
      <c r="G514" s="282"/>
      <c r="H514" s="282"/>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row>
    <row r="515">
      <c r="A515" s="282"/>
      <c r="B515" s="283"/>
      <c r="C515" s="283"/>
      <c r="D515" s="283"/>
      <c r="E515" s="283"/>
      <c r="F515" s="283"/>
      <c r="G515" s="282"/>
      <c r="H515" s="282"/>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row>
    <row r="516">
      <c r="A516" s="282"/>
      <c r="B516" s="283"/>
      <c r="C516" s="283"/>
      <c r="D516" s="283"/>
      <c r="E516" s="283"/>
      <c r="F516" s="283"/>
      <c r="G516" s="282"/>
      <c r="H516" s="282"/>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row>
    <row r="517">
      <c r="A517" s="282"/>
      <c r="B517" s="283"/>
      <c r="C517" s="283"/>
      <c r="D517" s="283"/>
      <c r="E517" s="283"/>
      <c r="F517" s="283"/>
      <c r="G517" s="282"/>
      <c r="H517" s="282"/>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row>
    <row r="518">
      <c r="A518" s="282"/>
      <c r="B518" s="283"/>
      <c r="C518" s="283"/>
      <c r="D518" s="283"/>
      <c r="E518" s="283"/>
      <c r="F518" s="283"/>
      <c r="G518" s="282"/>
      <c r="H518" s="282"/>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row>
    <row r="519">
      <c r="A519" s="282"/>
      <c r="B519" s="283"/>
      <c r="C519" s="283"/>
      <c r="D519" s="283"/>
      <c r="E519" s="283"/>
      <c r="F519" s="283"/>
      <c r="G519" s="282"/>
      <c r="H519" s="282"/>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row>
    <row r="520">
      <c r="A520" s="282"/>
      <c r="B520" s="283"/>
      <c r="C520" s="283"/>
      <c r="D520" s="283"/>
      <c r="E520" s="283"/>
      <c r="F520" s="283"/>
      <c r="G520" s="282"/>
      <c r="H520" s="282"/>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row>
    <row r="521">
      <c r="A521" s="282"/>
      <c r="B521" s="283"/>
      <c r="C521" s="283"/>
      <c r="D521" s="283"/>
      <c r="E521" s="283"/>
      <c r="F521" s="283"/>
      <c r="G521" s="282"/>
      <c r="H521" s="282"/>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row>
    <row r="522">
      <c r="A522" s="282"/>
      <c r="B522" s="283"/>
      <c r="C522" s="283"/>
      <c r="D522" s="283"/>
      <c r="E522" s="283"/>
      <c r="F522" s="283"/>
      <c r="G522" s="282"/>
      <c r="H522" s="282"/>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row>
    <row r="523">
      <c r="A523" s="282"/>
      <c r="B523" s="283"/>
      <c r="C523" s="283"/>
      <c r="D523" s="283"/>
      <c r="E523" s="283"/>
      <c r="F523" s="283"/>
      <c r="G523" s="282"/>
      <c r="H523" s="282"/>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row>
    <row r="524">
      <c r="A524" s="282"/>
      <c r="B524" s="283"/>
      <c r="C524" s="283"/>
      <c r="D524" s="283"/>
      <c r="E524" s="283"/>
      <c r="F524" s="283"/>
      <c r="G524" s="282"/>
      <c r="H524" s="282"/>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row>
    <row r="525">
      <c r="A525" s="282"/>
      <c r="B525" s="283"/>
      <c r="C525" s="283"/>
      <c r="D525" s="283"/>
      <c r="E525" s="283"/>
      <c r="F525" s="283"/>
      <c r="G525" s="282"/>
      <c r="H525" s="282"/>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row>
    <row r="526">
      <c r="A526" s="282"/>
      <c r="B526" s="283"/>
      <c r="C526" s="283"/>
      <c r="D526" s="283"/>
      <c r="E526" s="283"/>
      <c r="F526" s="283"/>
      <c r="G526" s="282"/>
      <c r="H526" s="282"/>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row>
    <row r="527">
      <c r="A527" s="282"/>
      <c r="B527" s="283"/>
      <c r="C527" s="283"/>
      <c r="D527" s="283"/>
      <c r="E527" s="283"/>
      <c r="F527" s="283"/>
      <c r="G527" s="282"/>
      <c r="H527" s="282"/>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row>
    <row r="528">
      <c r="A528" s="282"/>
      <c r="B528" s="283"/>
      <c r="C528" s="283"/>
      <c r="D528" s="283"/>
      <c r="E528" s="283"/>
      <c r="F528" s="283"/>
      <c r="G528" s="282"/>
      <c r="H528" s="282"/>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row>
    <row r="529">
      <c r="A529" s="282"/>
      <c r="B529" s="283"/>
      <c r="C529" s="283"/>
      <c r="D529" s="283"/>
      <c r="E529" s="283"/>
      <c r="F529" s="283"/>
      <c r="G529" s="282"/>
      <c r="H529" s="282"/>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row>
    <row r="530">
      <c r="A530" s="282"/>
      <c r="B530" s="283"/>
      <c r="C530" s="283"/>
      <c r="D530" s="283"/>
      <c r="E530" s="283"/>
      <c r="F530" s="283"/>
      <c r="G530" s="282"/>
      <c r="H530" s="282"/>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row>
    <row r="531">
      <c r="A531" s="282"/>
      <c r="B531" s="283"/>
      <c r="C531" s="283"/>
      <c r="D531" s="283"/>
      <c r="E531" s="283"/>
      <c r="F531" s="283"/>
      <c r="G531" s="282"/>
      <c r="H531" s="282"/>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row>
    <row r="532">
      <c r="A532" s="282"/>
      <c r="B532" s="283"/>
      <c r="C532" s="283"/>
      <c r="D532" s="283"/>
      <c r="E532" s="283"/>
      <c r="F532" s="283"/>
      <c r="G532" s="282"/>
      <c r="H532" s="282"/>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row>
    <row r="533">
      <c r="A533" s="282"/>
      <c r="B533" s="283"/>
      <c r="C533" s="283"/>
      <c r="D533" s="283"/>
      <c r="E533" s="283"/>
      <c r="F533" s="283"/>
      <c r="G533" s="282"/>
      <c r="H533" s="282"/>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row>
    <row r="534">
      <c r="A534" s="282"/>
      <c r="B534" s="283"/>
      <c r="C534" s="283"/>
      <c r="D534" s="283"/>
      <c r="E534" s="283"/>
      <c r="F534" s="283"/>
      <c r="G534" s="282"/>
      <c r="H534" s="282"/>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row>
    <row r="535">
      <c r="A535" s="282"/>
      <c r="B535" s="283"/>
      <c r="C535" s="283"/>
      <c r="D535" s="283"/>
      <c r="E535" s="283"/>
      <c r="F535" s="283"/>
      <c r="G535" s="282"/>
      <c r="H535" s="282"/>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row>
    <row r="536">
      <c r="A536" s="282"/>
      <c r="B536" s="283"/>
      <c r="C536" s="283"/>
      <c r="D536" s="283"/>
      <c r="E536" s="283"/>
      <c r="F536" s="283"/>
      <c r="G536" s="282"/>
      <c r="H536" s="282"/>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row>
    <row r="537">
      <c r="A537" s="282"/>
      <c r="B537" s="283"/>
      <c r="C537" s="283"/>
      <c r="D537" s="283"/>
      <c r="E537" s="283"/>
      <c r="F537" s="283"/>
      <c r="G537" s="282"/>
      <c r="H537" s="282"/>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row>
    <row r="538">
      <c r="A538" s="282"/>
      <c r="B538" s="283"/>
      <c r="C538" s="283"/>
      <c r="D538" s="283"/>
      <c r="E538" s="283"/>
      <c r="F538" s="283"/>
      <c r="G538" s="282"/>
      <c r="H538" s="282"/>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row>
    <row r="539">
      <c r="A539" s="282"/>
      <c r="B539" s="283"/>
      <c r="C539" s="283"/>
      <c r="D539" s="283"/>
      <c r="E539" s="283"/>
      <c r="F539" s="283"/>
      <c r="G539" s="282"/>
      <c r="H539" s="282"/>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row>
    <row r="540">
      <c r="A540" s="282"/>
      <c r="B540" s="283"/>
      <c r="C540" s="283"/>
      <c r="D540" s="283"/>
      <c r="E540" s="283"/>
      <c r="F540" s="283"/>
      <c r="G540" s="282"/>
      <c r="H540" s="282"/>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row>
    <row r="541">
      <c r="A541" s="282"/>
      <c r="B541" s="283"/>
      <c r="C541" s="283"/>
      <c r="D541" s="283"/>
      <c r="E541" s="283"/>
      <c r="F541" s="283"/>
      <c r="G541" s="282"/>
      <c r="H541" s="282"/>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row>
    <row r="542">
      <c r="A542" s="282"/>
      <c r="B542" s="283"/>
      <c r="C542" s="283"/>
      <c r="D542" s="283"/>
      <c r="E542" s="283"/>
      <c r="F542" s="283"/>
      <c r="G542" s="282"/>
      <c r="H542" s="282"/>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row>
    <row r="543">
      <c r="A543" s="282"/>
      <c r="B543" s="283"/>
      <c r="C543" s="283"/>
      <c r="D543" s="283"/>
      <c r="E543" s="283"/>
      <c r="F543" s="283"/>
      <c r="G543" s="282"/>
      <c r="H543" s="282"/>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row>
    <row r="544">
      <c r="A544" s="282"/>
      <c r="B544" s="283"/>
      <c r="C544" s="283"/>
      <c r="D544" s="283"/>
      <c r="E544" s="283"/>
      <c r="F544" s="283"/>
      <c r="G544" s="282"/>
      <c r="H544" s="282"/>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row>
    <row r="545">
      <c r="A545" s="282"/>
      <c r="B545" s="283"/>
      <c r="C545" s="283"/>
      <c r="D545" s="283"/>
      <c r="E545" s="283"/>
      <c r="F545" s="283"/>
      <c r="G545" s="282"/>
      <c r="H545" s="282"/>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row>
    <row r="546">
      <c r="A546" s="282"/>
      <c r="B546" s="283"/>
      <c r="C546" s="283"/>
      <c r="D546" s="283"/>
      <c r="E546" s="283"/>
      <c r="F546" s="283"/>
      <c r="G546" s="282"/>
      <c r="H546" s="282"/>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row>
    <row r="547">
      <c r="A547" s="282"/>
      <c r="B547" s="283"/>
      <c r="C547" s="283"/>
      <c r="D547" s="283"/>
      <c r="E547" s="283"/>
      <c r="F547" s="283"/>
      <c r="G547" s="282"/>
      <c r="H547" s="282"/>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row>
    <row r="548">
      <c r="A548" s="282"/>
      <c r="B548" s="283"/>
      <c r="C548" s="283"/>
      <c r="D548" s="283"/>
      <c r="E548" s="283"/>
      <c r="F548" s="283"/>
      <c r="G548" s="282"/>
      <c r="H548" s="282"/>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row>
    <row r="549">
      <c r="A549" s="282"/>
      <c r="B549" s="283"/>
      <c r="C549" s="283"/>
      <c r="D549" s="283"/>
      <c r="E549" s="283"/>
      <c r="F549" s="283"/>
      <c r="G549" s="282"/>
      <c r="H549" s="282"/>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row>
    <row r="550">
      <c r="A550" s="282"/>
      <c r="B550" s="283"/>
      <c r="C550" s="283"/>
      <c r="D550" s="283"/>
      <c r="E550" s="283"/>
      <c r="F550" s="283"/>
      <c r="G550" s="282"/>
      <c r="H550" s="282"/>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row>
    <row r="551">
      <c r="A551" s="282"/>
      <c r="B551" s="283"/>
      <c r="C551" s="283"/>
      <c r="D551" s="283"/>
      <c r="E551" s="283"/>
      <c r="F551" s="283"/>
      <c r="G551" s="282"/>
      <c r="H551" s="282"/>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row>
    <row r="552">
      <c r="A552" s="282"/>
      <c r="B552" s="283"/>
      <c r="C552" s="283"/>
      <c r="D552" s="283"/>
      <c r="E552" s="283"/>
      <c r="F552" s="283"/>
      <c r="G552" s="282"/>
      <c r="H552" s="282"/>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row>
    <row r="553">
      <c r="A553" s="282"/>
      <c r="B553" s="283"/>
      <c r="C553" s="283"/>
      <c r="D553" s="283"/>
      <c r="E553" s="283"/>
      <c r="F553" s="283"/>
      <c r="G553" s="282"/>
      <c r="H553" s="282"/>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row>
    <row r="554">
      <c r="A554" s="282"/>
      <c r="B554" s="283"/>
      <c r="C554" s="283"/>
      <c r="D554" s="283"/>
      <c r="E554" s="283"/>
      <c r="F554" s="283"/>
      <c r="G554" s="282"/>
      <c r="H554" s="282"/>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row>
    <row r="555">
      <c r="A555" s="282"/>
      <c r="B555" s="283"/>
      <c r="C555" s="283"/>
      <c r="D555" s="283"/>
      <c r="E555" s="283"/>
      <c r="F555" s="283"/>
      <c r="G555" s="282"/>
      <c r="H555" s="282"/>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row>
    <row r="556">
      <c r="A556" s="282"/>
      <c r="B556" s="283"/>
      <c r="C556" s="283"/>
      <c r="D556" s="283"/>
      <c r="E556" s="283"/>
      <c r="F556" s="283"/>
      <c r="G556" s="282"/>
      <c r="H556" s="282"/>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row>
    <row r="557">
      <c r="A557" s="282"/>
      <c r="B557" s="283"/>
      <c r="C557" s="283"/>
      <c r="D557" s="283"/>
      <c r="E557" s="283"/>
      <c r="F557" s="283"/>
      <c r="G557" s="282"/>
      <c r="H557" s="282"/>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row>
    <row r="558">
      <c r="A558" s="282"/>
      <c r="B558" s="283"/>
      <c r="C558" s="283"/>
      <c r="D558" s="283"/>
      <c r="E558" s="283"/>
      <c r="F558" s="283"/>
      <c r="G558" s="282"/>
      <c r="H558" s="282"/>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row>
    <row r="559">
      <c r="A559" s="282"/>
      <c r="B559" s="283"/>
      <c r="C559" s="283"/>
      <c r="D559" s="283"/>
      <c r="E559" s="283"/>
      <c r="F559" s="283"/>
      <c r="G559" s="282"/>
      <c r="H559" s="282"/>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row>
    <row r="560">
      <c r="A560" s="282"/>
      <c r="B560" s="283"/>
      <c r="C560" s="283"/>
      <c r="D560" s="283"/>
      <c r="E560" s="283"/>
      <c r="F560" s="283"/>
      <c r="G560" s="282"/>
      <c r="H560" s="282"/>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row>
    <row r="561">
      <c r="A561" s="282"/>
      <c r="B561" s="283"/>
      <c r="C561" s="283"/>
      <c r="D561" s="283"/>
      <c r="E561" s="283"/>
      <c r="F561" s="283"/>
      <c r="G561" s="282"/>
      <c r="H561" s="282"/>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row>
    <row r="562">
      <c r="A562" s="282"/>
      <c r="B562" s="283"/>
      <c r="C562" s="283"/>
      <c r="D562" s="283"/>
      <c r="E562" s="283"/>
      <c r="F562" s="283"/>
      <c r="G562" s="282"/>
      <c r="H562" s="282"/>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row>
    <row r="563">
      <c r="A563" s="282"/>
      <c r="B563" s="283"/>
      <c r="C563" s="283"/>
      <c r="D563" s="283"/>
      <c r="E563" s="283"/>
      <c r="F563" s="283"/>
      <c r="G563" s="282"/>
      <c r="H563" s="282"/>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row>
    <row r="564">
      <c r="A564" s="282"/>
      <c r="B564" s="283"/>
      <c r="C564" s="283"/>
      <c r="D564" s="283"/>
      <c r="E564" s="283"/>
      <c r="F564" s="283"/>
      <c r="G564" s="282"/>
      <c r="H564" s="282"/>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row>
    <row r="565">
      <c r="A565" s="282"/>
      <c r="B565" s="283"/>
      <c r="C565" s="283"/>
      <c r="D565" s="283"/>
      <c r="E565" s="283"/>
      <c r="F565" s="283"/>
      <c r="G565" s="282"/>
      <c r="H565" s="282"/>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row>
    <row r="566">
      <c r="A566" s="282"/>
      <c r="B566" s="283"/>
      <c r="C566" s="283"/>
      <c r="D566" s="283"/>
      <c r="E566" s="283"/>
      <c r="F566" s="283"/>
      <c r="G566" s="282"/>
      <c r="H566" s="282"/>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row>
    <row r="567">
      <c r="A567" s="282"/>
      <c r="B567" s="283"/>
      <c r="C567" s="283"/>
      <c r="D567" s="283"/>
      <c r="E567" s="283"/>
      <c r="F567" s="283"/>
      <c r="G567" s="282"/>
      <c r="H567" s="282"/>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row>
    <row r="568">
      <c r="A568" s="282"/>
      <c r="B568" s="283"/>
      <c r="C568" s="283"/>
      <c r="D568" s="283"/>
      <c r="E568" s="283"/>
      <c r="F568" s="283"/>
      <c r="G568" s="282"/>
      <c r="H568" s="282"/>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row>
    <row r="569">
      <c r="A569" s="282"/>
      <c r="B569" s="283"/>
      <c r="C569" s="283"/>
      <c r="D569" s="283"/>
      <c r="E569" s="283"/>
      <c r="F569" s="283"/>
      <c r="G569" s="282"/>
      <c r="H569" s="282"/>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row>
    <row r="570">
      <c r="A570" s="282"/>
      <c r="B570" s="283"/>
      <c r="C570" s="283"/>
      <c r="D570" s="283"/>
      <c r="E570" s="283"/>
      <c r="F570" s="283"/>
      <c r="G570" s="282"/>
      <c r="H570" s="282"/>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row>
    <row r="571">
      <c r="A571" s="282"/>
      <c r="B571" s="283"/>
      <c r="C571" s="283"/>
      <c r="D571" s="283"/>
      <c r="E571" s="283"/>
      <c r="F571" s="283"/>
      <c r="G571" s="282"/>
      <c r="H571" s="282"/>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row>
    <row r="572">
      <c r="A572" s="282"/>
      <c r="B572" s="283"/>
      <c r="C572" s="283"/>
      <c r="D572" s="283"/>
      <c r="E572" s="283"/>
      <c r="F572" s="283"/>
      <c r="G572" s="282"/>
      <c r="H572" s="282"/>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row>
    <row r="573">
      <c r="A573" s="282"/>
      <c r="B573" s="283"/>
      <c r="C573" s="283"/>
      <c r="D573" s="283"/>
      <c r="E573" s="283"/>
      <c r="F573" s="283"/>
      <c r="G573" s="282"/>
      <c r="H573" s="282"/>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row>
    <row r="574">
      <c r="A574" s="282"/>
      <c r="B574" s="283"/>
      <c r="C574" s="283"/>
      <c r="D574" s="283"/>
      <c r="E574" s="283"/>
      <c r="F574" s="283"/>
      <c r="G574" s="282"/>
      <c r="H574" s="282"/>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row>
    <row r="575">
      <c r="A575" s="282"/>
      <c r="B575" s="283"/>
      <c r="C575" s="283"/>
      <c r="D575" s="283"/>
      <c r="E575" s="283"/>
      <c r="F575" s="283"/>
      <c r="G575" s="282"/>
      <c r="H575" s="282"/>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row>
    <row r="576">
      <c r="A576" s="282"/>
      <c r="B576" s="283"/>
      <c r="C576" s="283"/>
      <c r="D576" s="283"/>
      <c r="E576" s="283"/>
      <c r="F576" s="283"/>
      <c r="G576" s="282"/>
      <c r="H576" s="282"/>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row>
    <row r="577">
      <c r="A577" s="282"/>
      <c r="B577" s="283"/>
      <c r="C577" s="283"/>
      <c r="D577" s="283"/>
      <c r="E577" s="283"/>
      <c r="F577" s="283"/>
      <c r="G577" s="282"/>
      <c r="H577" s="282"/>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row>
    <row r="578">
      <c r="A578" s="282"/>
      <c r="B578" s="283"/>
      <c r="C578" s="283"/>
      <c r="D578" s="283"/>
      <c r="E578" s="283"/>
      <c r="F578" s="283"/>
      <c r="G578" s="282"/>
      <c r="H578" s="282"/>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row>
    <row r="579">
      <c r="A579" s="282"/>
      <c r="B579" s="283"/>
      <c r="C579" s="283"/>
      <c r="D579" s="283"/>
      <c r="E579" s="283"/>
      <c r="F579" s="283"/>
      <c r="G579" s="282"/>
      <c r="H579" s="282"/>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row>
    <row r="580">
      <c r="A580" s="282"/>
      <c r="B580" s="283"/>
      <c r="C580" s="283"/>
      <c r="D580" s="283"/>
      <c r="E580" s="283"/>
      <c r="F580" s="283"/>
      <c r="G580" s="282"/>
      <c r="H580" s="282"/>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row>
    <row r="581">
      <c r="A581" s="282"/>
      <c r="B581" s="283"/>
      <c r="C581" s="283"/>
      <c r="D581" s="283"/>
      <c r="E581" s="283"/>
      <c r="F581" s="283"/>
      <c r="G581" s="282"/>
      <c r="H581" s="282"/>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row>
    <row r="582">
      <c r="A582" s="282"/>
      <c r="B582" s="283"/>
      <c r="C582" s="283"/>
      <c r="D582" s="283"/>
      <c r="E582" s="283"/>
      <c r="F582" s="283"/>
      <c r="G582" s="282"/>
      <c r="H582" s="282"/>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row>
    <row r="583">
      <c r="A583" s="282"/>
      <c r="B583" s="283"/>
      <c r="C583" s="283"/>
      <c r="D583" s="283"/>
      <c r="E583" s="283"/>
      <c r="F583" s="283"/>
      <c r="G583" s="282"/>
      <c r="H583" s="282"/>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row>
    <row r="584">
      <c r="A584" s="282"/>
      <c r="B584" s="283"/>
      <c r="C584" s="283"/>
      <c r="D584" s="283"/>
      <c r="E584" s="283"/>
      <c r="F584" s="283"/>
      <c r="G584" s="282"/>
      <c r="H584" s="282"/>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row>
    <row r="585">
      <c r="A585" s="282"/>
      <c r="B585" s="283"/>
      <c r="C585" s="283"/>
      <c r="D585" s="283"/>
      <c r="E585" s="283"/>
      <c r="F585" s="283"/>
      <c r="G585" s="282"/>
      <c r="H585" s="282"/>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row>
    <row r="586">
      <c r="A586" s="282"/>
      <c r="B586" s="283"/>
      <c r="C586" s="283"/>
      <c r="D586" s="283"/>
      <c r="E586" s="283"/>
      <c r="F586" s="283"/>
      <c r="G586" s="282"/>
      <c r="H586" s="282"/>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row>
    <row r="587">
      <c r="A587" s="282"/>
      <c r="B587" s="283"/>
      <c r="C587" s="283"/>
      <c r="D587" s="283"/>
      <c r="E587" s="283"/>
      <c r="F587" s="283"/>
      <c r="G587" s="282"/>
      <c r="H587" s="282"/>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row>
    <row r="588">
      <c r="A588" s="282"/>
      <c r="B588" s="283"/>
      <c r="C588" s="283"/>
      <c r="D588" s="283"/>
      <c r="E588" s="283"/>
      <c r="F588" s="283"/>
      <c r="G588" s="282"/>
      <c r="H588" s="282"/>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row>
    <row r="589">
      <c r="A589" s="282"/>
      <c r="B589" s="283"/>
      <c r="C589" s="283"/>
      <c r="D589" s="283"/>
      <c r="E589" s="283"/>
      <c r="F589" s="283"/>
      <c r="G589" s="282"/>
      <c r="H589" s="282"/>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row>
    <row r="590">
      <c r="A590" s="282"/>
      <c r="B590" s="283"/>
      <c r="C590" s="283"/>
      <c r="D590" s="283"/>
      <c r="E590" s="283"/>
      <c r="F590" s="283"/>
      <c r="G590" s="282"/>
      <c r="H590" s="282"/>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row>
    <row r="591">
      <c r="A591" s="282"/>
      <c r="B591" s="283"/>
      <c r="C591" s="283"/>
      <c r="D591" s="283"/>
      <c r="E591" s="283"/>
      <c r="F591" s="283"/>
      <c r="G591" s="282"/>
      <c r="H591" s="282"/>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row>
    <row r="592">
      <c r="A592" s="282"/>
      <c r="B592" s="283"/>
      <c r="C592" s="283"/>
      <c r="D592" s="283"/>
      <c r="E592" s="283"/>
      <c r="F592" s="283"/>
      <c r="G592" s="282"/>
      <c r="H592" s="282"/>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row>
    <row r="593">
      <c r="A593" s="282"/>
      <c r="B593" s="283"/>
      <c r="C593" s="283"/>
      <c r="D593" s="283"/>
      <c r="E593" s="283"/>
      <c r="F593" s="283"/>
      <c r="G593" s="282"/>
      <c r="H593" s="282"/>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row>
    <row r="594">
      <c r="A594" s="282"/>
      <c r="B594" s="283"/>
      <c r="C594" s="283"/>
      <c r="D594" s="283"/>
      <c r="E594" s="283"/>
      <c r="F594" s="283"/>
      <c r="G594" s="282"/>
      <c r="H594" s="282"/>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row>
    <row r="595">
      <c r="A595" s="282"/>
      <c r="B595" s="283"/>
      <c r="C595" s="283"/>
      <c r="D595" s="283"/>
      <c r="E595" s="283"/>
      <c r="F595" s="283"/>
      <c r="G595" s="282"/>
      <c r="H595" s="282"/>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row>
    <row r="596">
      <c r="A596" s="282"/>
      <c r="B596" s="283"/>
      <c r="C596" s="283"/>
      <c r="D596" s="283"/>
      <c r="E596" s="283"/>
      <c r="F596" s="283"/>
      <c r="G596" s="282"/>
      <c r="H596" s="282"/>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row>
    <row r="597">
      <c r="A597" s="282"/>
      <c r="B597" s="283"/>
      <c r="C597" s="283"/>
      <c r="D597" s="283"/>
      <c r="E597" s="283"/>
      <c r="F597" s="283"/>
      <c r="G597" s="282"/>
      <c r="H597" s="282"/>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row>
    <row r="598">
      <c r="A598" s="282"/>
      <c r="B598" s="283"/>
      <c r="C598" s="283"/>
      <c r="D598" s="283"/>
      <c r="E598" s="283"/>
      <c r="F598" s="283"/>
      <c r="G598" s="282"/>
      <c r="H598" s="282"/>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row>
    <row r="599">
      <c r="A599" s="282"/>
      <c r="B599" s="283"/>
      <c r="C599" s="283"/>
      <c r="D599" s="283"/>
      <c r="E599" s="283"/>
      <c r="F599" s="283"/>
      <c r="G599" s="282"/>
      <c r="H599" s="282"/>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row>
    <row r="600">
      <c r="A600" s="282"/>
      <c r="B600" s="283"/>
      <c r="C600" s="283"/>
      <c r="D600" s="283"/>
      <c r="E600" s="283"/>
      <c r="F600" s="283"/>
      <c r="G600" s="282"/>
      <c r="H600" s="282"/>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row>
    <row r="601">
      <c r="A601" s="282"/>
      <c r="B601" s="283"/>
      <c r="C601" s="283"/>
      <c r="D601" s="283"/>
      <c r="E601" s="283"/>
      <c r="F601" s="283"/>
      <c r="G601" s="282"/>
      <c r="H601" s="282"/>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row>
    <row r="602">
      <c r="A602" s="282"/>
      <c r="B602" s="283"/>
      <c r="C602" s="283"/>
      <c r="D602" s="283"/>
      <c r="E602" s="283"/>
      <c r="F602" s="283"/>
      <c r="G602" s="282"/>
      <c r="H602" s="282"/>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row>
    <row r="603">
      <c r="A603" s="282"/>
      <c r="B603" s="283"/>
      <c r="C603" s="283"/>
      <c r="D603" s="283"/>
      <c r="E603" s="283"/>
      <c r="F603" s="283"/>
      <c r="G603" s="282"/>
      <c r="H603" s="282"/>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row>
    <row r="604">
      <c r="A604" s="282"/>
      <c r="B604" s="283"/>
      <c r="C604" s="283"/>
      <c r="D604" s="283"/>
      <c r="E604" s="283"/>
      <c r="F604" s="283"/>
      <c r="G604" s="282"/>
      <c r="H604" s="282"/>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row>
    <row r="605">
      <c r="A605" s="282"/>
      <c r="B605" s="283"/>
      <c r="C605" s="283"/>
      <c r="D605" s="283"/>
      <c r="E605" s="283"/>
      <c r="F605" s="283"/>
      <c r="G605" s="282"/>
      <c r="H605" s="282"/>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row>
    <row r="606">
      <c r="A606" s="282"/>
      <c r="B606" s="283"/>
      <c r="C606" s="283"/>
      <c r="D606" s="283"/>
      <c r="E606" s="283"/>
      <c r="F606" s="283"/>
      <c r="G606" s="282"/>
      <c r="H606" s="282"/>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row>
    <row r="607">
      <c r="A607" s="282"/>
      <c r="B607" s="283"/>
      <c r="C607" s="283"/>
      <c r="D607" s="283"/>
      <c r="E607" s="283"/>
      <c r="F607" s="283"/>
      <c r="G607" s="282"/>
      <c r="H607" s="282"/>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row>
    <row r="608">
      <c r="A608" s="282"/>
      <c r="B608" s="283"/>
      <c r="C608" s="283"/>
      <c r="D608" s="283"/>
      <c r="E608" s="283"/>
      <c r="F608" s="283"/>
      <c r="G608" s="282"/>
      <c r="H608" s="282"/>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row>
    <row r="609">
      <c r="A609" s="282"/>
      <c r="B609" s="283"/>
      <c r="C609" s="283"/>
      <c r="D609" s="283"/>
      <c r="E609" s="283"/>
      <c r="F609" s="283"/>
      <c r="G609" s="282"/>
      <c r="H609" s="282"/>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row>
    <row r="610">
      <c r="A610" s="282"/>
      <c r="B610" s="283"/>
      <c r="C610" s="283"/>
      <c r="D610" s="283"/>
      <c r="E610" s="283"/>
      <c r="F610" s="283"/>
      <c r="G610" s="282"/>
      <c r="H610" s="282"/>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row>
    <row r="611">
      <c r="A611" s="282"/>
      <c r="B611" s="283"/>
      <c r="C611" s="283"/>
      <c r="D611" s="283"/>
      <c r="E611" s="283"/>
      <c r="F611" s="283"/>
      <c r="G611" s="282"/>
      <c r="H611" s="282"/>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row>
    <row r="612">
      <c r="A612" s="282"/>
      <c r="B612" s="283"/>
      <c r="C612" s="283"/>
      <c r="D612" s="283"/>
      <c r="E612" s="283"/>
      <c r="F612" s="283"/>
      <c r="G612" s="282"/>
      <c r="H612" s="282"/>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row>
    <row r="613">
      <c r="A613" s="282"/>
      <c r="B613" s="283"/>
      <c r="C613" s="283"/>
      <c r="D613" s="283"/>
      <c r="E613" s="283"/>
      <c r="F613" s="283"/>
      <c r="G613" s="282"/>
      <c r="H613" s="282"/>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row>
    <row r="614">
      <c r="A614" s="282"/>
      <c r="B614" s="283"/>
      <c r="C614" s="283"/>
      <c r="D614" s="283"/>
      <c r="E614" s="283"/>
      <c r="F614" s="283"/>
      <c r="G614" s="282"/>
      <c r="H614" s="282"/>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row>
    <row r="615">
      <c r="A615" s="282"/>
      <c r="B615" s="283"/>
      <c r="C615" s="283"/>
      <c r="D615" s="283"/>
      <c r="E615" s="283"/>
      <c r="F615" s="283"/>
      <c r="G615" s="282"/>
      <c r="H615" s="282"/>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row>
    <row r="616">
      <c r="A616" s="282"/>
      <c r="B616" s="283"/>
      <c r="C616" s="283"/>
      <c r="D616" s="283"/>
      <c r="E616" s="283"/>
      <c r="F616" s="283"/>
      <c r="G616" s="282"/>
      <c r="H616" s="282"/>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row>
    <row r="617">
      <c r="A617" s="282"/>
      <c r="B617" s="283"/>
      <c r="C617" s="283"/>
      <c r="D617" s="283"/>
      <c r="E617" s="283"/>
      <c r="F617" s="283"/>
      <c r="G617" s="282"/>
      <c r="H617" s="282"/>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row>
    <row r="618">
      <c r="A618" s="282"/>
      <c r="B618" s="283"/>
      <c r="C618" s="283"/>
      <c r="D618" s="283"/>
      <c r="E618" s="283"/>
      <c r="F618" s="283"/>
      <c r="G618" s="282"/>
      <c r="H618" s="282"/>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row>
    <row r="619">
      <c r="A619" s="282"/>
      <c r="B619" s="283"/>
      <c r="C619" s="283"/>
      <c r="D619" s="283"/>
      <c r="E619" s="283"/>
      <c r="F619" s="283"/>
      <c r="G619" s="282"/>
      <c r="H619" s="282"/>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row>
    <row r="620">
      <c r="A620" s="282"/>
      <c r="B620" s="283"/>
      <c r="C620" s="283"/>
      <c r="D620" s="283"/>
      <c r="E620" s="283"/>
      <c r="F620" s="283"/>
      <c r="G620" s="282"/>
      <c r="H620" s="282"/>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row>
    <row r="621">
      <c r="A621" s="282"/>
      <c r="B621" s="283"/>
      <c r="C621" s="283"/>
      <c r="D621" s="283"/>
      <c r="E621" s="283"/>
      <c r="F621" s="283"/>
      <c r="G621" s="282"/>
      <c r="H621" s="282"/>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row>
    <row r="622">
      <c r="A622" s="282"/>
      <c r="B622" s="283"/>
      <c r="C622" s="283"/>
      <c r="D622" s="283"/>
      <c r="E622" s="283"/>
      <c r="F622" s="283"/>
      <c r="G622" s="282"/>
      <c r="H622" s="282"/>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row>
    <row r="623">
      <c r="A623" s="282"/>
      <c r="B623" s="283"/>
      <c r="C623" s="283"/>
      <c r="D623" s="283"/>
      <c r="E623" s="283"/>
      <c r="F623" s="283"/>
      <c r="G623" s="282"/>
      <c r="H623" s="282"/>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row>
    <row r="624">
      <c r="A624" s="282"/>
      <c r="B624" s="283"/>
      <c r="C624" s="283"/>
      <c r="D624" s="283"/>
      <c r="E624" s="283"/>
      <c r="F624" s="283"/>
      <c r="G624" s="282"/>
      <c r="H624" s="282"/>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row>
    <row r="625">
      <c r="A625" s="282"/>
      <c r="B625" s="283"/>
      <c r="C625" s="283"/>
      <c r="D625" s="283"/>
      <c r="E625" s="283"/>
      <c r="F625" s="283"/>
      <c r="G625" s="282"/>
      <c r="H625" s="282"/>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row>
    <row r="626">
      <c r="A626" s="282"/>
      <c r="B626" s="283"/>
      <c r="C626" s="283"/>
      <c r="D626" s="283"/>
      <c r="E626" s="283"/>
      <c r="F626" s="283"/>
      <c r="G626" s="282"/>
      <c r="H626" s="282"/>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row>
    <row r="627">
      <c r="A627" s="282"/>
      <c r="B627" s="283"/>
      <c r="C627" s="283"/>
      <c r="D627" s="283"/>
      <c r="E627" s="283"/>
      <c r="F627" s="283"/>
      <c r="G627" s="282"/>
      <c r="H627" s="282"/>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row>
    <row r="628">
      <c r="A628" s="282"/>
      <c r="B628" s="283"/>
      <c r="C628" s="283"/>
      <c r="D628" s="283"/>
      <c r="E628" s="283"/>
      <c r="F628" s="283"/>
      <c r="G628" s="282"/>
      <c r="H628" s="282"/>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row>
    <row r="629">
      <c r="A629" s="282"/>
      <c r="B629" s="283"/>
      <c r="C629" s="283"/>
      <c r="D629" s="283"/>
      <c r="E629" s="283"/>
      <c r="F629" s="283"/>
      <c r="G629" s="282"/>
      <c r="H629" s="282"/>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row>
    <row r="630">
      <c r="A630" s="282"/>
      <c r="B630" s="283"/>
      <c r="C630" s="283"/>
      <c r="D630" s="283"/>
      <c r="E630" s="283"/>
      <c r="F630" s="283"/>
      <c r="G630" s="282"/>
      <c r="H630" s="282"/>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row>
    <row r="631">
      <c r="A631" s="282"/>
      <c r="B631" s="283"/>
      <c r="C631" s="283"/>
      <c r="D631" s="283"/>
      <c r="E631" s="283"/>
      <c r="F631" s="283"/>
      <c r="G631" s="282"/>
      <c r="H631" s="282"/>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row>
    <row r="632">
      <c r="A632" s="282"/>
      <c r="B632" s="283"/>
      <c r="C632" s="283"/>
      <c r="D632" s="283"/>
      <c r="E632" s="283"/>
      <c r="F632" s="283"/>
      <c r="G632" s="282"/>
      <c r="H632" s="282"/>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row>
    <row r="633">
      <c r="A633" s="282"/>
      <c r="B633" s="283"/>
      <c r="C633" s="283"/>
      <c r="D633" s="283"/>
      <c r="E633" s="283"/>
      <c r="F633" s="283"/>
      <c r="G633" s="282"/>
      <c r="H633" s="282"/>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row>
    <row r="634">
      <c r="A634" s="282"/>
      <c r="B634" s="283"/>
      <c r="C634" s="283"/>
      <c r="D634" s="283"/>
      <c r="E634" s="283"/>
      <c r="F634" s="283"/>
      <c r="G634" s="282"/>
      <c r="H634" s="282"/>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row>
    <row r="635">
      <c r="A635" s="282"/>
      <c r="B635" s="283"/>
      <c r="C635" s="283"/>
      <c r="D635" s="283"/>
      <c r="E635" s="283"/>
      <c r="F635" s="283"/>
      <c r="G635" s="282"/>
      <c r="H635" s="282"/>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row>
    <row r="636">
      <c r="A636" s="282"/>
      <c r="B636" s="283"/>
      <c r="C636" s="283"/>
      <c r="D636" s="283"/>
      <c r="E636" s="283"/>
      <c r="F636" s="283"/>
      <c r="G636" s="282"/>
      <c r="H636" s="282"/>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row>
    <row r="637">
      <c r="A637" s="282"/>
      <c r="B637" s="283"/>
      <c r="C637" s="283"/>
      <c r="D637" s="283"/>
      <c r="E637" s="283"/>
      <c r="F637" s="283"/>
      <c r="G637" s="282"/>
      <c r="H637" s="282"/>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row>
    <row r="638">
      <c r="A638" s="282"/>
      <c r="B638" s="283"/>
      <c r="C638" s="283"/>
      <c r="D638" s="283"/>
      <c r="E638" s="283"/>
      <c r="F638" s="283"/>
      <c r="G638" s="282"/>
      <c r="H638" s="282"/>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row>
    <row r="639">
      <c r="A639" s="282"/>
      <c r="B639" s="283"/>
      <c r="C639" s="283"/>
      <c r="D639" s="283"/>
      <c r="E639" s="283"/>
      <c r="F639" s="283"/>
      <c r="G639" s="282"/>
      <c r="H639" s="282"/>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row>
    <row r="640">
      <c r="A640" s="282"/>
      <c r="B640" s="283"/>
      <c r="C640" s="283"/>
      <c r="D640" s="283"/>
      <c r="E640" s="283"/>
      <c r="F640" s="283"/>
      <c r="G640" s="282"/>
      <c r="H640" s="282"/>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row>
    <row r="641">
      <c r="A641" s="282"/>
      <c r="B641" s="283"/>
      <c r="C641" s="283"/>
      <c r="D641" s="283"/>
      <c r="E641" s="283"/>
      <c r="F641" s="283"/>
      <c r="G641" s="282"/>
      <c r="H641" s="282"/>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row>
    <row r="642">
      <c r="A642" s="282"/>
      <c r="B642" s="283"/>
      <c r="C642" s="283"/>
      <c r="D642" s="283"/>
      <c r="E642" s="283"/>
      <c r="F642" s="283"/>
      <c r="G642" s="282"/>
      <c r="H642" s="282"/>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row>
    <row r="643">
      <c r="A643" s="282"/>
      <c r="B643" s="283"/>
      <c r="C643" s="283"/>
      <c r="D643" s="283"/>
      <c r="E643" s="283"/>
      <c r="F643" s="283"/>
      <c r="G643" s="282"/>
      <c r="H643" s="282"/>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row>
    <row r="644">
      <c r="A644" s="282"/>
      <c r="B644" s="283"/>
      <c r="C644" s="283"/>
      <c r="D644" s="283"/>
      <c r="E644" s="283"/>
      <c r="F644" s="283"/>
      <c r="G644" s="282"/>
      <c r="H644" s="282"/>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row>
    <row r="645">
      <c r="A645" s="282"/>
      <c r="B645" s="283"/>
      <c r="C645" s="283"/>
      <c r="D645" s="283"/>
      <c r="E645" s="283"/>
      <c r="F645" s="283"/>
      <c r="G645" s="282"/>
      <c r="H645" s="282"/>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row>
    <row r="646">
      <c r="A646" s="282"/>
      <c r="B646" s="283"/>
      <c r="C646" s="283"/>
      <c r="D646" s="283"/>
      <c r="E646" s="283"/>
      <c r="F646" s="283"/>
      <c r="G646" s="282"/>
      <c r="H646" s="282"/>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row>
    <row r="647">
      <c r="A647" s="282"/>
      <c r="B647" s="283"/>
      <c r="C647" s="283"/>
      <c r="D647" s="283"/>
      <c r="E647" s="283"/>
      <c r="F647" s="283"/>
      <c r="G647" s="282"/>
      <c r="H647" s="282"/>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row>
    <row r="648">
      <c r="A648" s="282"/>
      <c r="B648" s="283"/>
      <c r="C648" s="283"/>
      <c r="D648" s="283"/>
      <c r="E648" s="283"/>
      <c r="F648" s="283"/>
      <c r="G648" s="282"/>
      <c r="H648" s="282"/>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row>
    <row r="649">
      <c r="A649" s="282"/>
      <c r="B649" s="283"/>
      <c r="C649" s="283"/>
      <c r="D649" s="283"/>
      <c r="E649" s="283"/>
      <c r="F649" s="283"/>
      <c r="G649" s="282"/>
      <c r="H649" s="282"/>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row>
    <row r="650">
      <c r="A650" s="282"/>
      <c r="B650" s="283"/>
      <c r="C650" s="283"/>
      <c r="D650" s="283"/>
      <c r="E650" s="283"/>
      <c r="F650" s="283"/>
      <c r="G650" s="282"/>
      <c r="H650" s="282"/>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row>
    <row r="651">
      <c r="A651" s="282"/>
      <c r="B651" s="283"/>
      <c r="C651" s="283"/>
      <c r="D651" s="283"/>
      <c r="E651" s="283"/>
      <c r="F651" s="283"/>
      <c r="G651" s="282"/>
      <c r="H651" s="282"/>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row>
    <row r="652">
      <c r="A652" s="282"/>
      <c r="B652" s="283"/>
      <c r="C652" s="283"/>
      <c r="D652" s="283"/>
      <c r="E652" s="283"/>
      <c r="F652" s="283"/>
      <c r="G652" s="282"/>
      <c r="H652" s="282"/>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row>
    <row r="653">
      <c r="A653" s="282"/>
      <c r="B653" s="283"/>
      <c r="C653" s="283"/>
      <c r="D653" s="283"/>
      <c r="E653" s="283"/>
      <c r="F653" s="283"/>
      <c r="G653" s="282"/>
      <c r="H653" s="282"/>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row>
    <row r="654">
      <c r="A654" s="282"/>
      <c r="B654" s="283"/>
      <c r="C654" s="283"/>
      <c r="D654" s="283"/>
      <c r="E654" s="283"/>
      <c r="F654" s="283"/>
      <c r="G654" s="282"/>
      <c r="H654" s="282"/>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row>
    <row r="655">
      <c r="A655" s="282"/>
      <c r="B655" s="283"/>
      <c r="C655" s="283"/>
      <c r="D655" s="283"/>
      <c r="E655" s="283"/>
      <c r="F655" s="283"/>
      <c r="G655" s="282"/>
      <c r="H655" s="282"/>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row>
    <row r="656">
      <c r="A656" s="282"/>
      <c r="B656" s="283"/>
      <c r="C656" s="283"/>
      <c r="D656" s="283"/>
      <c r="E656" s="283"/>
      <c r="F656" s="283"/>
      <c r="G656" s="282"/>
      <c r="H656" s="282"/>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row>
    <row r="657">
      <c r="A657" s="282"/>
      <c r="B657" s="283"/>
      <c r="C657" s="283"/>
      <c r="D657" s="283"/>
      <c r="E657" s="283"/>
      <c r="F657" s="283"/>
      <c r="G657" s="282"/>
      <c r="H657" s="282"/>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row>
    <row r="658">
      <c r="A658" s="282"/>
      <c r="B658" s="283"/>
      <c r="C658" s="283"/>
      <c r="D658" s="283"/>
      <c r="E658" s="283"/>
      <c r="F658" s="283"/>
      <c r="G658" s="282"/>
      <c r="H658" s="282"/>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row>
    <row r="659">
      <c r="A659" s="282"/>
      <c r="B659" s="283"/>
      <c r="C659" s="283"/>
      <c r="D659" s="283"/>
      <c r="E659" s="283"/>
      <c r="F659" s="283"/>
      <c r="G659" s="282"/>
      <c r="H659" s="282"/>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row>
    <row r="660">
      <c r="A660" s="282"/>
      <c r="B660" s="283"/>
      <c r="C660" s="283"/>
      <c r="D660" s="283"/>
      <c r="E660" s="283"/>
      <c r="F660" s="283"/>
      <c r="G660" s="282"/>
      <c r="H660" s="282"/>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row>
    <row r="661">
      <c r="A661" s="282"/>
      <c r="B661" s="283"/>
      <c r="C661" s="283"/>
      <c r="D661" s="283"/>
      <c r="E661" s="283"/>
      <c r="F661" s="283"/>
      <c r="G661" s="282"/>
      <c r="H661" s="282"/>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row>
    <row r="662">
      <c r="A662" s="282"/>
      <c r="B662" s="283"/>
      <c r="C662" s="283"/>
      <c r="D662" s="283"/>
      <c r="E662" s="283"/>
      <c r="F662" s="283"/>
      <c r="G662" s="282"/>
      <c r="H662" s="282"/>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row>
    <row r="663">
      <c r="A663" s="282"/>
      <c r="B663" s="283"/>
      <c r="C663" s="283"/>
      <c r="D663" s="283"/>
      <c r="E663" s="283"/>
      <c r="F663" s="283"/>
      <c r="G663" s="282"/>
      <c r="H663" s="282"/>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row>
    <row r="664">
      <c r="A664" s="282"/>
      <c r="B664" s="283"/>
      <c r="C664" s="283"/>
      <c r="D664" s="283"/>
      <c r="E664" s="283"/>
      <c r="F664" s="283"/>
      <c r="G664" s="282"/>
      <c r="H664" s="282"/>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row>
    <row r="665">
      <c r="A665" s="282"/>
      <c r="B665" s="283"/>
      <c r="C665" s="283"/>
      <c r="D665" s="283"/>
      <c r="E665" s="283"/>
      <c r="F665" s="283"/>
      <c r="G665" s="282"/>
      <c r="H665" s="282"/>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row>
    <row r="666">
      <c r="A666" s="282"/>
      <c r="B666" s="283"/>
      <c r="C666" s="283"/>
      <c r="D666" s="283"/>
      <c r="E666" s="283"/>
      <c r="F666" s="283"/>
      <c r="G666" s="282"/>
      <c r="H666" s="282"/>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row>
    <row r="667">
      <c r="A667" s="282"/>
      <c r="B667" s="283"/>
      <c r="C667" s="283"/>
      <c r="D667" s="283"/>
      <c r="E667" s="283"/>
      <c r="F667" s="283"/>
      <c r="G667" s="282"/>
      <c r="H667" s="282"/>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row>
    <row r="668">
      <c r="A668" s="282"/>
      <c r="B668" s="283"/>
      <c r="C668" s="283"/>
      <c r="D668" s="283"/>
      <c r="E668" s="283"/>
      <c r="F668" s="283"/>
      <c r="G668" s="282"/>
      <c r="H668" s="282"/>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row>
    <row r="669">
      <c r="A669" s="282"/>
      <c r="B669" s="283"/>
      <c r="C669" s="283"/>
      <c r="D669" s="283"/>
      <c r="E669" s="283"/>
      <c r="F669" s="283"/>
      <c r="G669" s="282"/>
      <c r="H669" s="282"/>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row>
    <row r="670">
      <c r="A670" s="282"/>
      <c r="B670" s="283"/>
      <c r="C670" s="283"/>
      <c r="D670" s="283"/>
      <c r="E670" s="283"/>
      <c r="F670" s="283"/>
      <c r="G670" s="282"/>
      <c r="H670" s="282"/>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row>
    <row r="671">
      <c r="A671" s="282"/>
      <c r="B671" s="283"/>
      <c r="C671" s="283"/>
      <c r="D671" s="283"/>
      <c r="E671" s="283"/>
      <c r="F671" s="283"/>
      <c r="G671" s="282"/>
      <c r="H671" s="282"/>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row>
    <row r="672">
      <c r="A672" s="282"/>
      <c r="B672" s="283"/>
      <c r="C672" s="283"/>
      <c r="D672" s="283"/>
      <c r="E672" s="283"/>
      <c r="F672" s="283"/>
      <c r="G672" s="282"/>
      <c r="H672" s="282"/>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row>
    <row r="673">
      <c r="A673" s="282"/>
      <c r="B673" s="283"/>
      <c r="C673" s="283"/>
      <c r="D673" s="283"/>
      <c r="E673" s="283"/>
      <c r="F673" s="283"/>
      <c r="G673" s="282"/>
      <c r="H673" s="282"/>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row>
    <row r="674">
      <c r="A674" s="282"/>
      <c r="B674" s="283"/>
      <c r="C674" s="283"/>
      <c r="D674" s="283"/>
      <c r="E674" s="283"/>
      <c r="F674" s="283"/>
      <c r="G674" s="282"/>
      <c r="H674" s="282"/>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row>
    <row r="675">
      <c r="A675" s="282"/>
      <c r="B675" s="283"/>
      <c r="C675" s="283"/>
      <c r="D675" s="283"/>
      <c r="E675" s="283"/>
      <c r="F675" s="283"/>
      <c r="G675" s="282"/>
      <c r="H675" s="282"/>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row>
    <row r="676">
      <c r="A676" s="282"/>
      <c r="B676" s="283"/>
      <c r="C676" s="283"/>
      <c r="D676" s="283"/>
      <c r="E676" s="283"/>
      <c r="F676" s="283"/>
      <c r="G676" s="282"/>
      <c r="H676" s="282"/>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row>
    <row r="677">
      <c r="A677" s="282"/>
      <c r="B677" s="283"/>
      <c r="C677" s="283"/>
      <c r="D677" s="283"/>
      <c r="E677" s="283"/>
      <c r="F677" s="283"/>
      <c r="G677" s="282"/>
      <c r="H677" s="282"/>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row>
    <row r="678">
      <c r="A678" s="282"/>
      <c r="B678" s="283"/>
      <c r="C678" s="283"/>
      <c r="D678" s="283"/>
      <c r="E678" s="283"/>
      <c r="F678" s="283"/>
      <c r="G678" s="282"/>
      <c r="H678" s="282"/>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row>
    <row r="679">
      <c r="A679" s="282"/>
      <c r="B679" s="283"/>
      <c r="C679" s="283"/>
      <c r="D679" s="283"/>
      <c r="E679" s="283"/>
      <c r="F679" s="283"/>
      <c r="G679" s="282"/>
      <c r="H679" s="282"/>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row>
    <row r="680">
      <c r="A680" s="282"/>
      <c r="B680" s="283"/>
      <c r="C680" s="283"/>
      <c r="D680" s="283"/>
      <c r="E680" s="283"/>
      <c r="F680" s="283"/>
      <c r="G680" s="282"/>
      <c r="H680" s="282"/>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row>
    <row r="681">
      <c r="A681" s="282"/>
      <c r="B681" s="283"/>
      <c r="C681" s="283"/>
      <c r="D681" s="283"/>
      <c r="E681" s="283"/>
      <c r="F681" s="283"/>
      <c r="G681" s="282"/>
      <c r="H681" s="282"/>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row>
    <row r="682">
      <c r="A682" s="282"/>
      <c r="B682" s="283"/>
      <c r="C682" s="283"/>
      <c r="D682" s="283"/>
      <c r="E682" s="283"/>
      <c r="F682" s="283"/>
      <c r="G682" s="282"/>
      <c r="H682" s="282"/>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row>
    <row r="683">
      <c r="A683" s="282"/>
      <c r="B683" s="283"/>
      <c r="C683" s="283"/>
      <c r="D683" s="283"/>
      <c r="E683" s="283"/>
      <c r="F683" s="283"/>
      <c r="G683" s="282"/>
      <c r="H683" s="282"/>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row>
    <row r="684">
      <c r="A684" s="282"/>
      <c r="B684" s="283"/>
      <c r="C684" s="283"/>
      <c r="D684" s="283"/>
      <c r="E684" s="283"/>
      <c r="F684" s="283"/>
      <c r="G684" s="282"/>
      <c r="H684" s="282"/>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row>
    <row r="685">
      <c r="A685" s="282"/>
      <c r="B685" s="283"/>
      <c r="C685" s="283"/>
      <c r="D685" s="283"/>
      <c r="E685" s="283"/>
      <c r="F685" s="283"/>
      <c r="G685" s="282"/>
      <c r="H685" s="282"/>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row>
    <row r="686">
      <c r="A686" s="282"/>
      <c r="B686" s="283"/>
      <c r="C686" s="283"/>
      <c r="D686" s="283"/>
      <c r="E686" s="283"/>
      <c r="F686" s="283"/>
      <c r="G686" s="282"/>
      <c r="H686" s="282"/>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row>
    <row r="687">
      <c r="A687" s="282"/>
      <c r="B687" s="283"/>
      <c r="C687" s="283"/>
      <c r="D687" s="283"/>
      <c r="E687" s="283"/>
      <c r="F687" s="283"/>
      <c r="G687" s="282"/>
      <c r="H687" s="282"/>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row>
    <row r="688">
      <c r="A688" s="282"/>
      <c r="B688" s="283"/>
      <c r="C688" s="283"/>
      <c r="D688" s="283"/>
      <c r="E688" s="283"/>
      <c r="F688" s="283"/>
      <c r="G688" s="282"/>
      <c r="H688" s="282"/>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row>
    <row r="689">
      <c r="A689" s="282"/>
      <c r="B689" s="283"/>
      <c r="C689" s="283"/>
      <c r="D689" s="283"/>
      <c r="E689" s="283"/>
      <c r="F689" s="283"/>
      <c r="G689" s="282"/>
      <c r="H689" s="282"/>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row>
    <row r="690">
      <c r="A690" s="282"/>
      <c r="B690" s="283"/>
      <c r="C690" s="283"/>
      <c r="D690" s="283"/>
      <c r="E690" s="283"/>
      <c r="F690" s="283"/>
      <c r="G690" s="282"/>
      <c r="H690" s="282"/>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row>
    <row r="691">
      <c r="A691" s="282"/>
      <c r="B691" s="283"/>
      <c r="C691" s="283"/>
      <c r="D691" s="283"/>
      <c r="E691" s="283"/>
      <c r="F691" s="283"/>
      <c r="G691" s="282"/>
      <c r="H691" s="282"/>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row>
    <row r="692">
      <c r="A692" s="282"/>
      <c r="B692" s="283"/>
      <c r="C692" s="283"/>
      <c r="D692" s="283"/>
      <c r="E692" s="283"/>
      <c r="F692" s="283"/>
      <c r="G692" s="282"/>
      <c r="H692" s="282"/>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row>
    <row r="693">
      <c r="A693" s="282"/>
      <c r="B693" s="283"/>
      <c r="C693" s="283"/>
      <c r="D693" s="283"/>
      <c r="E693" s="283"/>
      <c r="F693" s="283"/>
      <c r="G693" s="282"/>
      <c r="H693" s="282"/>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row>
    <row r="694">
      <c r="A694" s="282"/>
      <c r="B694" s="283"/>
      <c r="C694" s="283"/>
      <c r="D694" s="283"/>
      <c r="E694" s="283"/>
      <c r="F694" s="283"/>
      <c r="G694" s="282"/>
      <c r="H694" s="282"/>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row>
    <row r="695">
      <c r="A695" s="282"/>
      <c r="B695" s="283"/>
      <c r="C695" s="283"/>
      <c r="D695" s="283"/>
      <c r="E695" s="283"/>
      <c r="F695" s="283"/>
      <c r="G695" s="282"/>
      <c r="H695" s="282"/>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row>
    <row r="696">
      <c r="A696" s="282"/>
      <c r="B696" s="283"/>
      <c r="C696" s="283"/>
      <c r="D696" s="283"/>
      <c r="E696" s="283"/>
      <c r="F696" s="283"/>
      <c r="G696" s="282"/>
      <c r="H696" s="282"/>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row>
    <row r="697">
      <c r="A697" s="282"/>
      <c r="B697" s="283"/>
      <c r="C697" s="283"/>
      <c r="D697" s="283"/>
      <c r="E697" s="283"/>
      <c r="F697" s="283"/>
      <c r="G697" s="282"/>
      <c r="H697" s="282"/>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row>
    <row r="698">
      <c r="A698" s="282"/>
      <c r="B698" s="283"/>
      <c r="C698" s="283"/>
      <c r="D698" s="283"/>
      <c r="E698" s="283"/>
      <c r="F698" s="283"/>
      <c r="G698" s="282"/>
      <c r="H698" s="282"/>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row>
    <row r="699">
      <c r="A699" s="282"/>
      <c r="B699" s="283"/>
      <c r="C699" s="283"/>
      <c r="D699" s="283"/>
      <c r="E699" s="283"/>
      <c r="F699" s="283"/>
      <c r="G699" s="282"/>
      <c r="H699" s="282"/>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row>
    <row r="700">
      <c r="A700" s="282"/>
      <c r="B700" s="283"/>
      <c r="C700" s="283"/>
      <c r="D700" s="283"/>
      <c r="E700" s="283"/>
      <c r="F700" s="283"/>
      <c r="G700" s="282"/>
      <c r="H700" s="282"/>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row>
    <row r="701">
      <c r="A701" s="282"/>
      <c r="B701" s="283"/>
      <c r="C701" s="283"/>
      <c r="D701" s="283"/>
      <c r="E701" s="283"/>
      <c r="F701" s="283"/>
      <c r="G701" s="282"/>
      <c r="H701" s="282"/>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row>
    <row r="702">
      <c r="A702" s="282"/>
      <c r="B702" s="283"/>
      <c r="C702" s="283"/>
      <c r="D702" s="283"/>
      <c r="E702" s="283"/>
      <c r="F702" s="283"/>
      <c r="G702" s="282"/>
      <c r="H702" s="282"/>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row>
    <row r="703">
      <c r="A703" s="282"/>
      <c r="B703" s="283"/>
      <c r="C703" s="283"/>
      <c r="D703" s="283"/>
      <c r="E703" s="283"/>
      <c r="F703" s="283"/>
      <c r="G703" s="282"/>
      <c r="H703" s="282"/>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row>
    <row r="704">
      <c r="A704" s="282"/>
      <c r="B704" s="283"/>
      <c r="C704" s="283"/>
      <c r="D704" s="283"/>
      <c r="E704" s="283"/>
      <c r="F704" s="283"/>
      <c r="G704" s="282"/>
      <c r="H704" s="282"/>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row>
    <row r="705">
      <c r="A705" s="282"/>
      <c r="B705" s="283"/>
      <c r="C705" s="283"/>
      <c r="D705" s="283"/>
      <c r="E705" s="283"/>
      <c r="F705" s="283"/>
      <c r="G705" s="282"/>
      <c r="H705" s="282"/>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row>
    <row r="706">
      <c r="A706" s="282"/>
      <c r="B706" s="283"/>
      <c r="C706" s="283"/>
      <c r="D706" s="283"/>
      <c r="E706" s="283"/>
      <c r="F706" s="283"/>
      <c r="G706" s="282"/>
      <c r="H706" s="282"/>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row>
    <row r="707">
      <c r="A707" s="282"/>
      <c r="B707" s="283"/>
      <c r="C707" s="283"/>
      <c r="D707" s="283"/>
      <c r="E707" s="283"/>
      <c r="F707" s="283"/>
      <c r="G707" s="282"/>
      <c r="H707" s="282"/>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row>
    <row r="708">
      <c r="A708" s="282"/>
      <c r="B708" s="283"/>
      <c r="C708" s="283"/>
      <c r="D708" s="283"/>
      <c r="E708" s="283"/>
      <c r="F708" s="283"/>
      <c r="G708" s="282"/>
      <c r="H708" s="282"/>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row>
    <row r="709">
      <c r="A709" s="282"/>
      <c r="B709" s="283"/>
      <c r="C709" s="283"/>
      <c r="D709" s="283"/>
      <c r="E709" s="283"/>
      <c r="F709" s="283"/>
      <c r="G709" s="282"/>
      <c r="H709" s="282"/>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row>
    <row r="710">
      <c r="A710" s="282"/>
      <c r="B710" s="283"/>
      <c r="C710" s="283"/>
      <c r="D710" s="283"/>
      <c r="E710" s="283"/>
      <c r="F710" s="283"/>
      <c r="G710" s="282"/>
      <c r="H710" s="282"/>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row>
    <row r="711">
      <c r="A711" s="282"/>
      <c r="B711" s="283"/>
      <c r="C711" s="283"/>
      <c r="D711" s="283"/>
      <c r="E711" s="283"/>
      <c r="F711" s="283"/>
      <c r="G711" s="282"/>
      <c r="H711" s="282"/>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row>
    <row r="712">
      <c r="A712" s="282"/>
      <c r="B712" s="283"/>
      <c r="C712" s="283"/>
      <c r="D712" s="283"/>
      <c r="E712" s="283"/>
      <c r="F712" s="283"/>
      <c r="G712" s="282"/>
      <c r="H712" s="282"/>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row>
    <row r="713">
      <c r="A713" s="282"/>
      <c r="B713" s="283"/>
      <c r="C713" s="283"/>
      <c r="D713" s="283"/>
      <c r="E713" s="283"/>
      <c r="F713" s="283"/>
      <c r="G713" s="282"/>
      <c r="H713" s="282"/>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row>
    <row r="714">
      <c r="A714" s="282"/>
      <c r="B714" s="283"/>
      <c r="C714" s="283"/>
      <c r="D714" s="283"/>
      <c r="E714" s="283"/>
      <c r="F714" s="283"/>
      <c r="G714" s="282"/>
      <c r="H714" s="282"/>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row>
    <row r="715">
      <c r="A715" s="282"/>
      <c r="B715" s="283"/>
      <c r="C715" s="283"/>
      <c r="D715" s="283"/>
      <c r="E715" s="283"/>
      <c r="F715" s="283"/>
      <c r="G715" s="282"/>
      <c r="H715" s="282"/>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row>
    <row r="716">
      <c r="A716" s="282"/>
      <c r="B716" s="283"/>
      <c r="C716" s="283"/>
      <c r="D716" s="283"/>
      <c r="E716" s="283"/>
      <c r="F716" s="283"/>
      <c r="G716" s="282"/>
      <c r="H716" s="282"/>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row>
    <row r="717">
      <c r="A717" s="282"/>
      <c r="B717" s="283"/>
      <c r="C717" s="283"/>
      <c r="D717" s="283"/>
      <c r="E717" s="283"/>
      <c r="F717" s="283"/>
      <c r="G717" s="282"/>
      <c r="H717" s="282"/>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row>
    <row r="718">
      <c r="A718" s="282"/>
      <c r="B718" s="283"/>
      <c r="C718" s="283"/>
      <c r="D718" s="283"/>
      <c r="E718" s="283"/>
      <c r="F718" s="283"/>
      <c r="G718" s="282"/>
      <c r="H718" s="282"/>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row>
    <row r="719">
      <c r="A719" s="282"/>
      <c r="B719" s="283"/>
      <c r="C719" s="283"/>
      <c r="D719" s="283"/>
      <c r="E719" s="283"/>
      <c r="F719" s="283"/>
      <c r="G719" s="282"/>
      <c r="H719" s="282"/>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row>
    <row r="720">
      <c r="A720" s="282"/>
      <c r="B720" s="283"/>
      <c r="C720" s="283"/>
      <c r="D720" s="283"/>
      <c r="E720" s="283"/>
      <c r="F720" s="283"/>
      <c r="G720" s="282"/>
      <c r="H720" s="282"/>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row>
    <row r="721">
      <c r="A721" s="282"/>
      <c r="B721" s="283"/>
      <c r="C721" s="283"/>
      <c r="D721" s="283"/>
      <c r="E721" s="283"/>
      <c r="F721" s="283"/>
      <c r="G721" s="282"/>
      <c r="H721" s="282"/>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row>
    <row r="722">
      <c r="A722" s="282"/>
      <c r="B722" s="283"/>
      <c r="C722" s="283"/>
      <c r="D722" s="283"/>
      <c r="E722" s="283"/>
      <c r="F722" s="283"/>
      <c r="G722" s="282"/>
      <c r="H722" s="282"/>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row>
    <row r="723">
      <c r="A723" s="282"/>
      <c r="B723" s="283"/>
      <c r="C723" s="283"/>
      <c r="D723" s="283"/>
      <c r="E723" s="283"/>
      <c r="F723" s="283"/>
      <c r="G723" s="282"/>
      <c r="H723" s="282"/>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row>
    <row r="724">
      <c r="A724" s="282"/>
      <c r="B724" s="283"/>
      <c r="C724" s="283"/>
      <c r="D724" s="283"/>
      <c r="E724" s="283"/>
      <c r="F724" s="283"/>
      <c r="G724" s="282"/>
      <c r="H724" s="282"/>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row>
    <row r="725">
      <c r="A725" s="282"/>
      <c r="B725" s="283"/>
      <c r="C725" s="283"/>
      <c r="D725" s="283"/>
      <c r="E725" s="283"/>
      <c r="F725" s="283"/>
      <c r="G725" s="282"/>
      <c r="H725" s="282"/>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row>
    <row r="726">
      <c r="A726" s="282"/>
      <c r="B726" s="283"/>
      <c r="C726" s="283"/>
      <c r="D726" s="283"/>
      <c r="E726" s="283"/>
      <c r="F726" s="283"/>
      <c r="G726" s="282"/>
      <c r="H726" s="282"/>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row>
    <row r="727">
      <c r="A727" s="282"/>
      <c r="B727" s="283"/>
      <c r="C727" s="283"/>
      <c r="D727" s="283"/>
      <c r="E727" s="283"/>
      <c r="F727" s="283"/>
      <c r="G727" s="282"/>
      <c r="H727" s="282"/>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row>
    <row r="728">
      <c r="A728" s="282"/>
      <c r="B728" s="283"/>
      <c r="C728" s="283"/>
      <c r="D728" s="283"/>
      <c r="E728" s="283"/>
      <c r="F728" s="283"/>
      <c r="G728" s="282"/>
      <c r="H728" s="282"/>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row>
    <row r="729">
      <c r="A729" s="282"/>
      <c r="B729" s="283"/>
      <c r="C729" s="283"/>
      <c r="D729" s="283"/>
      <c r="E729" s="283"/>
      <c r="F729" s="283"/>
      <c r="G729" s="282"/>
      <c r="H729" s="282"/>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row>
    <row r="730">
      <c r="A730" s="282"/>
      <c r="B730" s="283"/>
      <c r="C730" s="283"/>
      <c r="D730" s="283"/>
      <c r="E730" s="283"/>
      <c r="F730" s="283"/>
      <c r="G730" s="282"/>
      <c r="H730" s="282"/>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row>
    <row r="731">
      <c r="A731" s="282"/>
      <c r="B731" s="283"/>
      <c r="C731" s="283"/>
      <c r="D731" s="283"/>
      <c r="E731" s="283"/>
      <c r="F731" s="283"/>
      <c r="G731" s="282"/>
      <c r="H731" s="282"/>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row>
    <row r="732">
      <c r="A732" s="282"/>
      <c r="B732" s="283"/>
      <c r="C732" s="283"/>
      <c r="D732" s="283"/>
      <c r="E732" s="283"/>
      <c r="F732" s="283"/>
      <c r="G732" s="282"/>
      <c r="H732" s="282"/>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row>
    <row r="733">
      <c r="A733" s="282"/>
      <c r="B733" s="283"/>
      <c r="C733" s="283"/>
      <c r="D733" s="283"/>
      <c r="E733" s="283"/>
      <c r="F733" s="283"/>
      <c r="G733" s="282"/>
      <c r="H733" s="282"/>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row>
    <row r="734">
      <c r="A734" s="282"/>
      <c r="B734" s="283"/>
      <c r="C734" s="283"/>
      <c r="D734" s="283"/>
      <c r="E734" s="283"/>
      <c r="F734" s="283"/>
      <c r="G734" s="282"/>
      <c r="H734" s="282"/>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row>
    <row r="735">
      <c r="A735" s="282"/>
      <c r="B735" s="283"/>
      <c r="C735" s="283"/>
      <c r="D735" s="283"/>
      <c r="E735" s="283"/>
      <c r="F735" s="283"/>
      <c r="G735" s="282"/>
      <c r="H735" s="282"/>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row>
    <row r="736">
      <c r="A736" s="282"/>
      <c r="B736" s="283"/>
      <c r="C736" s="283"/>
      <c r="D736" s="283"/>
      <c r="E736" s="283"/>
      <c r="F736" s="283"/>
      <c r="G736" s="282"/>
      <c r="H736" s="282"/>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row>
    <row r="737">
      <c r="A737" s="282"/>
      <c r="B737" s="283"/>
      <c r="C737" s="283"/>
      <c r="D737" s="283"/>
      <c r="E737" s="283"/>
      <c r="F737" s="283"/>
      <c r="G737" s="282"/>
      <c r="H737" s="282"/>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row>
    <row r="738">
      <c r="A738" s="282"/>
      <c r="B738" s="283"/>
      <c r="C738" s="283"/>
      <c r="D738" s="283"/>
      <c r="E738" s="283"/>
      <c r="F738" s="283"/>
      <c r="G738" s="282"/>
      <c r="H738" s="282"/>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row>
    <row r="739">
      <c r="A739" s="282"/>
      <c r="B739" s="283"/>
      <c r="C739" s="283"/>
      <c r="D739" s="283"/>
      <c r="E739" s="283"/>
      <c r="F739" s="283"/>
      <c r="G739" s="282"/>
      <c r="H739" s="282"/>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row>
    <row r="740">
      <c r="A740" s="282"/>
      <c r="B740" s="283"/>
      <c r="C740" s="283"/>
      <c r="D740" s="283"/>
      <c r="E740" s="283"/>
      <c r="F740" s="283"/>
      <c r="G740" s="282"/>
      <c r="H740" s="282"/>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row>
    <row r="741">
      <c r="A741" s="282"/>
      <c r="B741" s="283"/>
      <c r="C741" s="283"/>
      <c r="D741" s="283"/>
      <c r="E741" s="283"/>
      <c r="F741" s="283"/>
      <c r="G741" s="282"/>
      <c r="H741" s="282"/>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row>
    <row r="742">
      <c r="A742" s="282"/>
      <c r="B742" s="283"/>
      <c r="C742" s="283"/>
      <c r="D742" s="283"/>
      <c r="E742" s="283"/>
      <c r="F742" s="283"/>
      <c r="G742" s="282"/>
      <c r="H742" s="282"/>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row>
    <row r="743">
      <c r="A743" s="282"/>
      <c r="B743" s="283"/>
      <c r="C743" s="283"/>
      <c r="D743" s="283"/>
      <c r="E743" s="283"/>
      <c r="F743" s="283"/>
      <c r="G743" s="282"/>
      <c r="H743" s="282"/>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row>
    <row r="744">
      <c r="A744" s="282"/>
      <c r="B744" s="283"/>
      <c r="C744" s="283"/>
      <c r="D744" s="283"/>
      <c r="E744" s="283"/>
      <c r="F744" s="283"/>
      <c r="G744" s="282"/>
      <c r="H744" s="282"/>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row>
    <row r="745">
      <c r="A745" s="282"/>
      <c r="B745" s="283"/>
      <c r="C745" s="283"/>
      <c r="D745" s="283"/>
      <c r="E745" s="283"/>
      <c r="F745" s="283"/>
      <c r="G745" s="282"/>
      <c r="H745" s="282"/>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row>
    <row r="746">
      <c r="A746" s="282"/>
      <c r="B746" s="283"/>
      <c r="C746" s="283"/>
      <c r="D746" s="283"/>
      <c r="E746" s="283"/>
      <c r="F746" s="283"/>
      <c r="G746" s="282"/>
      <c r="H746" s="282"/>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row>
    <row r="747">
      <c r="A747" s="282"/>
      <c r="B747" s="283"/>
      <c r="C747" s="283"/>
      <c r="D747" s="283"/>
      <c r="E747" s="283"/>
      <c r="F747" s="283"/>
      <c r="G747" s="282"/>
      <c r="H747" s="282"/>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row>
    <row r="748">
      <c r="A748" s="282"/>
      <c r="B748" s="283"/>
      <c r="C748" s="283"/>
      <c r="D748" s="283"/>
      <c r="E748" s="283"/>
      <c r="F748" s="283"/>
      <c r="G748" s="282"/>
      <c r="H748" s="282"/>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row>
    <row r="749">
      <c r="A749" s="282"/>
      <c r="B749" s="283"/>
      <c r="C749" s="283"/>
      <c r="D749" s="283"/>
      <c r="E749" s="283"/>
      <c r="F749" s="283"/>
      <c r="G749" s="282"/>
      <c r="H749" s="282"/>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row>
    <row r="750">
      <c r="A750" s="282"/>
      <c r="B750" s="283"/>
      <c r="C750" s="283"/>
      <c r="D750" s="283"/>
      <c r="E750" s="283"/>
      <c r="F750" s="283"/>
      <c r="G750" s="282"/>
      <c r="H750" s="282"/>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row>
    <row r="751">
      <c r="A751" s="282"/>
      <c r="B751" s="283"/>
      <c r="C751" s="283"/>
      <c r="D751" s="283"/>
      <c r="E751" s="283"/>
      <c r="F751" s="283"/>
      <c r="G751" s="282"/>
      <c r="H751" s="282"/>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row>
    <row r="752">
      <c r="A752" s="282"/>
      <c r="B752" s="283"/>
      <c r="C752" s="283"/>
      <c r="D752" s="283"/>
      <c r="E752" s="283"/>
      <c r="F752" s="283"/>
      <c r="G752" s="282"/>
      <c r="H752" s="282"/>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row>
    <row r="753">
      <c r="A753" s="282"/>
      <c r="B753" s="283"/>
      <c r="C753" s="283"/>
      <c r="D753" s="283"/>
      <c r="E753" s="283"/>
      <c r="F753" s="283"/>
      <c r="G753" s="282"/>
      <c r="H753" s="282"/>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row>
    <row r="754">
      <c r="A754" s="282"/>
      <c r="B754" s="283"/>
      <c r="C754" s="283"/>
      <c r="D754" s="283"/>
      <c r="E754" s="283"/>
      <c r="F754" s="283"/>
      <c r="G754" s="282"/>
      <c r="H754" s="282"/>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row>
    <row r="755">
      <c r="A755" s="282"/>
      <c r="B755" s="283"/>
      <c r="C755" s="283"/>
      <c r="D755" s="283"/>
      <c r="E755" s="283"/>
      <c r="F755" s="283"/>
      <c r="G755" s="282"/>
      <c r="H755" s="282"/>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row>
    <row r="756">
      <c r="A756" s="282"/>
      <c r="B756" s="283"/>
      <c r="C756" s="283"/>
      <c r="D756" s="283"/>
      <c r="E756" s="283"/>
      <c r="F756" s="283"/>
      <c r="G756" s="282"/>
      <c r="H756" s="282"/>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row>
    <row r="757">
      <c r="A757" s="282"/>
      <c r="B757" s="283"/>
      <c r="C757" s="283"/>
      <c r="D757" s="283"/>
      <c r="E757" s="283"/>
      <c r="F757" s="283"/>
      <c r="G757" s="282"/>
      <c r="H757" s="282"/>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row>
    <row r="758">
      <c r="A758" s="282"/>
      <c r="B758" s="283"/>
      <c r="C758" s="283"/>
      <c r="D758" s="283"/>
      <c r="E758" s="283"/>
      <c r="F758" s="283"/>
      <c r="G758" s="282"/>
      <c r="H758" s="282"/>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row>
    <row r="759">
      <c r="A759" s="282"/>
      <c r="B759" s="283"/>
      <c r="C759" s="283"/>
      <c r="D759" s="283"/>
      <c r="E759" s="283"/>
      <c r="F759" s="283"/>
      <c r="G759" s="282"/>
      <c r="H759" s="282"/>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row>
    <row r="760">
      <c r="A760" s="282"/>
      <c r="B760" s="283"/>
      <c r="C760" s="283"/>
      <c r="D760" s="283"/>
      <c r="E760" s="283"/>
      <c r="F760" s="283"/>
      <c r="G760" s="282"/>
      <c r="H760" s="282"/>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row>
    <row r="761">
      <c r="A761" s="282"/>
      <c r="B761" s="283"/>
      <c r="C761" s="283"/>
      <c r="D761" s="283"/>
      <c r="E761" s="283"/>
      <c r="F761" s="283"/>
      <c r="G761" s="282"/>
      <c r="H761" s="282"/>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row>
    <row r="762">
      <c r="A762" s="282"/>
      <c r="B762" s="283"/>
      <c r="C762" s="283"/>
      <c r="D762" s="283"/>
      <c r="E762" s="283"/>
      <c r="F762" s="283"/>
      <c r="G762" s="282"/>
      <c r="H762" s="282"/>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row>
    <row r="763">
      <c r="A763" s="282"/>
      <c r="B763" s="283"/>
      <c r="C763" s="283"/>
      <c r="D763" s="283"/>
      <c r="E763" s="283"/>
      <c r="F763" s="283"/>
      <c r="G763" s="282"/>
      <c r="H763" s="282"/>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row>
    <row r="764">
      <c r="A764" s="282"/>
      <c r="B764" s="283"/>
      <c r="C764" s="283"/>
      <c r="D764" s="283"/>
      <c r="E764" s="283"/>
      <c r="F764" s="283"/>
      <c r="G764" s="282"/>
      <c r="H764" s="282"/>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row>
    <row r="765">
      <c r="A765" s="282"/>
      <c r="B765" s="283"/>
      <c r="C765" s="283"/>
      <c r="D765" s="283"/>
      <c r="E765" s="283"/>
      <c r="F765" s="283"/>
      <c r="G765" s="282"/>
      <c r="H765" s="282"/>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row>
    <row r="766">
      <c r="A766" s="282"/>
      <c r="B766" s="283"/>
      <c r="C766" s="283"/>
      <c r="D766" s="283"/>
      <c r="E766" s="283"/>
      <c r="F766" s="283"/>
      <c r="G766" s="282"/>
      <c r="H766" s="282"/>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row>
    <row r="767">
      <c r="A767" s="282"/>
      <c r="B767" s="283"/>
      <c r="C767" s="283"/>
      <c r="D767" s="283"/>
      <c r="E767" s="283"/>
      <c r="F767" s="283"/>
      <c r="G767" s="282"/>
      <c r="H767" s="282"/>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row>
    <row r="768">
      <c r="A768" s="282"/>
      <c r="B768" s="283"/>
      <c r="C768" s="283"/>
      <c r="D768" s="283"/>
      <c r="E768" s="283"/>
      <c r="F768" s="283"/>
      <c r="G768" s="282"/>
      <c r="H768" s="282"/>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row>
    <row r="769">
      <c r="A769" s="282"/>
      <c r="B769" s="283"/>
      <c r="C769" s="283"/>
      <c r="D769" s="283"/>
      <c r="E769" s="283"/>
      <c r="F769" s="283"/>
      <c r="G769" s="282"/>
      <c r="H769" s="282"/>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row>
    <row r="770">
      <c r="A770" s="282"/>
      <c r="B770" s="283"/>
      <c r="C770" s="283"/>
      <c r="D770" s="283"/>
      <c r="E770" s="283"/>
      <c r="F770" s="283"/>
      <c r="G770" s="282"/>
      <c r="H770" s="282"/>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row>
    <row r="771">
      <c r="A771" s="282"/>
      <c r="B771" s="283"/>
      <c r="C771" s="283"/>
      <c r="D771" s="283"/>
      <c r="E771" s="283"/>
      <c r="F771" s="283"/>
      <c r="G771" s="282"/>
      <c r="H771" s="282"/>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row>
    <row r="772">
      <c r="A772" s="282"/>
      <c r="B772" s="283"/>
      <c r="C772" s="283"/>
      <c r="D772" s="283"/>
      <c r="E772" s="283"/>
      <c r="F772" s="283"/>
      <c r="G772" s="282"/>
      <c r="H772" s="282"/>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row>
    <row r="773">
      <c r="A773" s="282"/>
      <c r="B773" s="283"/>
      <c r="C773" s="283"/>
      <c r="D773" s="283"/>
      <c r="E773" s="283"/>
      <c r="F773" s="283"/>
      <c r="G773" s="282"/>
      <c r="H773" s="282"/>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row>
    <row r="774">
      <c r="A774" s="282"/>
      <c r="B774" s="283"/>
      <c r="C774" s="283"/>
      <c r="D774" s="283"/>
      <c r="E774" s="283"/>
      <c r="F774" s="283"/>
      <c r="G774" s="282"/>
      <c r="H774" s="282"/>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row>
    <row r="775">
      <c r="A775" s="282"/>
      <c r="B775" s="283"/>
      <c r="C775" s="283"/>
      <c r="D775" s="283"/>
      <c r="E775" s="283"/>
      <c r="F775" s="283"/>
      <c r="G775" s="282"/>
      <c r="H775" s="282"/>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row>
    <row r="776">
      <c r="A776" s="282"/>
      <c r="B776" s="283"/>
      <c r="C776" s="283"/>
      <c r="D776" s="283"/>
      <c r="E776" s="283"/>
      <c r="F776" s="283"/>
      <c r="G776" s="282"/>
      <c r="H776" s="282"/>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row>
    <row r="777">
      <c r="A777" s="282"/>
      <c r="B777" s="283"/>
      <c r="C777" s="283"/>
      <c r="D777" s="283"/>
      <c r="E777" s="283"/>
      <c r="F777" s="283"/>
      <c r="G777" s="282"/>
      <c r="H777" s="282"/>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row>
    <row r="778">
      <c r="A778" s="282"/>
      <c r="B778" s="283"/>
      <c r="C778" s="283"/>
      <c r="D778" s="283"/>
      <c r="E778" s="283"/>
      <c r="F778" s="283"/>
      <c r="G778" s="282"/>
      <c r="H778" s="282"/>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row>
    <row r="779">
      <c r="A779" s="282"/>
      <c r="B779" s="283"/>
      <c r="C779" s="283"/>
      <c r="D779" s="283"/>
      <c r="E779" s="283"/>
      <c r="F779" s="283"/>
      <c r="G779" s="282"/>
      <c r="H779" s="282"/>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row>
    <row r="780">
      <c r="A780" s="282"/>
      <c r="B780" s="283"/>
      <c r="C780" s="283"/>
      <c r="D780" s="283"/>
      <c r="E780" s="283"/>
      <c r="F780" s="283"/>
      <c r="G780" s="282"/>
      <c r="H780" s="282"/>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row>
    <row r="781">
      <c r="A781" s="282"/>
      <c r="B781" s="283"/>
      <c r="C781" s="283"/>
      <c r="D781" s="283"/>
      <c r="E781" s="283"/>
      <c r="F781" s="283"/>
      <c r="G781" s="282"/>
      <c r="H781" s="282"/>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row>
    <row r="782">
      <c r="A782" s="282"/>
      <c r="B782" s="283"/>
      <c r="C782" s="283"/>
      <c r="D782" s="283"/>
      <c r="E782" s="283"/>
      <c r="F782" s="283"/>
      <c r="G782" s="282"/>
      <c r="H782" s="282"/>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row>
    <row r="783">
      <c r="A783" s="282"/>
      <c r="B783" s="283"/>
      <c r="C783" s="283"/>
      <c r="D783" s="283"/>
      <c r="E783" s="283"/>
      <c r="F783" s="283"/>
      <c r="G783" s="282"/>
      <c r="H783" s="282"/>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row>
    <row r="784">
      <c r="A784" s="282"/>
      <c r="B784" s="283"/>
      <c r="C784" s="283"/>
      <c r="D784" s="283"/>
      <c r="E784" s="283"/>
      <c r="F784" s="283"/>
      <c r="G784" s="282"/>
      <c r="H784" s="282"/>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row>
    <row r="785">
      <c r="A785" s="282"/>
      <c r="B785" s="283"/>
      <c r="C785" s="283"/>
      <c r="D785" s="283"/>
      <c r="E785" s="283"/>
      <c r="F785" s="283"/>
      <c r="G785" s="282"/>
      <c r="H785" s="282"/>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row>
    <row r="786">
      <c r="A786" s="282"/>
      <c r="B786" s="283"/>
      <c r="C786" s="283"/>
      <c r="D786" s="283"/>
      <c r="E786" s="283"/>
      <c r="F786" s="283"/>
      <c r="G786" s="282"/>
      <c r="H786" s="282"/>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row>
    <row r="787">
      <c r="A787" s="282"/>
      <c r="B787" s="283"/>
      <c r="C787" s="283"/>
      <c r="D787" s="283"/>
      <c r="E787" s="283"/>
      <c r="F787" s="283"/>
      <c r="G787" s="282"/>
      <c r="H787" s="282"/>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row>
    <row r="788">
      <c r="A788" s="282"/>
      <c r="B788" s="283"/>
      <c r="C788" s="283"/>
      <c r="D788" s="283"/>
      <c r="E788" s="283"/>
      <c r="F788" s="283"/>
      <c r="G788" s="282"/>
      <c r="H788" s="282"/>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row>
    <row r="789">
      <c r="A789" s="282"/>
      <c r="B789" s="283"/>
      <c r="C789" s="283"/>
      <c r="D789" s="283"/>
      <c r="E789" s="283"/>
      <c r="F789" s="283"/>
      <c r="G789" s="282"/>
      <c r="H789" s="282"/>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row>
    <row r="790">
      <c r="A790" s="282"/>
      <c r="B790" s="283"/>
      <c r="C790" s="283"/>
      <c r="D790" s="283"/>
      <c r="E790" s="283"/>
      <c r="F790" s="283"/>
      <c r="G790" s="282"/>
      <c r="H790" s="282"/>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row>
    <row r="791">
      <c r="A791" s="282"/>
      <c r="B791" s="283"/>
      <c r="C791" s="283"/>
      <c r="D791" s="283"/>
      <c r="E791" s="283"/>
      <c r="F791" s="283"/>
      <c r="G791" s="282"/>
      <c r="H791" s="282"/>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row>
    <row r="792">
      <c r="A792" s="282"/>
      <c r="B792" s="283"/>
      <c r="C792" s="283"/>
      <c r="D792" s="283"/>
      <c r="E792" s="283"/>
      <c r="F792" s="283"/>
      <c r="G792" s="282"/>
      <c r="H792" s="282"/>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row>
    <row r="793">
      <c r="A793" s="282"/>
      <c r="B793" s="283"/>
      <c r="C793" s="283"/>
      <c r="D793" s="283"/>
      <c r="E793" s="283"/>
      <c r="F793" s="283"/>
      <c r="G793" s="282"/>
      <c r="H793" s="282"/>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row>
    <row r="794">
      <c r="A794" s="282"/>
      <c r="B794" s="283"/>
      <c r="C794" s="283"/>
      <c r="D794" s="283"/>
      <c r="E794" s="283"/>
      <c r="F794" s="283"/>
      <c r="G794" s="282"/>
      <c r="H794" s="282"/>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row>
    <row r="795">
      <c r="A795" s="282"/>
      <c r="B795" s="283"/>
      <c r="C795" s="283"/>
      <c r="D795" s="283"/>
      <c r="E795" s="283"/>
      <c r="F795" s="283"/>
      <c r="G795" s="282"/>
      <c r="H795" s="282"/>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row>
    <row r="796">
      <c r="A796" s="282"/>
      <c r="B796" s="283"/>
      <c r="C796" s="283"/>
      <c r="D796" s="283"/>
      <c r="E796" s="283"/>
      <c r="F796" s="283"/>
      <c r="G796" s="282"/>
      <c r="H796" s="282"/>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row>
    <row r="797">
      <c r="A797" s="282"/>
      <c r="B797" s="283"/>
      <c r="C797" s="283"/>
      <c r="D797" s="283"/>
      <c r="E797" s="283"/>
      <c r="F797" s="283"/>
      <c r="G797" s="282"/>
      <c r="H797" s="282"/>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row>
    <row r="798">
      <c r="A798" s="282"/>
      <c r="B798" s="283"/>
      <c r="C798" s="283"/>
      <c r="D798" s="283"/>
      <c r="E798" s="283"/>
      <c r="F798" s="283"/>
      <c r="G798" s="282"/>
      <c r="H798" s="282"/>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row>
    <row r="799">
      <c r="A799" s="282"/>
      <c r="B799" s="283"/>
      <c r="C799" s="283"/>
      <c r="D799" s="283"/>
      <c r="E799" s="283"/>
      <c r="F799" s="283"/>
      <c r="G799" s="282"/>
      <c r="H799" s="282"/>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row>
    <row r="800">
      <c r="A800" s="282"/>
      <c r="B800" s="283"/>
      <c r="C800" s="283"/>
      <c r="D800" s="283"/>
      <c r="E800" s="283"/>
      <c r="F800" s="283"/>
      <c r="G800" s="282"/>
      <c r="H800" s="282"/>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row>
    <row r="801">
      <c r="A801" s="282"/>
      <c r="B801" s="283"/>
      <c r="C801" s="283"/>
      <c r="D801" s="283"/>
      <c r="E801" s="283"/>
      <c r="F801" s="283"/>
      <c r="G801" s="282"/>
      <c r="H801" s="282"/>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row>
    <row r="802">
      <c r="A802" s="282"/>
      <c r="B802" s="283"/>
      <c r="C802" s="283"/>
      <c r="D802" s="283"/>
      <c r="E802" s="283"/>
      <c r="F802" s="283"/>
      <c r="G802" s="282"/>
      <c r="H802" s="282"/>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row>
    <row r="803">
      <c r="A803" s="282"/>
      <c r="B803" s="283"/>
      <c r="C803" s="283"/>
      <c r="D803" s="283"/>
      <c r="E803" s="283"/>
      <c r="F803" s="283"/>
      <c r="G803" s="282"/>
      <c r="H803" s="282"/>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row>
    <row r="804">
      <c r="A804" s="282"/>
      <c r="B804" s="283"/>
      <c r="C804" s="283"/>
      <c r="D804" s="283"/>
      <c r="E804" s="283"/>
      <c r="F804" s="283"/>
      <c r="G804" s="282"/>
      <c r="H804" s="282"/>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row>
    <row r="805">
      <c r="A805" s="282"/>
      <c r="B805" s="283"/>
      <c r="C805" s="283"/>
      <c r="D805" s="283"/>
      <c r="E805" s="283"/>
      <c r="F805" s="283"/>
      <c r="G805" s="282"/>
      <c r="H805" s="282"/>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row>
    <row r="806">
      <c r="A806" s="282"/>
      <c r="B806" s="283"/>
      <c r="C806" s="283"/>
      <c r="D806" s="283"/>
      <c r="E806" s="283"/>
      <c r="F806" s="283"/>
      <c r="G806" s="282"/>
      <c r="H806" s="282"/>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row>
    <row r="807">
      <c r="A807" s="282"/>
      <c r="B807" s="283"/>
      <c r="C807" s="283"/>
      <c r="D807" s="283"/>
      <c r="E807" s="283"/>
      <c r="F807" s="283"/>
      <c r="G807" s="282"/>
      <c r="H807" s="282"/>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row>
    <row r="808">
      <c r="A808" s="282"/>
      <c r="B808" s="283"/>
      <c r="C808" s="283"/>
      <c r="D808" s="283"/>
      <c r="E808" s="283"/>
      <c r="F808" s="283"/>
      <c r="G808" s="282"/>
      <c r="H808" s="282"/>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row>
    <row r="809">
      <c r="A809" s="282"/>
      <c r="B809" s="283"/>
      <c r="C809" s="283"/>
      <c r="D809" s="283"/>
      <c r="E809" s="283"/>
      <c r="F809" s="283"/>
      <c r="G809" s="282"/>
      <c r="H809" s="282"/>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row>
    <row r="810">
      <c r="A810" s="282"/>
      <c r="B810" s="283"/>
      <c r="C810" s="283"/>
      <c r="D810" s="283"/>
      <c r="E810" s="283"/>
      <c r="F810" s="283"/>
      <c r="G810" s="282"/>
      <c r="H810" s="282"/>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row>
    <row r="811">
      <c r="A811" s="282"/>
      <c r="B811" s="283"/>
      <c r="C811" s="283"/>
      <c r="D811" s="283"/>
      <c r="E811" s="283"/>
      <c r="F811" s="283"/>
      <c r="G811" s="282"/>
      <c r="H811" s="282"/>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row>
    <row r="812">
      <c r="A812" s="282"/>
      <c r="B812" s="283"/>
      <c r="C812" s="283"/>
      <c r="D812" s="283"/>
      <c r="E812" s="283"/>
      <c r="F812" s="283"/>
      <c r="G812" s="282"/>
      <c r="H812" s="282"/>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row>
    <row r="813">
      <c r="A813" s="282"/>
      <c r="B813" s="283"/>
      <c r="C813" s="283"/>
      <c r="D813" s="283"/>
      <c r="E813" s="283"/>
      <c r="F813" s="283"/>
      <c r="G813" s="282"/>
      <c r="H813" s="282"/>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row>
    <row r="814">
      <c r="A814" s="282"/>
      <c r="B814" s="283"/>
      <c r="C814" s="283"/>
      <c r="D814" s="283"/>
      <c r="E814" s="283"/>
      <c r="F814" s="283"/>
      <c r="G814" s="282"/>
      <c r="H814" s="282"/>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row>
    <row r="815">
      <c r="A815" s="282"/>
      <c r="B815" s="283"/>
      <c r="C815" s="283"/>
      <c r="D815" s="283"/>
      <c r="E815" s="283"/>
      <c r="F815" s="283"/>
      <c r="G815" s="282"/>
      <c r="H815" s="282"/>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row>
    <row r="816">
      <c r="A816" s="282"/>
      <c r="B816" s="283"/>
      <c r="C816" s="283"/>
      <c r="D816" s="283"/>
      <c r="E816" s="283"/>
      <c r="F816" s="283"/>
      <c r="G816" s="282"/>
      <c r="H816" s="282"/>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row>
    <row r="817">
      <c r="A817" s="282"/>
      <c r="B817" s="283"/>
      <c r="C817" s="283"/>
      <c r="D817" s="283"/>
      <c r="E817" s="283"/>
      <c r="F817" s="283"/>
      <c r="G817" s="282"/>
      <c r="H817" s="282"/>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row>
    <row r="818">
      <c r="A818" s="282"/>
      <c r="B818" s="283"/>
      <c r="C818" s="283"/>
      <c r="D818" s="283"/>
      <c r="E818" s="283"/>
      <c r="F818" s="283"/>
      <c r="G818" s="282"/>
      <c r="H818" s="282"/>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row>
    <row r="819">
      <c r="A819" s="282"/>
      <c r="B819" s="283"/>
      <c r="C819" s="283"/>
      <c r="D819" s="283"/>
      <c r="E819" s="283"/>
      <c r="F819" s="283"/>
      <c r="G819" s="282"/>
      <c r="H819" s="282"/>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row>
    <row r="820">
      <c r="A820" s="282"/>
      <c r="B820" s="283"/>
      <c r="C820" s="283"/>
      <c r="D820" s="283"/>
      <c r="E820" s="283"/>
      <c r="F820" s="283"/>
      <c r="G820" s="282"/>
      <c r="H820" s="282"/>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row>
    <row r="821">
      <c r="A821" s="282"/>
      <c r="B821" s="283"/>
      <c r="C821" s="283"/>
      <c r="D821" s="283"/>
      <c r="E821" s="283"/>
      <c r="F821" s="283"/>
      <c r="G821" s="282"/>
      <c r="H821" s="282"/>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row>
    <row r="822">
      <c r="A822" s="282"/>
      <c r="B822" s="283"/>
      <c r="C822" s="283"/>
      <c r="D822" s="283"/>
      <c r="E822" s="283"/>
      <c r="F822" s="283"/>
      <c r="G822" s="282"/>
      <c r="H822" s="282"/>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row>
    <row r="823">
      <c r="A823" s="282"/>
      <c r="B823" s="283"/>
      <c r="C823" s="283"/>
      <c r="D823" s="283"/>
      <c r="E823" s="283"/>
      <c r="F823" s="283"/>
      <c r="G823" s="282"/>
      <c r="H823" s="282"/>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row>
    <row r="824">
      <c r="A824" s="282"/>
      <c r="B824" s="283"/>
      <c r="C824" s="283"/>
      <c r="D824" s="283"/>
      <c r="E824" s="283"/>
      <c r="F824" s="283"/>
      <c r="G824" s="282"/>
      <c r="H824" s="282"/>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row>
    <row r="825">
      <c r="A825" s="282"/>
      <c r="B825" s="283"/>
      <c r="C825" s="283"/>
      <c r="D825" s="283"/>
      <c r="E825" s="283"/>
      <c r="F825" s="283"/>
      <c r="G825" s="282"/>
      <c r="H825" s="282"/>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row>
    <row r="826">
      <c r="A826" s="282"/>
      <c r="B826" s="283"/>
      <c r="C826" s="283"/>
      <c r="D826" s="283"/>
      <c r="E826" s="283"/>
      <c r="F826" s="283"/>
      <c r="G826" s="282"/>
      <c r="H826" s="282"/>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row>
    <row r="827">
      <c r="A827" s="282"/>
      <c r="B827" s="283"/>
      <c r="C827" s="283"/>
      <c r="D827" s="283"/>
      <c r="E827" s="283"/>
      <c r="F827" s="283"/>
      <c r="G827" s="282"/>
      <c r="H827" s="282"/>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row>
    <row r="828">
      <c r="A828" s="282"/>
      <c r="B828" s="283"/>
      <c r="C828" s="283"/>
      <c r="D828" s="283"/>
      <c r="E828" s="283"/>
      <c r="F828" s="283"/>
      <c r="G828" s="282"/>
      <c r="H828" s="282"/>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row>
    <row r="829">
      <c r="A829" s="282"/>
      <c r="B829" s="283"/>
      <c r="C829" s="283"/>
      <c r="D829" s="283"/>
      <c r="E829" s="283"/>
      <c r="F829" s="283"/>
      <c r="G829" s="282"/>
      <c r="H829" s="282"/>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row>
    <row r="830">
      <c r="A830" s="282"/>
      <c r="B830" s="283"/>
      <c r="C830" s="283"/>
      <c r="D830" s="283"/>
      <c r="E830" s="283"/>
      <c r="F830" s="283"/>
      <c r="G830" s="282"/>
      <c r="H830" s="282"/>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row>
    <row r="831">
      <c r="A831" s="282"/>
      <c r="B831" s="283"/>
      <c r="C831" s="283"/>
      <c r="D831" s="283"/>
      <c r="E831" s="283"/>
      <c r="F831" s="283"/>
      <c r="G831" s="282"/>
      <c r="H831" s="282"/>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row>
    <row r="832">
      <c r="A832" s="282"/>
      <c r="B832" s="283"/>
      <c r="C832" s="283"/>
      <c r="D832" s="283"/>
      <c r="E832" s="283"/>
      <c r="F832" s="283"/>
      <c r="G832" s="282"/>
      <c r="H832" s="282"/>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row>
    <row r="833">
      <c r="A833" s="282"/>
      <c r="B833" s="283"/>
      <c r="C833" s="283"/>
      <c r="D833" s="283"/>
      <c r="E833" s="283"/>
      <c r="F833" s="283"/>
      <c r="G833" s="282"/>
      <c r="H833" s="282"/>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row>
    <row r="834">
      <c r="A834" s="282"/>
      <c r="B834" s="283"/>
      <c r="C834" s="283"/>
      <c r="D834" s="283"/>
      <c r="E834" s="283"/>
      <c r="F834" s="283"/>
      <c r="G834" s="282"/>
      <c r="H834" s="282"/>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row>
    <row r="835">
      <c r="A835" s="282"/>
      <c r="B835" s="283"/>
      <c r="C835" s="283"/>
      <c r="D835" s="283"/>
      <c r="E835" s="283"/>
      <c r="F835" s="283"/>
      <c r="G835" s="282"/>
      <c r="H835" s="282"/>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row>
    <row r="836">
      <c r="A836" s="282"/>
      <c r="B836" s="283"/>
      <c r="C836" s="283"/>
      <c r="D836" s="283"/>
      <c r="E836" s="283"/>
      <c r="F836" s="283"/>
      <c r="G836" s="282"/>
      <c r="H836" s="282"/>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row>
    <row r="837">
      <c r="A837" s="282"/>
      <c r="B837" s="283"/>
      <c r="C837" s="283"/>
      <c r="D837" s="283"/>
      <c r="E837" s="283"/>
      <c r="F837" s="283"/>
      <c r="G837" s="282"/>
      <c r="H837" s="282"/>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row>
    <row r="838">
      <c r="A838" s="282"/>
      <c r="B838" s="283"/>
      <c r="C838" s="283"/>
      <c r="D838" s="283"/>
      <c r="E838" s="283"/>
      <c r="F838" s="283"/>
      <c r="G838" s="282"/>
      <c r="H838" s="282"/>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row>
    <row r="839">
      <c r="A839" s="282"/>
      <c r="B839" s="283"/>
      <c r="C839" s="283"/>
      <c r="D839" s="283"/>
      <c r="E839" s="283"/>
      <c r="F839" s="283"/>
      <c r="G839" s="282"/>
      <c r="H839" s="282"/>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row>
    <row r="840">
      <c r="A840" s="282"/>
      <c r="B840" s="283"/>
      <c r="C840" s="283"/>
      <c r="D840" s="283"/>
      <c r="E840" s="283"/>
      <c r="F840" s="283"/>
      <c r="G840" s="282"/>
      <c r="H840" s="282"/>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row>
    <row r="841">
      <c r="A841" s="282"/>
      <c r="B841" s="283"/>
      <c r="C841" s="283"/>
      <c r="D841" s="283"/>
      <c r="E841" s="283"/>
      <c r="F841" s="283"/>
      <c r="G841" s="282"/>
      <c r="H841" s="282"/>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row>
    <row r="842">
      <c r="A842" s="282"/>
      <c r="B842" s="283"/>
      <c r="C842" s="283"/>
      <c r="D842" s="283"/>
      <c r="E842" s="283"/>
      <c r="F842" s="283"/>
      <c r="G842" s="282"/>
      <c r="H842" s="282"/>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row>
    <row r="843">
      <c r="A843" s="282"/>
      <c r="B843" s="283"/>
      <c r="C843" s="283"/>
      <c r="D843" s="283"/>
      <c r="E843" s="283"/>
      <c r="F843" s="283"/>
      <c r="G843" s="282"/>
      <c r="H843" s="282"/>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row>
    <row r="844">
      <c r="A844" s="282"/>
      <c r="B844" s="283"/>
      <c r="C844" s="283"/>
      <c r="D844" s="283"/>
      <c r="E844" s="283"/>
      <c r="F844" s="283"/>
      <c r="G844" s="282"/>
      <c r="H844" s="282"/>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row>
    <row r="845">
      <c r="A845" s="282"/>
      <c r="B845" s="283"/>
      <c r="C845" s="283"/>
      <c r="D845" s="283"/>
      <c r="E845" s="283"/>
      <c r="F845" s="283"/>
      <c r="G845" s="282"/>
      <c r="H845" s="282"/>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row>
    <row r="846">
      <c r="A846" s="282"/>
      <c r="B846" s="283"/>
      <c r="C846" s="283"/>
      <c r="D846" s="283"/>
      <c r="E846" s="283"/>
      <c r="F846" s="283"/>
      <c r="G846" s="282"/>
      <c r="H846" s="282"/>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row>
    <row r="847">
      <c r="A847" s="282"/>
      <c r="B847" s="283"/>
      <c r="C847" s="283"/>
      <c r="D847" s="283"/>
      <c r="E847" s="283"/>
      <c r="F847" s="283"/>
      <c r="G847" s="282"/>
      <c r="H847" s="282"/>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row>
    <row r="848">
      <c r="A848" s="282"/>
      <c r="B848" s="283"/>
      <c r="C848" s="283"/>
      <c r="D848" s="283"/>
      <c r="E848" s="283"/>
      <c r="F848" s="283"/>
      <c r="G848" s="282"/>
      <c r="H848" s="282"/>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row>
    <row r="849">
      <c r="A849" s="282"/>
      <c r="B849" s="283"/>
      <c r="C849" s="283"/>
      <c r="D849" s="283"/>
      <c r="E849" s="283"/>
      <c r="F849" s="283"/>
      <c r="G849" s="282"/>
      <c r="H849" s="282"/>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row>
    <row r="850">
      <c r="A850" s="282"/>
      <c r="B850" s="283"/>
      <c r="C850" s="283"/>
      <c r="D850" s="283"/>
      <c r="E850" s="283"/>
      <c r="F850" s="283"/>
      <c r="G850" s="282"/>
      <c r="H850" s="282"/>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row>
    <row r="851">
      <c r="A851" s="282"/>
      <c r="B851" s="283"/>
      <c r="C851" s="283"/>
      <c r="D851" s="283"/>
      <c r="E851" s="283"/>
      <c r="F851" s="283"/>
      <c r="G851" s="282"/>
      <c r="H851" s="282"/>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row>
    <row r="852">
      <c r="A852" s="282"/>
      <c r="B852" s="283"/>
      <c r="C852" s="283"/>
      <c r="D852" s="283"/>
      <c r="E852" s="283"/>
      <c r="F852" s="283"/>
      <c r="G852" s="282"/>
      <c r="H852" s="282"/>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row>
    <row r="853">
      <c r="A853" s="282"/>
      <c r="B853" s="283"/>
      <c r="C853" s="283"/>
      <c r="D853" s="283"/>
      <c r="E853" s="283"/>
      <c r="F853" s="283"/>
      <c r="G853" s="282"/>
      <c r="H853" s="282"/>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row>
    <row r="854">
      <c r="A854" s="282"/>
      <c r="B854" s="283"/>
      <c r="C854" s="283"/>
      <c r="D854" s="283"/>
      <c r="E854" s="283"/>
      <c r="F854" s="283"/>
      <c r="G854" s="282"/>
      <c r="H854" s="282"/>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row>
    <row r="855">
      <c r="A855" s="282"/>
      <c r="B855" s="283"/>
      <c r="C855" s="283"/>
      <c r="D855" s="283"/>
      <c r="E855" s="283"/>
      <c r="F855" s="283"/>
      <c r="G855" s="282"/>
      <c r="H855" s="282"/>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row>
    <row r="856">
      <c r="A856" s="282"/>
      <c r="B856" s="283"/>
      <c r="C856" s="283"/>
      <c r="D856" s="283"/>
      <c r="E856" s="283"/>
      <c r="F856" s="283"/>
      <c r="G856" s="282"/>
      <c r="H856" s="282"/>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row>
    <row r="857">
      <c r="A857" s="282"/>
      <c r="B857" s="283"/>
      <c r="C857" s="283"/>
      <c r="D857" s="283"/>
      <c r="E857" s="283"/>
      <c r="F857" s="283"/>
      <c r="G857" s="282"/>
      <c r="H857" s="282"/>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row>
    <row r="858">
      <c r="A858" s="282"/>
      <c r="B858" s="283"/>
      <c r="C858" s="283"/>
      <c r="D858" s="283"/>
      <c r="E858" s="283"/>
      <c r="F858" s="283"/>
      <c r="G858" s="282"/>
      <c r="H858" s="282"/>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row>
    <row r="859">
      <c r="A859" s="282"/>
      <c r="B859" s="283"/>
      <c r="C859" s="283"/>
      <c r="D859" s="283"/>
      <c r="E859" s="283"/>
      <c r="F859" s="283"/>
      <c r="G859" s="282"/>
      <c r="H859" s="282"/>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row>
    <row r="860">
      <c r="A860" s="282"/>
      <c r="B860" s="283"/>
      <c r="C860" s="283"/>
      <c r="D860" s="283"/>
      <c r="E860" s="283"/>
      <c r="F860" s="283"/>
      <c r="G860" s="282"/>
      <c r="H860" s="282"/>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row>
    <row r="861">
      <c r="A861" s="282"/>
      <c r="B861" s="283"/>
      <c r="C861" s="283"/>
      <c r="D861" s="283"/>
      <c r="E861" s="283"/>
      <c r="F861" s="283"/>
      <c r="G861" s="282"/>
      <c r="H861" s="282"/>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row>
    <row r="862">
      <c r="A862" s="282"/>
      <c r="B862" s="283"/>
      <c r="C862" s="283"/>
      <c r="D862" s="283"/>
      <c r="E862" s="283"/>
      <c r="F862" s="283"/>
      <c r="G862" s="282"/>
      <c r="H862" s="282"/>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row>
    <row r="863">
      <c r="A863" s="282"/>
      <c r="B863" s="283"/>
      <c r="C863" s="283"/>
      <c r="D863" s="283"/>
      <c r="E863" s="283"/>
      <c r="F863" s="283"/>
      <c r="G863" s="282"/>
      <c r="H863" s="282"/>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row>
    <row r="864">
      <c r="A864" s="282"/>
      <c r="B864" s="283"/>
      <c r="C864" s="283"/>
      <c r="D864" s="283"/>
      <c r="E864" s="283"/>
      <c r="F864" s="283"/>
      <c r="G864" s="282"/>
      <c r="H864" s="282"/>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row>
    <row r="865">
      <c r="A865" s="282"/>
      <c r="B865" s="283"/>
      <c r="C865" s="283"/>
      <c r="D865" s="283"/>
      <c r="E865" s="283"/>
      <c r="F865" s="283"/>
      <c r="G865" s="282"/>
      <c r="H865" s="282"/>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row>
    <row r="866">
      <c r="A866" s="282"/>
      <c r="B866" s="283"/>
      <c r="C866" s="283"/>
      <c r="D866" s="283"/>
      <c r="E866" s="283"/>
      <c r="F866" s="283"/>
      <c r="G866" s="282"/>
      <c r="H866" s="282"/>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row>
    <row r="867">
      <c r="A867" s="282"/>
      <c r="B867" s="283"/>
      <c r="C867" s="283"/>
      <c r="D867" s="283"/>
      <c r="E867" s="283"/>
      <c r="F867" s="283"/>
      <c r="G867" s="282"/>
      <c r="H867" s="282"/>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row>
    <row r="868">
      <c r="A868" s="282"/>
      <c r="B868" s="283"/>
      <c r="C868" s="283"/>
      <c r="D868" s="283"/>
      <c r="E868" s="283"/>
      <c r="F868" s="283"/>
      <c r="G868" s="282"/>
      <c r="H868" s="282"/>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row>
    <row r="869">
      <c r="A869" s="282"/>
      <c r="B869" s="283"/>
      <c r="C869" s="283"/>
      <c r="D869" s="283"/>
      <c r="E869" s="283"/>
      <c r="F869" s="283"/>
      <c r="G869" s="282"/>
      <c r="H869" s="282"/>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row>
    <row r="870">
      <c r="A870" s="282"/>
      <c r="B870" s="283"/>
      <c r="C870" s="283"/>
      <c r="D870" s="283"/>
      <c r="E870" s="283"/>
      <c r="F870" s="283"/>
      <c r="G870" s="282"/>
      <c r="H870" s="282"/>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row>
    <row r="871">
      <c r="A871" s="282"/>
      <c r="B871" s="283"/>
      <c r="C871" s="283"/>
      <c r="D871" s="283"/>
      <c r="E871" s="283"/>
      <c r="F871" s="283"/>
      <c r="G871" s="282"/>
      <c r="H871" s="282"/>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row>
    <row r="872">
      <c r="A872" s="282"/>
      <c r="B872" s="283"/>
      <c r="C872" s="283"/>
      <c r="D872" s="283"/>
      <c r="E872" s="283"/>
      <c r="F872" s="283"/>
      <c r="G872" s="282"/>
      <c r="H872" s="282"/>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row>
    <row r="873">
      <c r="A873" s="282"/>
      <c r="B873" s="283"/>
      <c r="C873" s="283"/>
      <c r="D873" s="283"/>
      <c r="E873" s="283"/>
      <c r="F873" s="283"/>
      <c r="G873" s="282"/>
      <c r="H873" s="282"/>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row>
    <row r="874">
      <c r="A874" s="282"/>
      <c r="B874" s="283"/>
      <c r="C874" s="283"/>
      <c r="D874" s="283"/>
      <c r="E874" s="283"/>
      <c r="F874" s="283"/>
      <c r="G874" s="282"/>
      <c r="H874" s="282"/>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row>
    <row r="875">
      <c r="A875" s="282"/>
      <c r="B875" s="283"/>
      <c r="C875" s="283"/>
      <c r="D875" s="283"/>
      <c r="E875" s="283"/>
      <c r="F875" s="283"/>
      <c r="G875" s="282"/>
      <c r="H875" s="282"/>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row>
    <row r="876">
      <c r="A876" s="282"/>
      <c r="B876" s="283"/>
      <c r="C876" s="283"/>
      <c r="D876" s="283"/>
      <c r="E876" s="283"/>
      <c r="F876" s="283"/>
      <c r="G876" s="282"/>
      <c r="H876" s="282"/>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row>
    <row r="877">
      <c r="A877" s="282"/>
      <c r="B877" s="283"/>
      <c r="C877" s="283"/>
      <c r="D877" s="283"/>
      <c r="E877" s="283"/>
      <c r="F877" s="283"/>
      <c r="G877" s="282"/>
      <c r="H877" s="282"/>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row>
    <row r="878">
      <c r="A878" s="282"/>
      <c r="B878" s="283"/>
      <c r="C878" s="283"/>
      <c r="D878" s="283"/>
      <c r="E878" s="283"/>
      <c r="F878" s="283"/>
      <c r="G878" s="282"/>
      <c r="H878" s="282"/>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row>
    <row r="879">
      <c r="A879" s="282"/>
      <c r="B879" s="283"/>
      <c r="C879" s="283"/>
      <c r="D879" s="283"/>
      <c r="E879" s="283"/>
      <c r="F879" s="283"/>
      <c r="G879" s="282"/>
      <c r="H879" s="282"/>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row>
    <row r="880">
      <c r="A880" s="282"/>
      <c r="B880" s="283"/>
      <c r="C880" s="283"/>
      <c r="D880" s="283"/>
      <c r="E880" s="283"/>
      <c r="F880" s="283"/>
      <c r="G880" s="282"/>
      <c r="H880" s="282"/>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row>
    <row r="881">
      <c r="A881" s="282"/>
      <c r="B881" s="283"/>
      <c r="C881" s="283"/>
      <c r="D881" s="283"/>
      <c r="E881" s="283"/>
      <c r="F881" s="283"/>
      <c r="G881" s="282"/>
      <c r="H881" s="282"/>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row>
    <row r="882">
      <c r="A882" s="282"/>
      <c r="B882" s="283"/>
      <c r="C882" s="283"/>
      <c r="D882" s="283"/>
      <c r="E882" s="283"/>
      <c r="F882" s="283"/>
      <c r="G882" s="282"/>
      <c r="H882" s="282"/>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row>
    <row r="883">
      <c r="A883" s="282"/>
      <c r="B883" s="283"/>
      <c r="C883" s="283"/>
      <c r="D883" s="283"/>
      <c r="E883" s="283"/>
      <c r="F883" s="283"/>
      <c r="G883" s="282"/>
      <c r="H883" s="282"/>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row>
    <row r="884">
      <c r="A884" s="282"/>
      <c r="B884" s="283"/>
      <c r="C884" s="283"/>
      <c r="D884" s="283"/>
      <c r="E884" s="283"/>
      <c r="F884" s="283"/>
      <c r="G884" s="282"/>
      <c r="H884" s="282"/>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row>
    <row r="885">
      <c r="A885" s="282"/>
      <c r="B885" s="283"/>
      <c r="C885" s="283"/>
      <c r="D885" s="283"/>
      <c r="E885" s="283"/>
      <c r="F885" s="283"/>
      <c r="G885" s="282"/>
      <c r="H885" s="282"/>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row>
    <row r="886">
      <c r="A886" s="282"/>
      <c r="B886" s="283"/>
      <c r="C886" s="283"/>
      <c r="D886" s="283"/>
      <c r="E886" s="283"/>
      <c r="F886" s="283"/>
      <c r="G886" s="282"/>
      <c r="H886" s="282"/>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row>
    <row r="887">
      <c r="A887" s="282"/>
      <c r="B887" s="283"/>
      <c r="C887" s="283"/>
      <c r="D887" s="283"/>
      <c r="E887" s="283"/>
      <c r="F887" s="283"/>
      <c r="G887" s="282"/>
      <c r="H887" s="282"/>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row>
    <row r="888">
      <c r="A888" s="282"/>
      <c r="B888" s="283"/>
      <c r="C888" s="283"/>
      <c r="D888" s="283"/>
      <c r="E888" s="283"/>
      <c r="F888" s="283"/>
      <c r="G888" s="282"/>
      <c r="H888" s="282"/>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row>
    <row r="889">
      <c r="A889" s="282"/>
      <c r="B889" s="283"/>
      <c r="C889" s="283"/>
      <c r="D889" s="283"/>
      <c r="E889" s="283"/>
      <c r="F889" s="283"/>
      <c r="G889" s="282"/>
      <c r="H889" s="282"/>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row>
    <row r="890">
      <c r="A890" s="282"/>
      <c r="B890" s="283"/>
      <c r="C890" s="283"/>
      <c r="D890" s="283"/>
      <c r="E890" s="283"/>
      <c r="F890" s="283"/>
      <c r="G890" s="282"/>
      <c r="H890" s="282"/>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row>
    <row r="891">
      <c r="A891" s="282"/>
      <c r="B891" s="283"/>
      <c r="C891" s="283"/>
      <c r="D891" s="283"/>
      <c r="E891" s="283"/>
      <c r="F891" s="283"/>
      <c r="G891" s="282"/>
      <c r="H891" s="282"/>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row>
    <row r="892">
      <c r="A892" s="282"/>
      <c r="B892" s="283"/>
      <c r="C892" s="283"/>
      <c r="D892" s="283"/>
      <c r="E892" s="283"/>
      <c r="F892" s="283"/>
      <c r="G892" s="282"/>
      <c r="H892" s="282"/>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row>
    <row r="893">
      <c r="A893" s="282"/>
      <c r="B893" s="283"/>
      <c r="C893" s="283"/>
      <c r="D893" s="283"/>
      <c r="E893" s="283"/>
      <c r="F893" s="283"/>
      <c r="G893" s="282"/>
      <c r="H893" s="282"/>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row>
    <row r="894">
      <c r="A894" s="282"/>
      <c r="B894" s="283"/>
      <c r="C894" s="283"/>
      <c r="D894" s="283"/>
      <c r="E894" s="283"/>
      <c r="F894" s="283"/>
      <c r="G894" s="282"/>
      <c r="H894" s="282"/>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row>
  </sheetData>
  <autoFilter ref="$F$12:$F$76">
    <filterColumn colId="0">
      <filters>
        <filter val="Show"/>
      </filters>
    </filterColumn>
  </autoFilter>
  <mergeCells count="3">
    <mergeCell ref="A1:D1"/>
    <mergeCell ref="G1:L1"/>
    <mergeCell ref="M1:V1"/>
  </mergeCells>
  <hyperlinks>
    <hyperlink r:id="rId1" ref="H12"/>
    <hyperlink r:id="rId2" ref="M12"/>
    <hyperlink r:id="rId3" ref="N12"/>
    <hyperlink r:id="rId4" ref="O12"/>
    <hyperlink r:id="rId5" ref="P12"/>
    <hyperlink r:id="rId6" ref="Q12"/>
    <hyperlink r:id="rId7" ref="R12"/>
    <hyperlink r:id="rId8" ref="S12"/>
    <hyperlink r:id="rId9" ref="T12"/>
    <hyperlink r:id="rId10" ref="U12"/>
    <hyperlink r:id="rId11" ref="V12"/>
    <hyperlink r:id="rId12" ref="N13"/>
    <hyperlink r:id="rId13" ref="O13"/>
    <hyperlink r:id="rId14" ref="P13"/>
    <hyperlink r:id="rId15" ref="N14"/>
    <hyperlink r:id="rId16" ref="O14"/>
    <hyperlink r:id="rId17" ref="P14"/>
    <hyperlink r:id="rId18" ref="N15"/>
    <hyperlink r:id="rId19" ref="O15"/>
    <hyperlink r:id="rId20" ref="P15"/>
    <hyperlink r:id="rId21" ref="N16"/>
    <hyperlink r:id="rId22" ref="O16"/>
    <hyperlink r:id="rId23" ref="P16"/>
    <hyperlink r:id="rId24" ref="M17"/>
    <hyperlink r:id="rId25" ref="N17"/>
    <hyperlink r:id="rId26" ref="O17"/>
    <hyperlink r:id="rId27" ref="P17"/>
    <hyperlink r:id="rId28" ref="V17"/>
    <hyperlink r:id="rId29" ref="N18"/>
    <hyperlink r:id="rId30" ref="O18"/>
    <hyperlink r:id="rId31" ref="P18"/>
    <hyperlink r:id="rId32" ref="M19"/>
    <hyperlink r:id="rId33" ref="O19"/>
    <hyperlink r:id="rId34" ref="M20"/>
    <hyperlink r:id="rId35" ref="N20"/>
    <hyperlink r:id="rId36" ref="O20"/>
    <hyperlink r:id="rId37" ref="P20"/>
    <hyperlink r:id="rId38" ref="V20"/>
    <hyperlink r:id="rId39" ref="M21"/>
    <hyperlink r:id="rId40" ref="N21"/>
    <hyperlink r:id="rId41" ref="O21"/>
    <hyperlink r:id="rId42" ref="P21"/>
    <hyperlink r:id="rId43" ref="V21"/>
    <hyperlink r:id="rId44" ref="N22"/>
    <hyperlink r:id="rId45" ref="O22"/>
    <hyperlink r:id="rId46" ref="O23"/>
    <hyperlink r:id="rId47" ref="O25"/>
    <hyperlink r:id="rId48" ref="P25"/>
    <hyperlink r:id="rId49" ref="O26"/>
    <hyperlink r:id="rId50" ref="P26"/>
    <hyperlink r:id="rId51" ref="V26"/>
    <hyperlink r:id="rId52" ref="M27"/>
    <hyperlink r:id="rId53" ref="O27"/>
    <hyperlink r:id="rId54" ref="P27"/>
    <hyperlink r:id="rId55" ref="V28"/>
    <hyperlink r:id="rId56" ref="P29"/>
    <hyperlink r:id="rId57" ref="V29"/>
    <hyperlink r:id="rId58" ref="V31"/>
    <hyperlink r:id="rId59" ref="O34"/>
    <hyperlink r:id="rId60" ref="M36"/>
    <hyperlink r:id="rId61" ref="O36"/>
    <hyperlink r:id="rId62" ref="P36"/>
    <hyperlink r:id="rId63" ref="O38"/>
    <hyperlink r:id="rId64" ref="O40"/>
    <hyperlink r:id="rId65" ref="P40"/>
    <hyperlink r:id="rId66" ref="O41"/>
    <hyperlink r:id="rId67" ref="P41"/>
    <hyperlink r:id="rId68" ref="M42"/>
    <hyperlink r:id="rId69" ref="N42"/>
    <hyperlink r:id="rId70" ref="P42"/>
    <hyperlink r:id="rId71" ref="V42"/>
    <hyperlink r:id="rId72" ref="M43"/>
    <hyperlink r:id="rId73" ref="O43"/>
    <hyperlink r:id="rId74" ref="P43"/>
    <hyperlink r:id="rId75" ref="M44"/>
    <hyperlink r:id="rId76" ref="O44"/>
    <hyperlink r:id="rId77" ref="N45"/>
    <hyperlink r:id="rId78" ref="M46"/>
    <hyperlink r:id="rId79" ref="N46"/>
    <hyperlink r:id="rId80" ref="O46"/>
    <hyperlink r:id="rId81" ref="P46"/>
    <hyperlink r:id="rId82" ref="P47"/>
    <hyperlink r:id="rId83" ref="V47"/>
    <hyperlink r:id="rId84" ref="O48"/>
    <hyperlink r:id="rId85" ref="P48"/>
    <hyperlink r:id="rId86" ref="M50"/>
    <hyperlink r:id="rId87" ref="N50"/>
    <hyperlink r:id="rId88" ref="N51"/>
    <hyperlink r:id="rId89" ref="V51"/>
    <hyperlink r:id="rId90" ref="P52"/>
    <hyperlink r:id="rId91" ref="N53"/>
    <hyperlink r:id="rId92" ref="O54"/>
    <hyperlink r:id="rId93" ref="P54"/>
    <hyperlink r:id="rId94" ref="N55"/>
    <hyperlink r:id="rId95" ref="M57"/>
    <hyperlink r:id="rId96" ref="V57"/>
    <hyperlink r:id="rId97" ref="M60"/>
    <hyperlink r:id="rId98" ref="N60"/>
    <hyperlink r:id="rId99" ref="V62"/>
    <hyperlink r:id="rId100" ref="M65"/>
    <hyperlink r:id="rId101" ref="N65"/>
    <hyperlink r:id="rId102" ref="V66"/>
    <hyperlink r:id="rId103" ref="N67"/>
    <hyperlink r:id="rId104" ref="P67"/>
    <hyperlink r:id="rId105" ref="V67"/>
    <hyperlink r:id="rId106" ref="N68"/>
    <hyperlink r:id="rId107" ref="O68"/>
    <hyperlink r:id="rId108" ref="V68"/>
    <hyperlink r:id="rId109" ref="O69"/>
    <hyperlink r:id="rId110" ref="V70"/>
    <hyperlink r:id="rId111" ref="M72"/>
    <hyperlink r:id="rId112" ref="V72"/>
    <hyperlink r:id="rId113" ref="M73"/>
    <hyperlink r:id="rId114" ref="N73"/>
    <hyperlink r:id="rId115" ref="M74"/>
    <hyperlink r:id="rId116" location=":~:text=to%20mitigate%20risk.-,M1051,-Update%20Software" ref="N75"/>
    <hyperlink r:id="rId117" ref="V76"/>
  </hyperlinks>
  <drawing r:id="rId11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3.63"/>
    <col customWidth="1" min="2" max="2" width="39.88"/>
    <col customWidth="1" min="3" max="3" width="102.25"/>
  </cols>
  <sheetData>
    <row r="1">
      <c r="A1" s="350" t="s">
        <v>2418</v>
      </c>
    </row>
    <row r="2" ht="35.25" customHeight="1">
      <c r="A2" s="351" t="s">
        <v>2419</v>
      </c>
    </row>
    <row r="3" ht="47.25" customHeight="1">
      <c r="A3" s="352" t="s">
        <v>2420</v>
      </c>
      <c r="B3" s="353" t="s">
        <v>2421</v>
      </c>
      <c r="C3" s="353" t="s">
        <v>2422</v>
      </c>
    </row>
    <row r="4">
      <c r="A4" s="354" t="s">
        <v>2423</v>
      </c>
      <c r="B4" s="355" t="s">
        <v>2424</v>
      </c>
      <c r="C4" s="356" t="s">
        <v>2425</v>
      </c>
    </row>
    <row r="5">
      <c r="A5" s="357"/>
      <c r="B5" s="355" t="s">
        <v>2426</v>
      </c>
      <c r="C5" s="356" t="s">
        <v>2427</v>
      </c>
    </row>
    <row r="6">
      <c r="A6" s="357"/>
      <c r="B6" s="358" t="s">
        <v>2428</v>
      </c>
      <c r="C6" s="359" t="s">
        <v>2429</v>
      </c>
    </row>
    <row r="7">
      <c r="A7" s="354"/>
      <c r="B7" s="360" t="s">
        <v>2430</v>
      </c>
      <c r="C7" s="361" t="s">
        <v>2431</v>
      </c>
    </row>
    <row r="8">
      <c r="A8" s="362"/>
      <c r="B8" s="363" t="s">
        <v>2432</v>
      </c>
      <c r="C8" s="361" t="s">
        <v>2433</v>
      </c>
    </row>
    <row r="9">
      <c r="A9" s="364" t="s">
        <v>2434</v>
      </c>
      <c r="B9" s="365" t="s">
        <v>2435</v>
      </c>
      <c r="C9" s="366" t="s">
        <v>2436</v>
      </c>
    </row>
    <row r="10">
      <c r="A10" s="357"/>
      <c r="B10" s="367" t="s">
        <v>2437</v>
      </c>
      <c r="C10" s="368" t="s">
        <v>2438</v>
      </c>
    </row>
    <row r="11">
      <c r="A11" s="357"/>
      <c r="B11" s="369" t="s">
        <v>2439</v>
      </c>
      <c r="C11" s="370" t="s">
        <v>2440</v>
      </c>
    </row>
    <row r="12">
      <c r="A12" s="357"/>
      <c r="B12" s="369" t="s">
        <v>2441</v>
      </c>
      <c r="C12" s="370" t="s">
        <v>2442</v>
      </c>
    </row>
    <row r="13">
      <c r="A13" s="357"/>
      <c r="B13" s="369" t="s">
        <v>2443</v>
      </c>
      <c r="C13" s="370" t="s">
        <v>2444</v>
      </c>
    </row>
    <row r="14">
      <c r="A14" s="357"/>
      <c r="B14" s="369" t="s">
        <v>2445</v>
      </c>
      <c r="C14" s="370" t="s">
        <v>2446</v>
      </c>
    </row>
    <row r="15">
      <c r="A15" s="364"/>
      <c r="B15" s="369" t="s">
        <v>2430</v>
      </c>
      <c r="C15" s="370" t="s">
        <v>2431</v>
      </c>
    </row>
    <row r="16">
      <c r="A16" s="371"/>
      <c r="B16" s="367" t="s">
        <v>2432</v>
      </c>
      <c r="C16" s="370" t="s">
        <v>2447</v>
      </c>
    </row>
    <row r="17">
      <c r="A17" s="372" t="s">
        <v>2448</v>
      </c>
      <c r="B17" s="373" t="s">
        <v>2449</v>
      </c>
      <c r="C17" s="374" t="s">
        <v>2450</v>
      </c>
    </row>
    <row r="18">
      <c r="A18" s="375"/>
      <c r="B18" s="376" t="s">
        <v>2451</v>
      </c>
      <c r="C18" s="374" t="s">
        <v>2452</v>
      </c>
    </row>
    <row r="19">
      <c r="A19" s="377" t="s">
        <v>2453</v>
      </c>
      <c r="B19" s="378" t="s">
        <v>2454</v>
      </c>
      <c r="C19" s="379" t="s">
        <v>2455</v>
      </c>
    </row>
    <row r="20">
      <c r="A20" s="357"/>
      <c r="B20" s="378" t="s">
        <v>2456</v>
      </c>
      <c r="C20" s="380" t="s">
        <v>2457</v>
      </c>
    </row>
    <row r="21">
      <c r="A21" s="357"/>
      <c r="B21" s="378" t="s">
        <v>2458</v>
      </c>
      <c r="C21" s="381" t="s">
        <v>2459</v>
      </c>
    </row>
    <row r="22">
      <c r="A22" s="357"/>
      <c r="B22" s="378" t="s">
        <v>2460</v>
      </c>
      <c r="C22" s="381" t="s">
        <v>2461</v>
      </c>
    </row>
    <row r="23">
      <c r="A23" s="357"/>
      <c r="B23" s="382" t="s">
        <v>2462</v>
      </c>
      <c r="C23" s="383" t="s">
        <v>2463</v>
      </c>
    </row>
    <row r="24">
      <c r="A24" s="357"/>
      <c r="B24" s="378" t="s">
        <v>2464</v>
      </c>
      <c r="C24" s="379" t="s">
        <v>2465</v>
      </c>
    </row>
    <row r="25">
      <c r="A25" s="357"/>
      <c r="B25" s="378" t="s">
        <v>2466</v>
      </c>
      <c r="C25" s="379" t="s">
        <v>2467</v>
      </c>
    </row>
    <row r="26">
      <c r="A26" s="357"/>
      <c r="B26" s="378" t="s">
        <v>2468</v>
      </c>
      <c r="C26" s="379" t="s">
        <v>2469</v>
      </c>
    </row>
    <row r="27">
      <c r="A27" s="357"/>
      <c r="B27" s="378" t="s">
        <v>2449</v>
      </c>
      <c r="C27" s="379" t="s">
        <v>2450</v>
      </c>
    </row>
    <row r="28">
      <c r="A28" s="384"/>
      <c r="B28" s="382" t="s">
        <v>2470</v>
      </c>
      <c r="C28" s="379" t="s">
        <v>2471</v>
      </c>
    </row>
    <row r="29">
      <c r="A29" s="385" t="s">
        <v>2472</v>
      </c>
      <c r="B29" s="386" t="s">
        <v>2473</v>
      </c>
      <c r="C29" s="387" t="s">
        <v>2474</v>
      </c>
    </row>
    <row r="30">
      <c r="A30" s="357"/>
      <c r="B30" s="388" t="s">
        <v>2475</v>
      </c>
      <c r="C30" s="389" t="s">
        <v>2476</v>
      </c>
    </row>
    <row r="31">
      <c r="A31" s="357"/>
      <c r="B31" s="388" t="s">
        <v>2477</v>
      </c>
      <c r="C31" s="390" t="s">
        <v>2478</v>
      </c>
    </row>
    <row r="32">
      <c r="A32" s="357"/>
      <c r="B32" s="386" t="s">
        <v>2479</v>
      </c>
      <c r="C32" s="391" t="s">
        <v>2480</v>
      </c>
    </row>
    <row r="33">
      <c r="A33" s="392" t="s">
        <v>2481</v>
      </c>
      <c r="B33" s="393" t="s">
        <v>2482</v>
      </c>
      <c r="C33" s="394" t="s">
        <v>2483</v>
      </c>
    </row>
    <row r="34">
      <c r="A34" s="357"/>
      <c r="B34" s="395" t="s">
        <v>2484</v>
      </c>
      <c r="C34" s="396" t="s">
        <v>2485</v>
      </c>
    </row>
    <row r="35">
      <c r="A35" s="357"/>
      <c r="B35" s="395" t="s">
        <v>2437</v>
      </c>
      <c r="C35" s="396" t="s">
        <v>2486</v>
      </c>
    </row>
    <row r="36">
      <c r="A36" s="357"/>
      <c r="B36" s="393" t="s">
        <v>2487</v>
      </c>
      <c r="C36" s="394" t="s">
        <v>2488</v>
      </c>
    </row>
    <row r="37">
      <c r="A37" s="357"/>
      <c r="B37" s="393" t="s">
        <v>2489</v>
      </c>
      <c r="C37" s="394" t="s">
        <v>2490</v>
      </c>
    </row>
    <row r="38">
      <c r="A38" s="357"/>
      <c r="B38" s="393" t="s">
        <v>2491</v>
      </c>
      <c r="C38" s="394" t="s">
        <v>2492</v>
      </c>
    </row>
    <row r="39">
      <c r="A39" s="357"/>
      <c r="B39" s="393" t="s">
        <v>2493</v>
      </c>
      <c r="C39" s="394" t="s">
        <v>2494</v>
      </c>
    </row>
    <row r="40">
      <c r="A40" s="357"/>
      <c r="B40" s="393" t="s">
        <v>2495</v>
      </c>
      <c r="C40" s="394" t="s">
        <v>2496</v>
      </c>
    </row>
    <row r="41">
      <c r="A41" s="357"/>
      <c r="B41" s="393" t="s">
        <v>2497</v>
      </c>
      <c r="C41" s="397" t="s">
        <v>2498</v>
      </c>
    </row>
    <row r="42">
      <c r="A42" s="357"/>
      <c r="B42" s="393" t="s">
        <v>2499</v>
      </c>
      <c r="C42" s="394" t="s">
        <v>2500</v>
      </c>
    </row>
    <row r="43">
      <c r="A43" s="357"/>
      <c r="B43" s="393" t="s">
        <v>2501</v>
      </c>
      <c r="C43" s="394" t="s">
        <v>2502</v>
      </c>
    </row>
    <row r="44">
      <c r="A44" s="357"/>
      <c r="B44" s="393" t="s">
        <v>2503</v>
      </c>
      <c r="C44" s="394" t="s">
        <v>2504</v>
      </c>
    </row>
    <row r="45">
      <c r="A45" s="357"/>
      <c r="B45" s="393" t="s">
        <v>2505</v>
      </c>
      <c r="C45" s="394" t="s">
        <v>2506</v>
      </c>
    </row>
    <row r="46">
      <c r="A46" s="398"/>
      <c r="B46" s="399" t="s">
        <v>2507</v>
      </c>
      <c r="C46" s="394" t="s">
        <v>2508</v>
      </c>
    </row>
    <row r="47">
      <c r="A47" s="400"/>
      <c r="B47" s="401" t="s">
        <v>2432</v>
      </c>
      <c r="C47" s="394" t="s">
        <v>2509</v>
      </c>
    </row>
    <row r="48">
      <c r="A48" s="402" t="s">
        <v>2510</v>
      </c>
      <c r="B48" s="403"/>
      <c r="C48" s="404"/>
    </row>
    <row r="49">
      <c r="A49" s="405"/>
      <c r="B49" s="406" t="s">
        <v>2511</v>
      </c>
      <c r="C49" s="407" t="s">
        <v>2512</v>
      </c>
    </row>
    <row r="50">
      <c r="A50" s="408" t="s">
        <v>2513</v>
      </c>
      <c r="B50" s="409"/>
      <c r="C50" s="410"/>
    </row>
    <row r="51">
      <c r="A51" s="411"/>
      <c r="B51" s="412" t="s">
        <v>2514</v>
      </c>
      <c r="C51" s="413" t="s">
        <v>2515</v>
      </c>
    </row>
  </sheetData>
  <mergeCells count="7">
    <mergeCell ref="A1:C1"/>
    <mergeCell ref="A2:C2"/>
    <mergeCell ref="A4:A6"/>
    <mergeCell ref="A9:A14"/>
    <mergeCell ref="A19:A27"/>
    <mergeCell ref="A29:A32"/>
    <mergeCell ref="A33:A45"/>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 r:id="rId25" ref="B28"/>
    <hyperlink r:id="rId26" ref="B29"/>
    <hyperlink r:id="rId27" ref="B30"/>
    <hyperlink r:id="rId28" ref="B31"/>
    <hyperlink r:id="rId29" ref="B32"/>
    <hyperlink r:id="rId30" ref="B33"/>
    <hyperlink r:id="rId31" ref="B34"/>
    <hyperlink r:id="rId32" ref="B35"/>
    <hyperlink r:id="rId33" ref="B36"/>
    <hyperlink r:id="rId34" ref="B37"/>
    <hyperlink r:id="rId35" ref="B38"/>
    <hyperlink r:id="rId36" ref="B39"/>
    <hyperlink r:id="rId37" ref="B40"/>
    <hyperlink r:id="rId38" ref="B41"/>
    <hyperlink r:id="rId39" ref="B42"/>
    <hyperlink r:id="rId40" ref="B43"/>
    <hyperlink r:id="rId41" ref="B44"/>
    <hyperlink r:id="rId42" ref="B45"/>
    <hyperlink r:id="rId43" ref="B46"/>
    <hyperlink r:id="rId44" ref="B47"/>
    <hyperlink r:id="rId45" ref="B49"/>
    <hyperlink r:id="rId46" ref="B51"/>
  </hyperlinks>
  <drawing r:id="rId47"/>
</worksheet>
</file>